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Rates &amp; FX\DPP\master\"/>
    </mc:Choice>
  </mc:AlternateContent>
  <xr:revisionPtr revIDLastSave="0" documentId="13_ncr:1_{AE0CE2E2-D7FC-4C0D-98EE-F2ECF57B6425}" xr6:coauthVersionLast="40" xr6:coauthVersionMax="40" xr10:uidLastSave="{00000000-0000-0000-0000-000000000000}"/>
  <bookViews>
    <workbookView xWindow="0" yWindow="0" windowWidth="28800" windowHeight="12165" xr2:uid="{00000000-000D-0000-FFFF-FFFF00000000}"/>
  </bookViews>
  <sheets>
    <sheet name="CHILE" sheetId="7" r:id="rId1"/>
    <sheet name="Holidays" sheetId="8" r:id="rId2"/>
    <sheet name="UF_dates" sheetId="9" r:id="rId3"/>
  </sheets>
  <functionGroups builtInGroupCount="19"/>
  <externalReferences>
    <externalReference r:id="rId4"/>
    <externalReference r:id="rId5"/>
  </externalReferences>
  <definedNames>
    <definedName name="AccessDatabase" hidden="1">"D:\Edson\VaR\VaR_UBB\VaR_UBB_UAM\Carrega_Carteiras_2.mdb"</definedName>
    <definedName name="BRL_PNL">[1]PNL_Trades!$J$119</definedName>
    <definedName name="CAMARA_PNL">[1]PNL_Trades!$J$123</definedName>
    <definedName name="CDI_PNL">[1]PNL_Trades!$J$127</definedName>
    <definedName name="CLP_PNL">[1]PNL_Trades!$J$120</definedName>
    <definedName name="CPI_PNL">[1]PNL_Trades!$J$125</definedName>
    <definedName name="FER">#REF!</definedName>
    <definedName name="Feriado_BZ">[1]Aux!$L$2:$L$937</definedName>
    <definedName name="Feriado_CL">[1]Aux!$J$2:$J$227</definedName>
    <definedName name="Feriado_CL_US">[1]Aux!$I$2:$J$227</definedName>
    <definedName name="Feriado_MX">[1]Aux!$K$2:$K$137</definedName>
    <definedName name="Feriado_MX_US">[1]Aux!$K$2:$K$137,[1]Aux!$I$2:$I$227</definedName>
    <definedName name="Fwd">[2]Option!$B$6</definedName>
    <definedName name="IDI_PNL">[1]PNL_Trades!$J$126</definedName>
    <definedName name="MULT_RATIO">[1]PNL_Trades!$L$137</definedName>
    <definedName name="MXN_PNL">[1]PNL_Trades!$J$121</definedName>
    <definedName name="PL_MULT">[1]PNL_Trades!$J$137</definedName>
    <definedName name="PL_REF_MACRO">[1]PNL_Trades!$J$147</definedName>
    <definedName name="plmult">[2]Option!$O$3</definedName>
    <definedName name="PosicionDatos">#REF!</definedName>
    <definedName name="propmoff">[2]Option!$O$1</definedName>
    <definedName name="ptax">[2]Option!$O$2</definedName>
    <definedName name="spot">[2]Option!$B$5</definedName>
    <definedName name="TIEE_PNL">[1]PNL_Trades!$J$122</definedName>
    <definedName name="UF_PNL">[1]PNL_Trades!$J$124</definedName>
    <definedName name="x">[2]Option!$O$4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7" l="1"/>
  <c r="B33" i="7"/>
  <c r="C33" i="7"/>
  <c r="AN26" i="7"/>
  <c r="C87" i="7"/>
  <c r="C105" i="7"/>
  <c r="C2" i="9"/>
  <c r="C3" i="9"/>
  <c r="E3" i="9"/>
  <c r="AN43" i="7"/>
  <c r="E4" i="9"/>
  <c r="AN44" i="7"/>
  <c r="E5" i="9"/>
  <c r="AN45" i="7"/>
  <c r="E6" i="9"/>
  <c r="AN46" i="7"/>
  <c r="E7" i="9"/>
  <c r="AN47" i="7"/>
  <c r="E8" i="9"/>
  <c r="AN48" i="7"/>
  <c r="E9" i="9"/>
  <c r="AN49" i="7"/>
  <c r="E10" i="9"/>
  <c r="AN50" i="7"/>
  <c r="E11" i="9"/>
  <c r="AN51" i="7"/>
  <c r="E12" i="9"/>
  <c r="AN52" i="7"/>
  <c r="E13" i="9"/>
  <c r="AN53" i="7"/>
  <c r="E14" i="9"/>
  <c r="AN54" i="7"/>
  <c r="E15" i="9"/>
  <c r="AN55" i="7"/>
  <c r="E16" i="9"/>
  <c r="AN56" i="7"/>
  <c r="E17" i="9"/>
  <c r="AN57" i="7"/>
  <c r="E18" i="9"/>
  <c r="AN58" i="7"/>
  <c r="E19" i="9"/>
  <c r="AN59" i="7"/>
  <c r="E20" i="9"/>
  <c r="AN60" i="7"/>
  <c r="E21" i="9"/>
  <c r="AN61" i="7"/>
  <c r="E22" i="9"/>
  <c r="AN62" i="7"/>
  <c r="B19" i="7"/>
  <c r="C19" i="7"/>
  <c r="AN19" i="7"/>
  <c r="AN63" i="7"/>
  <c r="B21" i="7"/>
  <c r="C21" i="7"/>
  <c r="AN20" i="7"/>
  <c r="AN64" i="7"/>
  <c r="B23" i="7"/>
  <c r="C23" i="7"/>
  <c r="AN21" i="7"/>
  <c r="AN65" i="7"/>
  <c r="B25" i="7"/>
  <c r="C25" i="7"/>
  <c r="AN22" i="7"/>
  <c r="AN66" i="7"/>
  <c r="B27" i="7"/>
  <c r="C27" i="7"/>
  <c r="AN23" i="7"/>
  <c r="AN67" i="7"/>
  <c r="B29" i="7"/>
  <c r="C29" i="7"/>
  <c r="AN24" i="7"/>
  <c r="AN68" i="7"/>
  <c r="B31" i="7"/>
  <c r="C31" i="7"/>
  <c r="AN25" i="7"/>
  <c r="AN69" i="7"/>
  <c r="AN70" i="7"/>
  <c r="B35" i="7"/>
  <c r="C35" i="7"/>
  <c r="AN27" i="7"/>
  <c r="AN71" i="7"/>
  <c r="AH41" i="7"/>
  <c r="AH43" i="7"/>
  <c r="B14" i="7"/>
  <c r="C14" i="7"/>
  <c r="AN14" i="7"/>
  <c r="B15" i="7"/>
  <c r="C15" i="7"/>
  <c r="AN15" i="7"/>
  <c r="B16" i="7"/>
  <c r="C16" i="7"/>
  <c r="AN16" i="7"/>
  <c r="B17" i="7"/>
  <c r="C17" i="7"/>
  <c r="AN17" i="7"/>
  <c r="B18" i="7"/>
  <c r="C18" i="7"/>
  <c r="AN18" i="7"/>
  <c r="AQ13" i="7"/>
  <c r="AP13" i="7"/>
  <c r="AQ14" i="7"/>
  <c r="AP14" i="7"/>
  <c r="AQ15" i="7"/>
  <c r="AP15" i="7"/>
  <c r="AQ16" i="7"/>
  <c r="AP16" i="7"/>
  <c r="AQ17" i="7"/>
  <c r="AP17" i="7"/>
  <c r="AQ18" i="7"/>
  <c r="AP18" i="7"/>
  <c r="F18" i="7"/>
  <c r="E18" i="7"/>
  <c r="F17" i="7"/>
  <c r="E17" i="7"/>
  <c r="F15" i="7"/>
  <c r="E15" i="7"/>
  <c r="AQ19" i="7"/>
  <c r="AP19" i="7"/>
  <c r="B20" i="7"/>
  <c r="C20" i="7"/>
  <c r="E19" i="7"/>
  <c r="AQ20" i="7"/>
  <c r="AP20" i="7"/>
  <c r="B22" i="7"/>
  <c r="C22" i="7"/>
  <c r="E21" i="7"/>
  <c r="E20" i="7"/>
  <c r="AQ21" i="7"/>
  <c r="AP21" i="7"/>
  <c r="AQ22" i="7"/>
  <c r="AP22" i="7"/>
  <c r="B24" i="7"/>
  <c r="C24" i="7"/>
  <c r="E23" i="7"/>
  <c r="E22" i="7"/>
  <c r="AQ23" i="7"/>
  <c r="AP23" i="7"/>
  <c r="AQ24" i="7"/>
  <c r="AP24" i="7"/>
  <c r="B26" i="7"/>
  <c r="C26" i="7"/>
  <c r="E25" i="7"/>
  <c r="E24" i="7"/>
  <c r="AQ25" i="7"/>
  <c r="AP25" i="7"/>
  <c r="AQ26" i="7"/>
  <c r="AP26" i="7"/>
  <c r="B28" i="7"/>
  <c r="C28" i="7"/>
  <c r="E27" i="7"/>
  <c r="E26" i="7"/>
  <c r="AQ27" i="7"/>
  <c r="AP27" i="7"/>
  <c r="I3" i="9"/>
  <c r="F3" i="9"/>
  <c r="F2" i="9"/>
  <c r="G3" i="9"/>
  <c r="H3" i="9"/>
  <c r="J3" i="9"/>
  <c r="AP43" i="7"/>
  <c r="I4" i="9"/>
  <c r="G4" i="9"/>
  <c r="H4" i="9"/>
  <c r="J4" i="9"/>
  <c r="AP44" i="7"/>
  <c r="I5" i="9"/>
  <c r="G5" i="9"/>
  <c r="H5" i="9"/>
  <c r="J5" i="9"/>
  <c r="AP45" i="7"/>
  <c r="I6" i="9"/>
  <c r="G6" i="9"/>
  <c r="H6" i="9"/>
  <c r="J6" i="9"/>
  <c r="AP46" i="7"/>
  <c r="I7" i="9"/>
  <c r="G7" i="9"/>
  <c r="H7" i="9"/>
  <c r="J7" i="9"/>
  <c r="AP47" i="7"/>
  <c r="I8" i="9"/>
  <c r="G8" i="9"/>
  <c r="H8" i="9"/>
  <c r="J8" i="9"/>
  <c r="AP48" i="7"/>
  <c r="I9" i="9"/>
  <c r="G9" i="9"/>
  <c r="H9" i="9"/>
  <c r="J9" i="9"/>
  <c r="AP49" i="7"/>
  <c r="I10" i="9"/>
  <c r="G10" i="9"/>
  <c r="H10" i="9"/>
  <c r="J10" i="9"/>
  <c r="AP50" i="7"/>
  <c r="I11" i="9"/>
  <c r="G11" i="9"/>
  <c r="H11" i="9"/>
  <c r="J11" i="9"/>
  <c r="AP51" i="7"/>
  <c r="I12" i="9"/>
  <c r="G12" i="9"/>
  <c r="H12" i="9"/>
  <c r="J12" i="9"/>
  <c r="AP52" i="7"/>
  <c r="I13" i="9"/>
  <c r="G13" i="9"/>
  <c r="H13" i="9"/>
  <c r="J13" i="9"/>
  <c r="AP53" i="7"/>
  <c r="I14" i="9"/>
  <c r="G14" i="9"/>
  <c r="H14" i="9"/>
  <c r="J14" i="9"/>
  <c r="AP54" i="7"/>
  <c r="I15" i="9"/>
  <c r="G15" i="9"/>
  <c r="H15" i="9"/>
  <c r="J15" i="9"/>
  <c r="AP55" i="7"/>
  <c r="I16" i="9"/>
  <c r="G16" i="9"/>
  <c r="H16" i="9"/>
  <c r="J16" i="9"/>
  <c r="AP56" i="7"/>
  <c r="I17" i="9"/>
  <c r="G17" i="9"/>
  <c r="H17" i="9"/>
  <c r="J17" i="9"/>
  <c r="AP57" i="7"/>
  <c r="I18" i="9"/>
  <c r="G18" i="9"/>
  <c r="H18" i="9"/>
  <c r="J18" i="9"/>
  <c r="AP58" i="7"/>
  <c r="I19" i="9"/>
  <c r="G19" i="9"/>
  <c r="H19" i="9"/>
  <c r="J19" i="9"/>
  <c r="AP59" i="7"/>
  <c r="I20" i="9"/>
  <c r="G20" i="9"/>
  <c r="H20" i="9"/>
  <c r="J20" i="9"/>
  <c r="AP60" i="7"/>
  <c r="I21" i="9"/>
  <c r="G21" i="9"/>
  <c r="H21" i="9"/>
  <c r="J21" i="9"/>
  <c r="AP61" i="7"/>
  <c r="I22" i="9"/>
  <c r="G22" i="9"/>
  <c r="H22" i="9"/>
  <c r="J22" i="9"/>
  <c r="AP62" i="7"/>
  <c r="B44" i="7"/>
  <c r="C44" i="7"/>
  <c r="B45" i="7"/>
  <c r="C45" i="7"/>
  <c r="B46" i="7"/>
  <c r="C46" i="7"/>
  <c r="B47" i="7"/>
  <c r="C47" i="7"/>
  <c r="B48" i="7"/>
  <c r="C48" i="7"/>
  <c r="B49" i="7"/>
  <c r="C49" i="7"/>
  <c r="F44" i="7"/>
  <c r="E44" i="7"/>
  <c r="F45" i="7"/>
  <c r="E45" i="7"/>
  <c r="F46" i="7"/>
  <c r="E46" i="7"/>
  <c r="F47" i="7"/>
  <c r="E47" i="7"/>
  <c r="F48" i="7"/>
  <c r="E48" i="7"/>
  <c r="AQ63" i="7"/>
  <c r="AP63" i="7"/>
  <c r="B50" i="7"/>
  <c r="C50" i="7"/>
  <c r="AQ64" i="7"/>
  <c r="AP64" i="7"/>
  <c r="B51" i="7"/>
  <c r="C51" i="7"/>
  <c r="B52" i="7"/>
  <c r="C52" i="7"/>
  <c r="B53" i="7"/>
  <c r="C53" i="7"/>
  <c r="E51" i="7"/>
  <c r="B54" i="7"/>
  <c r="C54" i="7"/>
  <c r="B55" i="7"/>
  <c r="C55" i="7"/>
  <c r="B56" i="7"/>
  <c r="C56" i="7"/>
  <c r="B57" i="7"/>
  <c r="C57" i="7"/>
  <c r="F43" i="7"/>
  <c r="F92" i="7"/>
  <c r="F93" i="7"/>
  <c r="F94" i="7"/>
  <c r="F95" i="7"/>
  <c r="F96" i="7"/>
  <c r="F97" i="7"/>
  <c r="F49" i="7"/>
  <c r="F98" i="7"/>
  <c r="F51" i="7"/>
  <c r="F99" i="7"/>
  <c r="AQ65" i="7"/>
  <c r="F53" i="7"/>
  <c r="F100" i="7"/>
  <c r="AQ66" i="7"/>
  <c r="F55" i="7"/>
  <c r="F101" i="7"/>
  <c r="AQ67" i="7"/>
  <c r="F57" i="7"/>
  <c r="F102" i="7"/>
  <c r="AQ68" i="7"/>
  <c r="F59" i="7"/>
  <c r="F103" i="7"/>
  <c r="AQ69" i="7"/>
  <c r="F61" i="7"/>
  <c r="F104" i="7"/>
  <c r="AQ70" i="7"/>
  <c r="F63" i="7"/>
  <c r="F105" i="7"/>
  <c r="C74" i="7"/>
  <c r="C92" i="7"/>
  <c r="C75" i="7"/>
  <c r="C93" i="7"/>
  <c r="C76" i="7"/>
  <c r="C94" i="7"/>
  <c r="C77" i="7"/>
  <c r="C95" i="7"/>
  <c r="C78" i="7"/>
  <c r="C96" i="7"/>
  <c r="C79" i="7"/>
  <c r="C97" i="7"/>
  <c r="C80" i="7"/>
  <c r="C98" i="7"/>
  <c r="C81" i="7"/>
  <c r="C99" i="7"/>
  <c r="C82" i="7"/>
  <c r="C100" i="7"/>
  <c r="C83" i="7"/>
  <c r="C101" i="7"/>
  <c r="C84" i="7"/>
  <c r="C102" i="7"/>
  <c r="C85" i="7"/>
  <c r="C103" i="7"/>
  <c r="C86" i="7"/>
  <c r="C104" i="7"/>
  <c r="H105" i="7"/>
  <c r="J105" i="7"/>
  <c r="AH11" i="7"/>
  <c r="AH56" i="7"/>
  <c r="D105" i="7"/>
  <c r="H104" i="7"/>
  <c r="J104" i="7"/>
  <c r="AH55" i="7"/>
  <c r="D104" i="7"/>
  <c r="H103" i="7"/>
  <c r="J103" i="7"/>
  <c r="AH54" i="7"/>
  <c r="D103" i="7"/>
  <c r="H102" i="7"/>
  <c r="J102" i="7"/>
  <c r="AH53" i="7"/>
  <c r="D102" i="7"/>
  <c r="H101" i="7"/>
  <c r="J101" i="7"/>
  <c r="AH52" i="7"/>
  <c r="D101" i="7"/>
  <c r="H100" i="7"/>
  <c r="J100" i="7"/>
  <c r="AH51" i="7"/>
  <c r="D100" i="7"/>
  <c r="H99" i="7"/>
  <c r="J99" i="7"/>
  <c r="AH50" i="7"/>
  <c r="AI50" i="7"/>
  <c r="AI41" i="7"/>
  <c r="AJ50" i="7"/>
  <c r="E99" i="7"/>
  <c r="D99" i="7"/>
  <c r="H98" i="7"/>
  <c r="J98" i="7"/>
  <c r="AH49" i="7"/>
  <c r="AI49" i="7"/>
  <c r="AJ49" i="7"/>
  <c r="E98" i="7"/>
  <c r="D98" i="7"/>
  <c r="H97" i="7"/>
  <c r="J97" i="7"/>
  <c r="AH48" i="7"/>
  <c r="AI48" i="7"/>
  <c r="AJ48" i="7"/>
  <c r="E97" i="7"/>
  <c r="D97" i="7"/>
  <c r="H96" i="7"/>
  <c r="J96" i="7"/>
  <c r="AH47" i="7"/>
  <c r="AI47" i="7"/>
  <c r="AJ47" i="7"/>
  <c r="E96" i="7"/>
  <c r="D96" i="7"/>
  <c r="H95" i="7"/>
  <c r="J95" i="7"/>
  <c r="AH46" i="7"/>
  <c r="AI46" i="7"/>
  <c r="AJ46" i="7"/>
  <c r="E95" i="7"/>
  <c r="D95" i="7"/>
  <c r="AI43" i="7"/>
  <c r="AI11" i="7"/>
  <c r="AJ43" i="7"/>
  <c r="E92" i="7"/>
  <c r="AH44" i="7"/>
  <c r="AI44" i="7"/>
  <c r="AJ44" i="7"/>
  <c r="E93" i="7"/>
  <c r="AH45" i="7"/>
  <c r="AI45" i="7"/>
  <c r="AJ45" i="7"/>
  <c r="E94" i="7"/>
  <c r="AI51" i="7"/>
  <c r="AJ51" i="7"/>
  <c r="E100" i="7"/>
  <c r="AI52" i="7"/>
  <c r="AJ52" i="7"/>
  <c r="E101" i="7"/>
  <c r="AI53" i="7"/>
  <c r="AJ53" i="7"/>
  <c r="E102" i="7"/>
  <c r="AI54" i="7"/>
  <c r="AJ54" i="7"/>
  <c r="E103" i="7"/>
  <c r="AI55" i="7"/>
  <c r="AJ55" i="7"/>
  <c r="E104" i="7"/>
  <c r="AI56" i="7"/>
  <c r="AJ56" i="7"/>
  <c r="E105" i="7"/>
  <c r="G94" i="7"/>
  <c r="I94" i="7"/>
  <c r="H94" i="7"/>
  <c r="J94" i="7"/>
  <c r="K94" i="7"/>
  <c r="D94" i="7"/>
  <c r="G93" i="7"/>
  <c r="I93" i="7"/>
  <c r="H93" i="7"/>
  <c r="J93" i="7"/>
  <c r="K93" i="7"/>
  <c r="D93" i="7"/>
  <c r="G92" i="7"/>
  <c r="I92" i="7"/>
  <c r="H92" i="7"/>
  <c r="J92" i="7"/>
  <c r="K92" i="7"/>
  <c r="D74" i="7"/>
  <c r="D92" i="7"/>
  <c r="AM87" i="7"/>
  <c r="AH13" i="7"/>
  <c r="AI13" i="7"/>
  <c r="AJ13" i="7"/>
  <c r="E74" i="7"/>
  <c r="AH14" i="7"/>
  <c r="AI14" i="7"/>
  <c r="AJ14" i="7"/>
  <c r="E75" i="7"/>
  <c r="AH15" i="7"/>
  <c r="AI15" i="7"/>
  <c r="AJ15" i="7"/>
  <c r="E76" i="7"/>
  <c r="AH16" i="7"/>
  <c r="AI16" i="7"/>
  <c r="AJ16" i="7"/>
  <c r="E77" i="7"/>
  <c r="AH17" i="7"/>
  <c r="AI17" i="7"/>
  <c r="AJ17" i="7"/>
  <c r="E78" i="7"/>
  <c r="AH18" i="7"/>
  <c r="AI18" i="7"/>
  <c r="AJ18" i="7"/>
  <c r="E79" i="7"/>
  <c r="AG13" i="7"/>
  <c r="AH19" i="7"/>
  <c r="AI19" i="7"/>
  <c r="AJ19" i="7"/>
  <c r="AK15" i="7"/>
  <c r="AK17" i="7"/>
  <c r="AK18" i="7"/>
  <c r="AK19" i="7"/>
  <c r="AH20" i="7"/>
  <c r="AI20" i="7"/>
  <c r="AJ20" i="7"/>
  <c r="AK20" i="7"/>
  <c r="AH21" i="7"/>
  <c r="AI21" i="7"/>
  <c r="AJ21" i="7"/>
  <c r="AK21" i="7"/>
  <c r="AH22" i="7"/>
  <c r="AI22" i="7"/>
  <c r="AJ22" i="7"/>
  <c r="AK22" i="7"/>
  <c r="AH23" i="7"/>
  <c r="AI23" i="7"/>
  <c r="AJ23" i="7"/>
  <c r="AK23" i="7"/>
  <c r="AH24" i="7"/>
  <c r="AI24" i="7"/>
  <c r="AJ24" i="7"/>
  <c r="AK24" i="7"/>
  <c r="AH25" i="7"/>
  <c r="AI25" i="7"/>
  <c r="AJ25" i="7"/>
  <c r="AK25" i="7"/>
  <c r="AH26" i="7"/>
  <c r="AI26" i="7"/>
  <c r="AJ26" i="7"/>
  <c r="AK26" i="7"/>
  <c r="AH27" i="7"/>
  <c r="AI27" i="7"/>
  <c r="AJ27" i="7"/>
  <c r="AK27" i="7"/>
  <c r="AH28" i="7"/>
  <c r="AI28" i="7"/>
  <c r="AJ28" i="7"/>
  <c r="AK28" i="7"/>
  <c r="AH29" i="7"/>
  <c r="AI29" i="7"/>
  <c r="AJ29" i="7"/>
  <c r="AK29" i="7"/>
  <c r="B30" i="7"/>
  <c r="C30" i="7"/>
  <c r="AH30" i="7"/>
  <c r="AI30" i="7"/>
  <c r="AJ30" i="7"/>
  <c r="AK30" i="7"/>
  <c r="AH31" i="7"/>
  <c r="AI31" i="7"/>
  <c r="AJ31" i="7"/>
  <c r="AK31" i="7"/>
  <c r="B32" i="7"/>
  <c r="C32" i="7"/>
  <c r="AH32" i="7"/>
  <c r="AI32" i="7"/>
  <c r="AJ32" i="7"/>
  <c r="AK32" i="7"/>
  <c r="AH33" i="7"/>
  <c r="AI33" i="7"/>
  <c r="AJ33" i="7"/>
  <c r="AK33" i="7"/>
  <c r="E80" i="7"/>
  <c r="E81" i="7"/>
  <c r="E82" i="7"/>
  <c r="E83" i="7"/>
  <c r="E84" i="7"/>
  <c r="E85" i="7"/>
  <c r="E86" i="7"/>
  <c r="E87" i="7"/>
  <c r="G87" i="7"/>
  <c r="F87" i="7"/>
  <c r="I87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H87" i="7"/>
  <c r="J87" i="7"/>
  <c r="K87" i="7"/>
  <c r="G86" i="7"/>
  <c r="I86" i="7"/>
  <c r="H86" i="7"/>
  <c r="J86" i="7"/>
  <c r="K86" i="7"/>
  <c r="G85" i="7"/>
  <c r="I85" i="7"/>
  <c r="H85" i="7"/>
  <c r="J85" i="7"/>
  <c r="K85" i="7"/>
  <c r="G84" i="7"/>
  <c r="I84" i="7"/>
  <c r="H84" i="7"/>
  <c r="J84" i="7"/>
  <c r="K84" i="7"/>
  <c r="G83" i="7"/>
  <c r="I83" i="7"/>
  <c r="H83" i="7"/>
  <c r="J83" i="7"/>
  <c r="K83" i="7"/>
  <c r="G82" i="7"/>
  <c r="I82" i="7"/>
  <c r="H82" i="7"/>
  <c r="J82" i="7"/>
  <c r="K82" i="7"/>
  <c r="G81" i="7"/>
  <c r="I81" i="7"/>
  <c r="H81" i="7"/>
  <c r="J81" i="7"/>
  <c r="K81" i="7"/>
  <c r="G80" i="7"/>
  <c r="I80" i="7"/>
  <c r="H80" i="7"/>
  <c r="J80" i="7"/>
  <c r="K80" i="7"/>
  <c r="G79" i="7"/>
  <c r="I79" i="7"/>
  <c r="H79" i="7"/>
  <c r="J79" i="7"/>
  <c r="K79" i="7"/>
  <c r="G78" i="7"/>
  <c r="I78" i="7"/>
  <c r="H78" i="7"/>
  <c r="J78" i="7"/>
  <c r="K78" i="7"/>
  <c r="G77" i="7"/>
  <c r="I77" i="7"/>
  <c r="H77" i="7"/>
  <c r="J77" i="7"/>
  <c r="K77" i="7"/>
  <c r="G76" i="7"/>
  <c r="I76" i="7"/>
  <c r="H76" i="7"/>
  <c r="J76" i="7"/>
  <c r="K76" i="7"/>
  <c r="G75" i="7"/>
  <c r="I75" i="7"/>
  <c r="H75" i="7"/>
  <c r="J75" i="7"/>
  <c r="K75" i="7"/>
  <c r="G74" i="7"/>
  <c r="I74" i="7"/>
  <c r="H74" i="7"/>
  <c r="J74" i="7"/>
  <c r="K74" i="7"/>
  <c r="AQ71" i="7"/>
  <c r="E65" i="7"/>
  <c r="B65" i="7"/>
  <c r="C65" i="7"/>
  <c r="G65" i="7"/>
  <c r="G51" i="7"/>
  <c r="M65" i="7"/>
  <c r="G47" i="7"/>
  <c r="K65" i="7"/>
  <c r="G46" i="7"/>
  <c r="J65" i="7"/>
  <c r="G45" i="7"/>
  <c r="I65" i="7"/>
  <c r="G44" i="7"/>
  <c r="H65" i="7"/>
  <c r="F65" i="7"/>
  <c r="E63" i="7"/>
  <c r="B63" i="7"/>
  <c r="C63" i="7"/>
  <c r="B34" i="7"/>
  <c r="B64" i="7"/>
  <c r="C64" i="7"/>
  <c r="E64" i="7"/>
  <c r="G64" i="7"/>
  <c r="M64" i="7"/>
  <c r="K64" i="7"/>
  <c r="J64" i="7"/>
  <c r="I64" i="7"/>
  <c r="H64" i="7"/>
  <c r="F64" i="7"/>
  <c r="AH63" i="7"/>
  <c r="G63" i="7"/>
  <c r="M63" i="7"/>
  <c r="K63" i="7"/>
  <c r="J63" i="7"/>
  <c r="I63" i="7"/>
  <c r="H63" i="7"/>
  <c r="B62" i="7"/>
  <c r="C62" i="7"/>
  <c r="AH62" i="7"/>
  <c r="E61" i="7"/>
  <c r="B61" i="7"/>
  <c r="C61" i="7"/>
  <c r="E62" i="7"/>
  <c r="G62" i="7"/>
  <c r="M62" i="7"/>
  <c r="K62" i="7"/>
  <c r="J62" i="7"/>
  <c r="I62" i="7"/>
  <c r="H62" i="7"/>
  <c r="F62" i="7"/>
  <c r="AM61" i="7"/>
  <c r="AH61" i="7"/>
  <c r="G61" i="7"/>
  <c r="M61" i="7"/>
  <c r="K61" i="7"/>
  <c r="J61" i="7"/>
  <c r="I61" i="7"/>
  <c r="H61" i="7"/>
  <c r="AM60" i="7"/>
  <c r="B60" i="7"/>
  <c r="C60" i="7"/>
  <c r="AH60" i="7"/>
  <c r="E59" i="7"/>
  <c r="B59" i="7"/>
  <c r="C59" i="7"/>
  <c r="E60" i="7"/>
  <c r="G60" i="7"/>
  <c r="M60" i="7"/>
  <c r="K60" i="7"/>
  <c r="J60" i="7"/>
  <c r="I60" i="7"/>
  <c r="H60" i="7"/>
  <c r="F60" i="7"/>
  <c r="AM59" i="7"/>
  <c r="AH59" i="7"/>
  <c r="G59" i="7"/>
  <c r="M59" i="7"/>
  <c r="K59" i="7"/>
  <c r="J59" i="7"/>
  <c r="I59" i="7"/>
  <c r="H59" i="7"/>
  <c r="AM58" i="7"/>
  <c r="B58" i="7"/>
  <c r="C58" i="7"/>
  <c r="AH58" i="7"/>
  <c r="F58" i="7"/>
  <c r="AM57" i="7"/>
  <c r="AH57" i="7"/>
  <c r="AM56" i="7"/>
  <c r="F56" i="7"/>
  <c r="AM55" i="7"/>
  <c r="AM54" i="7"/>
  <c r="F54" i="7"/>
  <c r="AM53" i="7"/>
  <c r="AM52" i="7"/>
  <c r="F52" i="7"/>
  <c r="AM51" i="7"/>
  <c r="K51" i="7"/>
  <c r="J51" i="7"/>
  <c r="I51" i="7"/>
  <c r="H51" i="7"/>
  <c r="AM50" i="7"/>
  <c r="F50" i="7"/>
  <c r="AM49" i="7"/>
  <c r="AM48" i="7"/>
  <c r="G48" i="7"/>
  <c r="K48" i="7"/>
  <c r="J48" i="7"/>
  <c r="I48" i="7"/>
  <c r="H48" i="7"/>
  <c r="AM47" i="7"/>
  <c r="J47" i="7"/>
  <c r="I47" i="7"/>
  <c r="H47" i="7"/>
  <c r="AM46" i="7"/>
  <c r="I46" i="7"/>
  <c r="H46" i="7"/>
  <c r="AM45" i="7"/>
  <c r="H45" i="7"/>
  <c r="AM44" i="7"/>
  <c r="AG43" i="7"/>
  <c r="F13" i="7"/>
  <c r="E13" i="7"/>
  <c r="E43" i="7"/>
  <c r="G43" i="7"/>
  <c r="D43" i="7"/>
  <c r="B13" i="7"/>
  <c r="B43" i="7"/>
  <c r="AJ41" i="7"/>
  <c r="E35" i="7"/>
  <c r="G35" i="7"/>
  <c r="G25" i="7"/>
  <c r="O35" i="7"/>
  <c r="G23" i="7"/>
  <c r="N35" i="7"/>
  <c r="G21" i="7"/>
  <c r="M35" i="7"/>
  <c r="G19" i="7"/>
  <c r="L35" i="7"/>
  <c r="G17" i="7"/>
  <c r="K35" i="7"/>
  <c r="F16" i="7"/>
  <c r="E16" i="7"/>
  <c r="G16" i="7"/>
  <c r="J35" i="7"/>
  <c r="G15" i="7"/>
  <c r="I35" i="7"/>
  <c r="F14" i="7"/>
  <c r="E14" i="7"/>
  <c r="G14" i="7"/>
  <c r="H35" i="7"/>
  <c r="F35" i="7"/>
  <c r="E33" i="7"/>
  <c r="C34" i="7"/>
  <c r="E34" i="7"/>
  <c r="G34" i="7"/>
  <c r="O34" i="7"/>
  <c r="N34" i="7"/>
  <c r="M34" i="7"/>
  <c r="L34" i="7"/>
  <c r="K34" i="7"/>
  <c r="J34" i="7"/>
  <c r="I34" i="7"/>
  <c r="H34" i="7"/>
  <c r="F33" i="7"/>
  <c r="F34" i="7"/>
  <c r="G33" i="7"/>
  <c r="O33" i="7"/>
  <c r="N33" i="7"/>
  <c r="M33" i="7"/>
  <c r="L33" i="7"/>
  <c r="K33" i="7"/>
  <c r="J33" i="7"/>
  <c r="I33" i="7"/>
  <c r="H33" i="7"/>
  <c r="E31" i="7"/>
  <c r="E32" i="7"/>
  <c r="G32" i="7"/>
  <c r="O32" i="7"/>
  <c r="N32" i="7"/>
  <c r="M32" i="7"/>
  <c r="L32" i="7"/>
  <c r="K32" i="7"/>
  <c r="J32" i="7"/>
  <c r="I32" i="7"/>
  <c r="H32" i="7"/>
  <c r="F31" i="7"/>
  <c r="F32" i="7"/>
  <c r="G31" i="7"/>
  <c r="O31" i="7"/>
  <c r="N31" i="7"/>
  <c r="M31" i="7"/>
  <c r="L31" i="7"/>
  <c r="K31" i="7"/>
  <c r="J31" i="7"/>
  <c r="I31" i="7"/>
  <c r="H31" i="7"/>
  <c r="E29" i="7"/>
  <c r="E30" i="7"/>
  <c r="G30" i="7"/>
  <c r="O30" i="7"/>
  <c r="N30" i="7"/>
  <c r="M30" i="7"/>
  <c r="L30" i="7"/>
  <c r="K30" i="7"/>
  <c r="J30" i="7"/>
  <c r="I30" i="7"/>
  <c r="H30" i="7"/>
  <c r="F29" i="7"/>
  <c r="F30" i="7"/>
  <c r="G29" i="7"/>
  <c r="O29" i="7"/>
  <c r="N29" i="7"/>
  <c r="M29" i="7"/>
  <c r="L29" i="7"/>
  <c r="K29" i="7"/>
  <c r="J29" i="7"/>
  <c r="I29" i="7"/>
  <c r="H29" i="7"/>
  <c r="E28" i="7"/>
  <c r="G28" i="7"/>
  <c r="O28" i="7"/>
  <c r="N28" i="7"/>
  <c r="M28" i="7"/>
  <c r="L28" i="7"/>
  <c r="K28" i="7"/>
  <c r="J28" i="7"/>
  <c r="I28" i="7"/>
  <c r="H28" i="7"/>
  <c r="F27" i="7"/>
  <c r="F28" i="7"/>
  <c r="AU27" i="7"/>
  <c r="AT27" i="7"/>
  <c r="AS27" i="7"/>
  <c r="AR27" i="7"/>
  <c r="G27" i="7"/>
  <c r="O27" i="7"/>
  <c r="N27" i="7"/>
  <c r="M27" i="7"/>
  <c r="L27" i="7"/>
  <c r="K27" i="7"/>
  <c r="J27" i="7"/>
  <c r="I27" i="7"/>
  <c r="H27" i="7"/>
  <c r="AU26" i="7"/>
  <c r="AT26" i="7"/>
  <c r="AS26" i="7"/>
  <c r="AR26" i="7"/>
  <c r="G26" i="7"/>
  <c r="O26" i="7"/>
  <c r="N26" i="7"/>
  <c r="M26" i="7"/>
  <c r="L26" i="7"/>
  <c r="K26" i="7"/>
  <c r="J26" i="7"/>
  <c r="I26" i="7"/>
  <c r="H26" i="7"/>
  <c r="F25" i="7"/>
  <c r="F26" i="7"/>
  <c r="AU25" i="7"/>
  <c r="AT25" i="7"/>
  <c r="AS25" i="7"/>
  <c r="AR25" i="7"/>
  <c r="N25" i="7"/>
  <c r="M25" i="7"/>
  <c r="L25" i="7"/>
  <c r="K25" i="7"/>
  <c r="J25" i="7"/>
  <c r="I25" i="7"/>
  <c r="H25" i="7"/>
  <c r="AU24" i="7"/>
  <c r="AT24" i="7"/>
  <c r="AS24" i="7"/>
  <c r="AR24" i="7"/>
  <c r="G24" i="7"/>
  <c r="N24" i="7"/>
  <c r="M24" i="7"/>
  <c r="L24" i="7"/>
  <c r="K24" i="7"/>
  <c r="J24" i="7"/>
  <c r="I24" i="7"/>
  <c r="H24" i="7"/>
  <c r="F23" i="7"/>
  <c r="F24" i="7"/>
  <c r="AU23" i="7"/>
  <c r="AT23" i="7"/>
  <c r="AS23" i="7"/>
  <c r="AR23" i="7"/>
  <c r="M23" i="7"/>
  <c r="L23" i="7"/>
  <c r="K23" i="7"/>
  <c r="J23" i="7"/>
  <c r="I23" i="7"/>
  <c r="H23" i="7"/>
  <c r="AU22" i="7"/>
  <c r="AT22" i="7"/>
  <c r="AS22" i="7"/>
  <c r="AR22" i="7"/>
  <c r="G22" i="7"/>
  <c r="M22" i="7"/>
  <c r="L22" i="7"/>
  <c r="K22" i="7"/>
  <c r="J22" i="7"/>
  <c r="I22" i="7"/>
  <c r="H22" i="7"/>
  <c r="F21" i="7"/>
  <c r="F22" i="7"/>
  <c r="AU21" i="7"/>
  <c r="AT21" i="7"/>
  <c r="AS21" i="7"/>
  <c r="AR21" i="7"/>
  <c r="L21" i="7"/>
  <c r="K21" i="7"/>
  <c r="J21" i="7"/>
  <c r="I21" i="7"/>
  <c r="H21" i="7"/>
  <c r="AU20" i="7"/>
  <c r="AT20" i="7"/>
  <c r="AS20" i="7"/>
  <c r="AR20" i="7"/>
  <c r="G20" i="7"/>
  <c r="L20" i="7"/>
  <c r="K20" i="7"/>
  <c r="J20" i="7"/>
  <c r="I20" i="7"/>
  <c r="H20" i="7"/>
  <c r="F19" i="7"/>
  <c r="F20" i="7"/>
  <c r="AU19" i="7"/>
  <c r="AT19" i="7"/>
  <c r="AS19" i="7"/>
  <c r="AR19" i="7"/>
  <c r="K19" i="7"/>
  <c r="J19" i="7"/>
  <c r="I19" i="7"/>
  <c r="H19" i="7"/>
  <c r="AU18" i="7"/>
  <c r="AT18" i="7"/>
  <c r="AS18" i="7"/>
  <c r="AR18" i="7"/>
  <c r="G18" i="7"/>
  <c r="K18" i="7"/>
  <c r="J18" i="7"/>
  <c r="I18" i="7"/>
  <c r="H18" i="7"/>
  <c r="AU17" i="7"/>
  <c r="AT17" i="7"/>
  <c r="AS17" i="7"/>
  <c r="AR17" i="7"/>
  <c r="J17" i="7"/>
  <c r="I17" i="7"/>
  <c r="H17" i="7"/>
  <c r="AU16" i="7"/>
  <c r="AT16" i="7"/>
  <c r="AS16" i="7"/>
  <c r="AR16" i="7"/>
  <c r="I16" i="7"/>
  <c r="H16" i="7"/>
  <c r="AR15" i="7"/>
  <c r="H15" i="7"/>
  <c r="AR14" i="7"/>
  <c r="AR13" i="7"/>
  <c r="G13" i="7"/>
  <c r="C28" i="9"/>
  <c r="E28" i="9"/>
  <c r="I28" i="9"/>
  <c r="D28" i="9"/>
  <c r="F28" i="9"/>
  <c r="G28" i="9"/>
  <c r="H28" i="9"/>
  <c r="J28" i="9"/>
  <c r="C27" i="9"/>
  <c r="E27" i="9"/>
  <c r="I27" i="9"/>
  <c r="D27" i="9"/>
  <c r="F27" i="9"/>
  <c r="G27" i="9"/>
  <c r="H27" i="9"/>
  <c r="J27" i="9"/>
  <c r="C26" i="9"/>
  <c r="E26" i="9"/>
  <c r="I26" i="9"/>
  <c r="D26" i="9"/>
  <c r="F26" i="9"/>
  <c r="G26" i="9"/>
  <c r="H26" i="9"/>
  <c r="J26" i="9"/>
  <c r="C25" i="9"/>
  <c r="E25" i="9"/>
  <c r="I25" i="9"/>
  <c r="D25" i="9"/>
  <c r="F25" i="9"/>
  <c r="G25" i="9"/>
  <c r="H25" i="9"/>
  <c r="J25" i="9"/>
  <c r="C24" i="9"/>
  <c r="E24" i="9"/>
  <c r="I24" i="9"/>
  <c r="D24" i="9"/>
  <c r="F24" i="9"/>
  <c r="G24" i="9"/>
  <c r="H24" i="9"/>
  <c r="J24" i="9"/>
  <c r="C23" i="9"/>
  <c r="E23" i="9"/>
  <c r="I23" i="9"/>
  <c r="D23" i="9"/>
  <c r="F23" i="9"/>
  <c r="G23" i="9"/>
  <c r="H23" i="9"/>
  <c r="J23" i="9"/>
  <c r="C22" i="9"/>
  <c r="D22" i="9"/>
  <c r="F22" i="9"/>
  <c r="C21" i="9"/>
  <c r="D21" i="9"/>
  <c r="F21" i="9"/>
  <c r="C20" i="9"/>
  <c r="D20" i="9"/>
  <c r="F20" i="9"/>
  <c r="C19" i="9"/>
  <c r="D19" i="9"/>
  <c r="F19" i="9"/>
  <c r="C18" i="9"/>
  <c r="D18" i="9"/>
  <c r="F18" i="9"/>
  <c r="C17" i="9"/>
  <c r="D17" i="9"/>
  <c r="F17" i="9"/>
  <c r="C16" i="9"/>
  <c r="D16" i="9"/>
  <c r="F16" i="9"/>
  <c r="C15" i="9"/>
  <c r="D15" i="9"/>
  <c r="F15" i="9"/>
  <c r="C14" i="9"/>
  <c r="D14" i="9"/>
  <c r="F14" i="9"/>
  <c r="C13" i="9"/>
  <c r="D13" i="9"/>
  <c r="F13" i="9"/>
  <c r="C12" i="9"/>
  <c r="D12" i="9"/>
  <c r="F12" i="9"/>
  <c r="C11" i="9"/>
  <c r="D11" i="9"/>
  <c r="F11" i="9"/>
  <c r="C10" i="9"/>
  <c r="D10" i="9"/>
  <c r="F10" i="9"/>
  <c r="C9" i="9"/>
  <c r="D9" i="9"/>
  <c r="F9" i="9"/>
  <c r="C8" i="9"/>
  <c r="D8" i="9"/>
  <c r="F8" i="9"/>
  <c r="C7" i="9"/>
  <c r="D7" i="9"/>
  <c r="F7" i="9"/>
  <c r="C6" i="9"/>
  <c r="D6" i="9"/>
  <c r="F6" i="9"/>
  <c r="C5" i="9"/>
  <c r="D5" i="9"/>
  <c r="F5" i="9"/>
  <c r="C4" i="9"/>
  <c r="D4" i="9"/>
  <c r="F4" i="9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2" i="8"/>
  <c r="G2" i="8"/>
  <c r="G1" i="8"/>
  <c r="E49" i="7"/>
  <c r="G49" i="7"/>
  <c r="H49" i="7"/>
  <c r="I49" i="7"/>
  <c r="J49" i="7"/>
  <c r="K49" i="7"/>
  <c r="E50" i="7"/>
  <c r="G50" i="7"/>
  <c r="H50" i="7"/>
  <c r="I50" i="7"/>
  <c r="J50" i="7"/>
  <c r="K50" i="7"/>
  <c r="L50" i="7"/>
  <c r="L51" i="7"/>
  <c r="AP65" i="7"/>
  <c r="E53" i="7"/>
  <c r="E52" i="7"/>
  <c r="G52" i="7"/>
  <c r="H52" i="7"/>
  <c r="I52" i="7"/>
  <c r="J52" i="7"/>
  <c r="K52" i="7"/>
  <c r="L52" i="7"/>
  <c r="M52" i="7"/>
  <c r="G53" i="7"/>
  <c r="H53" i="7"/>
  <c r="I53" i="7"/>
  <c r="J53" i="7"/>
  <c r="K53" i="7"/>
  <c r="L53" i="7"/>
  <c r="M53" i="7"/>
  <c r="AP66" i="7"/>
  <c r="E55" i="7"/>
  <c r="E54" i="7"/>
  <c r="G54" i="7"/>
  <c r="H54" i="7"/>
  <c r="I54" i="7"/>
  <c r="J54" i="7"/>
  <c r="K54" i="7"/>
  <c r="L54" i="7"/>
  <c r="M54" i="7"/>
  <c r="N54" i="7"/>
  <c r="G55" i="7"/>
  <c r="H55" i="7"/>
  <c r="I55" i="7"/>
  <c r="J55" i="7"/>
  <c r="K55" i="7"/>
  <c r="L55" i="7"/>
  <c r="M55" i="7"/>
  <c r="N55" i="7"/>
  <c r="AP71" i="7"/>
  <c r="E57" i="7"/>
  <c r="E56" i="7"/>
  <c r="G56" i="7"/>
  <c r="H56" i="7"/>
  <c r="I56" i="7"/>
  <c r="J56" i="7"/>
  <c r="K56" i="7"/>
  <c r="L56" i="7"/>
  <c r="M56" i="7"/>
  <c r="N56" i="7"/>
  <c r="O56" i="7"/>
  <c r="G57" i="7"/>
  <c r="H57" i="7"/>
  <c r="I57" i="7"/>
  <c r="J57" i="7"/>
  <c r="K57" i="7"/>
  <c r="L57" i="7"/>
  <c r="M57" i="7"/>
  <c r="N57" i="7"/>
  <c r="O57" i="7"/>
  <c r="AP68" i="7"/>
  <c r="AP67" i="7"/>
  <c r="AI57" i="7"/>
  <c r="AJ57" i="7"/>
  <c r="E58" i="7"/>
  <c r="G58" i="7"/>
  <c r="H58" i="7"/>
  <c r="I58" i="7"/>
  <c r="J58" i="7"/>
  <c r="K58" i="7"/>
  <c r="L58" i="7"/>
  <c r="M58" i="7"/>
  <c r="N58" i="7"/>
  <c r="O58" i="7"/>
  <c r="AI58" i="7"/>
  <c r="AJ58" i="7"/>
  <c r="L59" i="7"/>
  <c r="N59" i="7"/>
  <c r="O59" i="7"/>
  <c r="AP69" i="7"/>
  <c r="AI59" i="7"/>
  <c r="AJ59" i="7"/>
  <c r="L60" i="7"/>
  <c r="N60" i="7"/>
  <c r="O60" i="7"/>
  <c r="AI60" i="7"/>
  <c r="AJ60" i="7"/>
  <c r="L61" i="7"/>
  <c r="N61" i="7"/>
  <c r="O61" i="7"/>
  <c r="AP70" i="7"/>
  <c r="AI61" i="7"/>
  <c r="AJ61" i="7"/>
  <c r="L62" i="7"/>
  <c r="N62" i="7"/>
  <c r="O62" i="7"/>
  <c r="AI62" i="7"/>
  <c r="AJ62" i="7"/>
  <c r="L63" i="7"/>
  <c r="N63" i="7"/>
  <c r="O63" i="7"/>
  <c r="AI63" i="7"/>
  <c r="AJ63" i="7"/>
  <c r="L64" i="7"/>
  <c r="N64" i="7"/>
  <c r="O64" i="7"/>
  <c r="L65" i="7"/>
  <c r="N65" i="7"/>
  <c r="O65" i="7"/>
  <c r="AS71" i="7"/>
  <c r="G95" i="7"/>
  <c r="I95" i="7"/>
  <c r="K95" i="7"/>
  <c r="G96" i="7"/>
  <c r="I96" i="7"/>
  <c r="K96" i="7"/>
  <c r="G97" i="7"/>
  <c r="I97" i="7"/>
  <c r="K97" i="7"/>
  <c r="G98" i="7"/>
  <c r="I98" i="7"/>
  <c r="K98" i="7"/>
  <c r="G99" i="7"/>
  <c r="I99" i="7"/>
  <c r="K99" i="7"/>
  <c r="G100" i="7"/>
  <c r="I100" i="7"/>
  <c r="K100" i="7"/>
  <c r="G101" i="7"/>
  <c r="I101" i="7"/>
  <c r="K101" i="7"/>
  <c r="G102" i="7"/>
  <c r="I102" i="7"/>
  <c r="K102" i="7"/>
  <c r="G103" i="7"/>
  <c r="I103" i="7"/>
  <c r="K103" i="7"/>
  <c r="G104" i="7"/>
  <c r="I104" i="7"/>
  <c r="K104" i="7"/>
  <c r="G105" i="7"/>
  <c r="I105" i="7"/>
  <c r="K105" i="7"/>
</calcChain>
</file>

<file path=xl/sharedStrings.xml><?xml version="1.0" encoding="utf-8"?>
<sst xmlns="http://schemas.openxmlformats.org/spreadsheetml/2006/main" count="172" uniqueCount="134">
  <si>
    <t>Today</t>
  </si>
  <si>
    <t>Settle</t>
  </si>
  <si>
    <t>Basis</t>
  </si>
  <si>
    <t>PX_LAST</t>
  </si>
  <si>
    <t>Days</t>
  </si>
  <si>
    <t>Tennor</t>
  </si>
  <si>
    <t>ON</t>
  </si>
  <si>
    <t>CHSWPC Curncy</t>
  </si>
  <si>
    <t>CHSWPF Curncy</t>
  </si>
  <si>
    <t>CHSWPI Curncy</t>
  </si>
  <si>
    <t>CHSWP1 Curncy</t>
  </si>
  <si>
    <t>CHSWP1F Curncy</t>
  </si>
  <si>
    <t>CHSWP2  Curncy</t>
  </si>
  <si>
    <t>CHSWP3 Curncy</t>
  </si>
  <si>
    <t>CHSWP4 Curncy</t>
  </si>
  <si>
    <t>CHSWP5  Curncy</t>
  </si>
  <si>
    <t>CHSWP6  Curncy</t>
  </si>
  <si>
    <t>CHSWP7  Curncy</t>
  </si>
  <si>
    <t>CHSWP8  Curncy</t>
  </si>
  <si>
    <t>CHSWP9  Curncy</t>
  </si>
  <si>
    <t>CHSWP10  Curncy</t>
  </si>
  <si>
    <t>CHOVCHOV Index</t>
  </si>
  <si>
    <t>zero_yld</t>
  </si>
  <si>
    <t>Tenor</t>
  </si>
  <si>
    <t>Z Rate Lineal</t>
  </si>
  <si>
    <t>Swap Rate</t>
  </si>
  <si>
    <t>D Spot</t>
  </si>
  <si>
    <t>3mDt</t>
  </si>
  <si>
    <t>6mDt</t>
  </si>
  <si>
    <t>9mDT</t>
  </si>
  <si>
    <t>1yDT</t>
  </si>
  <si>
    <t>2yDT</t>
  </si>
  <si>
    <t>3yDT</t>
  </si>
  <si>
    <t>4yDT</t>
  </si>
  <si>
    <t>5yDT</t>
  </si>
  <si>
    <t>FRAS</t>
  </si>
  <si>
    <t>Raw Data Nominal</t>
  </si>
  <si>
    <t>Raw Data Real</t>
  </si>
  <si>
    <t>CHSWC2 Curncy</t>
  </si>
  <si>
    <t>CHSWC3  Curncy</t>
  </si>
  <si>
    <t>CHSWC4  Curncy</t>
  </si>
  <si>
    <t>CHSWC5  Curncy</t>
  </si>
  <si>
    <t>CHSWC6  Curncy</t>
  </si>
  <si>
    <t>CHSWC7  Curncy</t>
  </si>
  <si>
    <t>CHSWC8  Curncy</t>
  </si>
  <si>
    <t>CHSWC9  Curncy</t>
  </si>
  <si>
    <t>CHSWC10  Curncy</t>
  </si>
  <si>
    <t>DF</t>
  </si>
  <si>
    <t>Holding_P</t>
  </si>
  <si>
    <t>fwd_coupon_DF</t>
  </si>
  <si>
    <t>Carry + Roll</t>
  </si>
  <si>
    <t>Fwd</t>
  </si>
  <si>
    <t>HP</t>
  </si>
  <si>
    <t>Spot</t>
  </si>
  <si>
    <t>Spot - HP</t>
  </si>
  <si>
    <t>Fwd -HP</t>
  </si>
  <si>
    <t>falta definir tasa overnight real y parte corta</t>
  </si>
  <si>
    <t>Tenor [Days]</t>
  </si>
  <si>
    <t>Tenor[years]</t>
  </si>
  <si>
    <t>Carry + Roll CLP/CAM</t>
  </si>
  <si>
    <t>Carry</t>
  </si>
  <si>
    <t>Roll</t>
  </si>
  <si>
    <t>swap FRA</t>
  </si>
  <si>
    <t>zero_FRA</t>
  </si>
  <si>
    <t>Exact_Days</t>
  </si>
  <si>
    <t>Carry + Roll UF/CAM</t>
  </si>
  <si>
    <t>Ticker</t>
  </si>
  <si>
    <t>Tenor + HP [days]</t>
  </si>
  <si>
    <t>Maturity</t>
  </si>
  <si>
    <t>Plazo</t>
  </si>
  <si>
    <t>NDF UF/CLP</t>
  </si>
  <si>
    <t>Curve_date</t>
  </si>
  <si>
    <t>Fecha</t>
  </si>
  <si>
    <t>este es el dia de la curva</t>
  </si>
  <si>
    <t>tenor</t>
  </si>
  <si>
    <t>ticker</t>
  </si>
  <si>
    <t>spot</t>
  </si>
  <si>
    <t>CHUF Index</t>
  </si>
  <si>
    <t>eom</t>
  </si>
  <si>
    <t>1m</t>
  </si>
  <si>
    <t>CFNP1 BDCH Curncy</t>
  </si>
  <si>
    <t>2m</t>
  </si>
  <si>
    <t>CFNP2 BDCH Curncy</t>
  </si>
  <si>
    <t>3m</t>
  </si>
  <si>
    <t>CFNP3 BDCH Curncy</t>
  </si>
  <si>
    <t>4m</t>
  </si>
  <si>
    <t>CFNP4 BDCH Curncy</t>
  </si>
  <si>
    <t>5m</t>
  </si>
  <si>
    <t>CFNP5 BDCH Curncy</t>
  </si>
  <si>
    <t>6m</t>
  </si>
  <si>
    <t>CFNP6 BDCH Curncy</t>
  </si>
  <si>
    <t>7m</t>
  </si>
  <si>
    <t>CFNP7 BDCH Curncy</t>
  </si>
  <si>
    <t>8m</t>
  </si>
  <si>
    <t>CFNP8 BDCH Curncy</t>
  </si>
  <si>
    <t>9m</t>
  </si>
  <si>
    <t>CFNP9 BDCH Curncy</t>
  </si>
  <si>
    <t>10m</t>
  </si>
  <si>
    <t>CFNP10 BDCH Curncy</t>
  </si>
  <si>
    <t>11m</t>
  </si>
  <si>
    <t>CFNP11 BDCH Curncy</t>
  </si>
  <si>
    <t>12m</t>
  </si>
  <si>
    <t>CFNP12 BDCH Curncy</t>
  </si>
  <si>
    <t>13m</t>
  </si>
  <si>
    <t>CFNP13 BDCH Curncy</t>
  </si>
  <si>
    <t>14m</t>
  </si>
  <si>
    <t>CFNP14 BDCH Curncy</t>
  </si>
  <si>
    <t>15m</t>
  </si>
  <si>
    <t>CFNP15 BDCH Curncy</t>
  </si>
  <si>
    <t>16m</t>
  </si>
  <si>
    <t>CFNP16 BDCH Curncy</t>
  </si>
  <si>
    <t>17m</t>
  </si>
  <si>
    <t>CFNP17 BDCH Curncy</t>
  </si>
  <si>
    <t>18m</t>
  </si>
  <si>
    <t>CFNP18 BDCH Curncy</t>
  </si>
  <si>
    <t>19m</t>
  </si>
  <si>
    <t>CFNP19 BDCH Curncy</t>
  </si>
  <si>
    <t>20m</t>
  </si>
  <si>
    <t>CFNP20 BDCH Curncy</t>
  </si>
  <si>
    <t>21m</t>
  </si>
  <si>
    <t>CFNP21 BDCH Curncy</t>
  </si>
  <si>
    <t>22m</t>
  </si>
  <si>
    <t>CFNP22 BDCH Curncy</t>
  </si>
  <si>
    <t>23m</t>
  </si>
  <si>
    <t>CFNP23 BDCH Curncy</t>
  </si>
  <si>
    <t>24m</t>
  </si>
  <si>
    <t>CFNP24 BDCH Curncy</t>
  </si>
  <si>
    <t>1D</t>
  </si>
  <si>
    <t>manual</t>
  </si>
  <si>
    <t>UF</t>
  </si>
  <si>
    <t>Infla</t>
  </si>
  <si>
    <t>Infla Lin360</t>
  </si>
  <si>
    <t>pesos</t>
  </si>
  <si>
    <t>DF*coupon_tenor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</si>
</sst>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_ * #,##0_ ;_ * \-#,##0_ ;_ * &quot;-&quot;_ ;_ @_ "/>
    <numFmt numFmtId="165" formatCode="_(* #,##0.00_);_(* \(#,##0.00\);_(* &quot;-&quot;??_);_(@_)"/>
    <numFmt numFmtId="166" formatCode="_(* #,##0_);_(* \(#,##0\);_(* &quot;-&quot;??_);_(@_)"/>
    <numFmt numFmtId="167" formatCode="0.00&quot;Y&quot;"/>
    <numFmt numFmtId="168" formatCode="0.000%"/>
    <numFmt numFmtId="169" formatCode="0.000"/>
    <numFmt numFmtId="170" formatCode="_-* #,##0.000_-;\-* #,##0.000_-;_-* &quot;-&quot;??_-;_-@_-"/>
    <numFmt numFmtId="171" formatCode="_-* #,##0.0000_-;\-* #,##0.0000_-;_-* &quot;-&quot;??_-;_-@_-"/>
    <numFmt numFmtId="172" formatCode="_-* #,##0.000000_-;\-* #,##0.000000_-;_-* &quot;-&quot;??_-;_-@_-"/>
    <numFmt numFmtId="173" formatCode="0.0&quot;Y&quot;"/>
    <numFmt numFmtId="174" formatCode="0&quot;Y&quot;"/>
    <numFmt numFmtId="175" formatCode="0.000000"/>
    <numFmt numFmtId="176" formatCode="_-* #,##0.0_-;\-* #,##0.0_-;_-* &quot;-&quot;??_-;_-@_-"/>
    <numFmt numFmtId="177" formatCode="_-* #,##0.0_-;\-* #,##0.0_-;_-* &quot;-&quot;?_-;_-@_-"/>
    <numFmt numFmtId="178" formatCode="0.0000%"/>
    <numFmt numFmtId="179" formatCode="_-* #,##0.000000_-;\-* #,##0.000000_-;_-* &quot;-&quot;???_-;_-@_-"/>
    <numFmt numFmtId="180" formatCode="_-* #,##0.00000_-;\-* #,##0.000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39997558519241921"/>
        <bgColor indexed="65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2" borderId="1" applyNumberFormat="0" applyAlignment="0" applyProtection="0"/>
    <xf numFmtId="0" fontId="5" fillId="0" borderId="0"/>
    <xf numFmtId="0" fontId="4" fillId="3" borderId="0" applyNumberFormat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69">
    <xf numFmtId="0" fontId="0" fillId="0" borderId="0" xfId="0"/>
    <xf numFmtId="14" fontId="0" fillId="0" borderId="0" xfId="0" applyNumberFormat="1"/>
    <xf numFmtId="0" fontId="0" fillId="0" borderId="0" xfId="0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168" fontId="0" fillId="0" borderId="0" xfId="1" applyNumberFormat="1" applyFont="1"/>
    <xf numFmtId="43" fontId="0" fillId="0" borderId="0" xfId="8" applyFont="1"/>
    <xf numFmtId="170" fontId="0" fillId="0" borderId="0" xfId="8" applyNumberFormat="1" applyFont="1"/>
    <xf numFmtId="171" fontId="0" fillId="0" borderId="0" xfId="8" applyNumberFormat="1" applyFont="1"/>
    <xf numFmtId="0" fontId="0" fillId="0" borderId="0" xfId="0" applyBorder="1"/>
    <xf numFmtId="43" fontId="0" fillId="0" borderId="0" xfId="0" applyNumberFormat="1"/>
    <xf numFmtId="172" fontId="0" fillId="0" borderId="0" xfId="0" applyNumberFormat="1"/>
    <xf numFmtId="0" fontId="8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70" fontId="0" fillId="0" borderId="0" xfId="8" applyNumberFormat="1" applyFont="1" applyAlignment="1">
      <alignment horizontal="center"/>
    </xf>
    <xf numFmtId="14" fontId="0" fillId="0" borderId="0" xfId="0" applyNumberFormat="1" applyFill="1"/>
    <xf numFmtId="0" fontId="0" fillId="0" borderId="0" xfId="0" applyFill="1"/>
    <xf numFmtId="14" fontId="0" fillId="0" borderId="4" xfId="0" applyNumberFormat="1" applyFill="1" applyBorder="1" applyAlignment="1">
      <alignment horizontal="center"/>
    </xf>
    <xf numFmtId="166" fontId="0" fillId="0" borderId="5" xfId="2" applyNumberFormat="1" applyFont="1" applyFill="1" applyBorder="1" applyAlignment="1">
      <alignment horizontal="center"/>
    </xf>
    <xf numFmtId="0" fontId="0" fillId="0" borderId="0" xfId="0" applyFill="1" applyBorder="1"/>
    <xf numFmtId="0" fontId="6" fillId="0" borderId="6" xfId="0" applyFont="1" applyFill="1" applyBorder="1" applyAlignment="1">
      <alignment horizontal="center"/>
    </xf>
    <xf numFmtId="0" fontId="7" fillId="0" borderId="2" xfId="5" applyFont="1" applyFill="1" applyBorder="1" applyAlignment="1">
      <alignment horizontal="center"/>
    </xf>
    <xf numFmtId="0" fontId="7" fillId="0" borderId="6" xfId="5" applyFont="1" applyFill="1" applyBorder="1" applyAlignment="1">
      <alignment horizontal="center"/>
    </xf>
    <xf numFmtId="174" fontId="6" fillId="0" borderId="0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1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43" fontId="0" fillId="0" borderId="0" xfId="8" applyNumberFormat="1" applyFont="1" applyAlignment="1">
      <alignment horizontal="center"/>
    </xf>
    <xf numFmtId="176" fontId="0" fillId="0" borderId="0" xfId="8" applyNumberFormat="1" applyFont="1"/>
    <xf numFmtId="43" fontId="0" fillId="0" borderId="0" xfId="8" applyNumberFormat="1" applyFont="1"/>
    <xf numFmtId="43" fontId="0" fillId="0" borderId="0" xfId="8" applyFont="1" applyAlignment="1"/>
    <xf numFmtId="177" fontId="0" fillId="0" borderId="0" xfId="0" applyNumberFormat="1"/>
    <xf numFmtId="168" fontId="0" fillId="0" borderId="0" xfId="1" applyNumberFormat="1" applyFont="1" applyAlignment="1">
      <alignment horizontal="center"/>
    </xf>
    <xf numFmtId="178" fontId="0" fillId="0" borderId="0" xfId="1" applyNumberFormat="1" applyFont="1" applyAlignment="1">
      <alignment horizontal="center"/>
    </xf>
    <xf numFmtId="43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67" fontId="0" fillId="0" borderId="7" xfId="0" applyNumberFormat="1" applyFill="1" applyBorder="1" applyAlignment="1">
      <alignment horizontal="center"/>
    </xf>
    <xf numFmtId="167" fontId="0" fillId="0" borderId="0" xfId="0" applyNumberFormat="1"/>
    <xf numFmtId="171" fontId="0" fillId="0" borderId="7" xfId="8" applyNumberFormat="1" applyFont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10" fillId="0" borderId="0" xfId="0" applyFont="1" applyFill="1"/>
    <xf numFmtId="0" fontId="9" fillId="0" borderId="5" xfId="0" applyFont="1" applyFill="1" applyBorder="1"/>
    <xf numFmtId="0" fontId="0" fillId="0" borderId="0" xfId="0" applyNumberFormat="1"/>
    <xf numFmtId="171" fontId="0" fillId="0" borderId="0" xfId="0" applyNumberFormat="1"/>
    <xf numFmtId="0" fontId="0" fillId="0" borderId="0" xfId="0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1" fillId="0" borderId="0" xfId="0" applyFont="1" applyFill="1" applyAlignment="1"/>
    <xf numFmtId="0" fontId="11" fillId="0" borderId="0" xfId="0" applyFont="1" applyAlignment="1"/>
    <xf numFmtId="14" fontId="0" fillId="0" borderId="3" xfId="0" applyNumberForma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4" fontId="0" fillId="0" borderId="0" xfId="0" applyNumberFormat="1" applyFill="1" applyBorder="1"/>
    <xf numFmtId="0" fontId="0" fillId="0" borderId="0" xfId="0" applyFill="1" applyBorder="1" applyAlignment="1">
      <alignment vertical="center"/>
    </xf>
    <xf numFmtId="14" fontId="0" fillId="0" borderId="0" xfId="0" applyNumberFormat="1" applyAlignment="1">
      <alignment horizontal="center"/>
    </xf>
    <xf numFmtId="10" fontId="0" fillId="0" borderId="0" xfId="1" applyNumberFormat="1" applyFont="1"/>
    <xf numFmtId="43" fontId="0" fillId="0" borderId="0" xfId="8" applyFont="1" applyAlignment="1">
      <alignment horizontal="center"/>
    </xf>
    <xf numFmtId="43" fontId="0" fillId="0" borderId="7" xfId="8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43" fontId="0" fillId="0" borderId="0" xfId="8" applyFont="1" applyBorder="1" applyAlignment="1">
      <alignment horizontal="center"/>
    </xf>
    <xf numFmtId="10" fontId="0" fillId="0" borderId="0" xfId="1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174" fontId="6" fillId="0" borderId="2" xfId="0" applyNumberFormat="1" applyFont="1" applyFill="1" applyBorder="1" applyAlignment="1">
      <alignment horizontal="center"/>
    </xf>
    <xf numFmtId="174" fontId="6" fillId="0" borderId="3" xfId="0" applyNumberFormat="1" applyFont="1" applyFill="1" applyBorder="1" applyAlignment="1">
      <alignment horizontal="center"/>
    </xf>
    <xf numFmtId="167" fontId="6" fillId="0" borderId="2" xfId="0" applyNumberFormat="1" applyFont="1" applyFill="1" applyBorder="1" applyAlignment="1">
      <alignment horizontal="center"/>
    </xf>
    <xf numFmtId="167" fontId="6" fillId="0" borderId="3" xfId="0" applyNumberFormat="1" applyFont="1" applyFill="1" applyBorder="1" applyAlignment="1">
      <alignment horizontal="center"/>
    </xf>
    <xf numFmtId="173" fontId="6" fillId="0" borderId="2" xfId="0" applyNumberFormat="1" applyFont="1" applyFill="1" applyBorder="1" applyAlignment="1">
      <alignment horizontal="center"/>
    </xf>
    <xf numFmtId="173" fontId="6" fillId="0" borderId="3" xfId="0" applyNumberFormat="1" applyFont="1" applyFill="1" applyBorder="1" applyAlignment="1">
      <alignment horizontal="center"/>
    </xf>
  </cellXfs>
  <cellStyles count="9">
    <cellStyle name="60% - Accent2" xfId="5" xr:uid="{BFEE4520-0AFD-466F-911A-A33A8949EB76}"/>
    <cellStyle name="Calculation" xfId="3" xr:uid="{94E262FB-9838-4F8B-9A80-73DD5B019A20}"/>
    <cellStyle name="Millares" xfId="8" builtinId="3"/>
    <cellStyle name="Millares [0] 2" xfId="7" xr:uid="{DF8171DE-BFDF-49F4-A9F2-E5FEE4F4E99E}"/>
    <cellStyle name="Millares 2" xfId="2" xr:uid="{CAD44EB7-6AA6-4E6E-A19D-36767B91C72D}"/>
    <cellStyle name="Normal" xfId="0" builtinId="0"/>
    <cellStyle name="Normal 10" xfId="4" xr:uid="{F5F2EF63-CFDB-412C-B1B5-AE09F6CD23CF}"/>
    <cellStyle name="Porcentaje" xfId="1" builtinId="5"/>
    <cellStyle name="Porcentaje 2" xfId="6" xr:uid="{79506224-4C06-46C8-8DBE-FC5B1D8A1E5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09-09-2020</v>
        <stp/>
        <stp>##V3_BDPV12</stp>
        <stp>CFNP20 BDCH Curncy</stp>
        <stp>SETTLE_DT</stp>
        <stp>[Master_f.xlsm]UF_dates!R24C3</stp>
        <tr r="C24" s="9"/>
      </tp>
      <tp t="s">
        <v>08-11-2019</v>
        <stp/>
        <stp>##V3_BDPV12</stp>
        <stp>CFNP10 BDCH Curncy</stp>
        <stp>SETTLE_DT</stp>
        <stp>[Master_f.xlsm]UF_dates!R14C3</stp>
        <tr r="C14" s="9"/>
      </tp>
      <tp>
        <v>1.2250000000000001</v>
        <stp/>
        <stp>##V3_BDPV12</stp>
        <stp>CHSWC10  Curncy</stp>
        <stp>PX_LAST</stp>
        <stp>[Master_f.xlsm]CHILE!R71C43</stp>
        <tr r="AQ71" s="7"/>
      </tp>
      <tp t="s">
        <v>09-10-2020</v>
        <stp/>
        <stp>##V3_BDPV12</stp>
        <stp>CFNP21 BDCH Curncy</stp>
        <stp>SETTLE_DT</stp>
        <stp>[Master_f.xlsm]UF_dates!R25C3</stp>
        <tr r="C25" s="9"/>
      </tp>
      <tp t="s">
        <v>09-12-2019</v>
        <stp/>
        <stp>##V3_BDPV12</stp>
        <stp>CFNP11 BDCH Curncy</stp>
        <stp>SETTLE_DT</stp>
        <stp>[Master_f.xlsm]UF_dates!R15C3</stp>
        <tr r="C15" s="9"/>
      </tp>
      <tp t="s">
        <v>09-11-2020</v>
        <stp/>
        <stp>##V3_BDPV12</stp>
        <stp>CFNP22 BDCH Curncy</stp>
        <stp>SETTLE_DT</stp>
        <stp>[Master_f.xlsm]UF_dates!R26C3</stp>
        <tr r="C26" s="9"/>
      </tp>
      <tp t="s">
        <v>09-01-2020</v>
        <stp/>
        <stp>##V3_BDPV12</stp>
        <stp>CFNP12 BDCH Curncy</stp>
        <stp>SETTLE_DT</stp>
        <stp>[Master_f.xlsm]UF_dates!R16C3</stp>
        <tr r="C16" s="9"/>
      </tp>
      <tp t="s">
        <v>09-12-2020</v>
        <stp/>
        <stp>##V3_BDPV12</stp>
        <stp>CFNP23 BDCH Curncy</stp>
        <stp>SETTLE_DT</stp>
        <stp>[Master_f.xlsm]UF_dates!R27C3</stp>
        <tr r="C27" s="9"/>
      </tp>
      <tp t="s">
        <v>07-02-2020</v>
        <stp/>
        <stp>##V3_BDPV12</stp>
        <stp>CFNP13 BDCH Curncy</stp>
        <stp>SETTLE_DT</stp>
        <stp>[Master_f.xlsm]UF_dates!R17C3</stp>
        <tr r="C17" s="9"/>
      </tp>
      <tp t="s">
        <v>08-05-2020</v>
        <stp/>
        <stp>##V3_BDPV12</stp>
        <stp>CFNP16 BDCH Curncy</stp>
        <stp>SETTLE_DT</stp>
        <stp>[Master_f.xlsm]UF_dates!R20C3</stp>
        <tr r="C20" s="9"/>
      </tp>
    </main>
    <main first="bloomberg.rtd">
      <tp t="s">
        <v>09-06-2020</v>
        <stp/>
        <stp>##V3_BDPV12</stp>
        <stp>CFNP17 BDCH Curncy</stp>
        <stp>SETTLE_DT</stp>
        <stp>[Master_f.xlsm]UF_dates!R21C3</stp>
        <tr r="C21" s="9"/>
      </tp>
      <tp>
        <v>1.18</v>
        <stp/>
        <stp>##V3_BDPV12</stp>
        <stp>CHSWC9  Curncy</stp>
        <stp>PX_LAST</stp>
        <stp>[Master_f.xlsm]CHILE!R70C43</stp>
        <tr r="AQ70" s="7"/>
      </tp>
      <tp>
        <v>1.1180000000000001</v>
        <stp/>
        <stp>##V3_BDPV12</stp>
        <stp>CHSWC8  Curncy</stp>
        <stp>PX_LAST</stp>
        <stp>[Master_f.xlsm]CHILE!R69C43</stp>
        <tr r="AQ69" s="7"/>
      </tp>
      <tp>
        <v>0.83499999999999996</v>
        <stp/>
        <stp>##V3_BDPV12</stp>
        <stp>CHSWC4  Curncy</stp>
        <stp>PX_LAST</stp>
        <stp>[Master_f.xlsm]CHILE!R65C43</stp>
        <tr r="AQ65" s="7"/>
      </tp>
      <tp>
        <v>0.9</v>
        <stp/>
        <stp>##V3_BDPV12</stp>
        <stp>CHSWC5  Curncy</stp>
        <stp>PX_LAST</stp>
        <stp>[Master_f.xlsm]CHILE!R66C43</stp>
        <tr r="AQ66" s="7"/>
      </tp>
      <tp>
        <v>0.96499999999999997</v>
        <stp/>
        <stp>##V3_BDPV12</stp>
        <stp>CHSWC6  Curncy</stp>
        <stp>PX_LAST</stp>
        <stp>[Master_f.xlsm]CHILE!R67C43</stp>
        <tr r="AQ67" s="7"/>
      </tp>
      <tp>
        <v>1.0249999999999999</v>
        <stp/>
        <stp>##V3_BDPV12</stp>
        <stp>CHSWC7  Curncy</stp>
        <stp>PX_LAST</stp>
        <stp>[Master_f.xlsm]CHILE!R68C43</stp>
        <tr r="AQ68" s="7"/>
      </tp>
      <tp>
        <v>0.78500000000000003</v>
        <stp/>
        <stp>##V3_BDPV12</stp>
        <stp>CHSWC3  Curncy</stp>
        <stp>PX_LAST</stp>
        <stp>[Master_f.xlsm]CHILE!R64C43</stp>
        <tr r="AQ64" s="7"/>
      </tp>
      <tp>
        <v>3.91</v>
        <stp/>
        <stp>##V3_BDPV12</stp>
        <stp>CHSWP8  Curncy</stp>
        <stp>PX_LAST</stp>
        <stp>[Master_f.xlsm]CHILE!R25C43</stp>
        <tr r="AQ25" s="7"/>
      </tp>
      <tp>
        <v>3.9580000000000002</v>
        <stp/>
        <stp>##V3_BDPV12</stp>
        <stp>CHSWP9  Curncy</stp>
        <stp>PX_LAST</stp>
        <stp>[Master_f.xlsm]CHILE!R26C43</stp>
        <tr r="AQ26" s="7"/>
      </tp>
      <tp>
        <v>3.9580000000000002</v>
        <stp/>
        <stp>##V3_BDPV12</stp>
        <stp>CHSWP9  Curncy</stp>
        <stp>PX_LAST</stp>
        <stp>[Master_f.xlsm]CHILE!R26C44</stp>
        <tr r="AR26" s="7"/>
      </tp>
      <tp>
        <v>3.91</v>
        <stp/>
        <stp>##V3_BDPV12</stp>
        <stp>CHSWP8  Curncy</stp>
        <stp>PX_LAST</stp>
        <stp>[Master_f.xlsm]CHILE!R25C44</stp>
        <tr r="AR25" s="7"/>
      </tp>
      <tp>
        <v>3.8250000000000002</v>
        <stp/>
        <stp>##V3_BDPV12</stp>
        <stp>CHSWP7  Curncy</stp>
        <stp>PX_LAST</stp>
        <stp>[Master_f.xlsm]CHILE!R24C44</stp>
        <tr r="AR24" s="7"/>
      </tp>
      <tp>
        <v>3.7549999999999999</v>
        <stp/>
        <stp>##V3_BDPV12</stp>
        <stp>CHSWP6  Curncy</stp>
        <stp>PX_LAST</stp>
        <stp>[Master_f.xlsm]CHILE!R23C44</stp>
        <tr r="AR23" s="7"/>
      </tp>
      <tp>
        <v>3.2959999999999998</v>
        <stp/>
        <stp>##V3_BDPV12</stp>
        <stp>CHSWP2  Curncy</stp>
        <stp>PX_LAST</stp>
        <stp>[Master_f.xlsm]CHILE!R19C43</stp>
        <tr r="AQ19" s="7"/>
      </tp>
      <tp>
        <v>3.6850000000000001</v>
        <stp/>
        <stp>##V3_BDPV12</stp>
        <stp>CHSWP5  Curncy</stp>
        <stp>PX_LAST</stp>
        <stp>[Master_f.xlsm]CHILE!R22C44</stp>
        <tr r="AR22" s="7"/>
      </tp>
      <tp>
        <v>3.25</v>
        <stp/>
        <stp>##V3_BDPV12</stp>
        <stp>CHSWP1F Curncy</stp>
        <stp>PX_LAST</stp>
        <stp>[Master_f.xlsm]CHILE!R18C43</stp>
        <tr r="AQ18" s="7"/>
      </tp>
      <tp>
        <v>3.6850000000000001</v>
        <stp/>
        <stp>##V3_BDPV12</stp>
        <stp>CHSWP5  Curncy</stp>
        <stp>PX_LAST</stp>
        <stp>[Master_f.xlsm]CHILE!R22C43</stp>
        <tr r="AQ22" s="7"/>
      </tp>
      <tp>
        <v>3.25</v>
        <stp/>
        <stp>##V3_BDPV12</stp>
        <stp>CHSWP1F Curncy</stp>
        <stp>PX_LAST</stp>
        <stp>[Master_f.xlsm]CHILE!R18C44</stp>
        <tr r="AR18" s="7"/>
      </tp>
      <tp>
        <v>3.7549999999999999</v>
        <stp/>
        <stp>##V3_BDPV12</stp>
        <stp>CHSWP6  Curncy</stp>
        <stp>PX_LAST</stp>
        <stp>[Master_f.xlsm]CHILE!R23C43</stp>
        <tr r="AQ23" s="7"/>
      </tp>
      <tp>
        <v>3.2959999999999998</v>
        <stp/>
        <stp>##V3_BDPV12</stp>
        <stp>CHSWP2  Curncy</stp>
        <stp>PX_LAST</stp>
        <stp>[Master_f.xlsm]CHILE!R19C44</stp>
        <tr r="AR19" s="7"/>
      </tp>
      <tp>
        <v>3.8250000000000002</v>
        <stp/>
        <stp>##V3_BDPV12</stp>
        <stp>CHSWP7  Curncy</stp>
        <stp>PX_LAST</stp>
        <stp>[Master_f.xlsm]CHILE!R24C43</stp>
        <tr r="AQ24" s="7"/>
      </tp>
      <tp t="s">
        <v>09-07-2020</v>
        <stp/>
        <stp>##V3_BDPV12</stp>
        <stp>CFNP18 BDCH Curncy</stp>
        <stp>SETTLE_DT</stp>
        <stp>[Master_f.xlsm]UF_dates!R22C3</stp>
        <tr r="C22" s="9"/>
      </tp>
      <tp t="s">
        <v>07-08-2020</v>
        <stp/>
        <stp>##V3_BDPV12</stp>
        <stp>CFNP19 BDCH Curncy</stp>
        <stp>SETTLE_DT</stp>
        <stp>[Master_f.xlsm]UF_dates!R23C3</stp>
        <tr r="C23" s="9"/>
      </tp>
      <tp t="s">
        <v>08-01-2021</v>
        <stp/>
        <stp>##V3_BDPV12</stp>
        <stp>CFNP24 BDCH Curncy</stp>
        <stp>SETTLE_DT</stp>
        <stp>[Master_f.xlsm]UF_dates!R28C3</stp>
        <tr r="C28" s="9"/>
      </tp>
      <tp t="s">
        <v>09-03-2020</v>
        <stp/>
        <stp>##V3_BDPV12</stp>
        <stp>CFNP14 BDCH Curncy</stp>
        <stp>SETTLE_DT</stp>
        <stp>[Master_f.xlsm]UF_dates!R18C3</stp>
        <tr r="C18" s="9"/>
      </tp>
      <tp t="s">
        <v>09-04-2020</v>
        <stp/>
        <stp>##V3_BDPV12</stp>
        <stp>CFNP15 BDCH Curncy</stp>
        <stp>SETTLE_DT</stp>
        <stp>[Master_f.xlsm]UF_dates!R19C3</stp>
        <tr r="C19" s="9"/>
      </tp>
      <tp>
        <v>4.03</v>
        <stp/>
        <stp>##V3_BDPV12</stp>
        <stp>CHSWP10  Curncy</stp>
        <stp>PX_LAST</stp>
        <stp>[Master_f.xlsm]CHILE!R27C44</stp>
        <tr r="AR27" s="7"/>
      </tp>
      <tp>
        <v>4.03</v>
        <stp/>
        <stp>##V3_BDPV12</stp>
        <stp>CHSWP10  Curncy</stp>
        <stp>PX_LAST</stp>
        <stp>[Master_f.xlsm]CHILE!R27C43</stp>
        <tr r="AQ27" s="7"/>
      </tp>
      <tp t="s">
        <v>09-07-2019</v>
        <stp/>
        <stp>##V3_BDPV12</stp>
        <stp>CFNP6 BDCH Curncy</stp>
        <stp>SETTLE_DT</stp>
        <stp>[Master_f.xlsm]UF_dates!R10C3</stp>
        <tr r="C10" s="9"/>
      </tp>
      <tp t="s">
        <v>09-08-2019</v>
        <stp/>
        <stp>##V3_BDPV12</stp>
        <stp>CFNP7 BDCH Curncy</stp>
        <stp>SETTLE_DT</stp>
        <stp>[Master_f.xlsm]UF_dates!R11C3</stp>
        <tr r="C11" s="9"/>
      </tp>
      <tp t="s">
        <v>09-09-2019</v>
        <stp/>
        <stp>##V3_BDPV12</stp>
        <stp>CFNP8 BDCH Curncy</stp>
        <stp>SETTLE_DT</stp>
        <stp>[Master_f.xlsm]UF_dates!R12C3</stp>
        <tr r="C12" s="9"/>
      </tp>
      <tp t="s">
        <v>09-10-2019</v>
        <stp/>
        <stp>##V3_BDPV12</stp>
        <stp>CFNP9 BDCH Curncy</stp>
        <stp>SETTLE_DT</stp>
        <stp>[Master_f.xlsm]UF_dates!R13C3</stp>
        <tr r="C13" s="9"/>
      </tp>
      <tp>
        <v>3.4449999999999998</v>
        <stp/>
        <stp>##V3_BDPV12</stp>
        <stp>CHSWP3 Curncy</stp>
        <stp>PX_LAST</stp>
        <stp>[Master_f.xlsm]CHILE!R20C43</stp>
        <tr r="AQ20" s="7"/>
      </tp>
      <tp>
        <v>3.5649999999999999</v>
        <stp/>
        <stp>##V3_BDPV12</stp>
        <stp>CHSWP4 Curncy</stp>
        <stp>PX_LAST</stp>
        <stp>[Master_f.xlsm]CHILE!R21C43</stp>
        <tr r="AQ21" s="7"/>
      </tp>
      <tp>
        <v>2.948</v>
        <stp/>
        <stp>##V3_BDPV12</stp>
        <stp>CHSWPF Curncy</stp>
        <stp>PX_LAST</stp>
        <stp>[Master_f.xlsm]CHILE!R15C43</stp>
        <tr r="AQ15" s="7"/>
      </tp>
      <tp>
        <v>2.87</v>
        <stp/>
        <stp>##V3_BDPV12</stp>
        <stp>CHSWPC Curncy</stp>
        <stp>PX_LAST</stp>
        <stp>[Master_f.xlsm]CHILE!R14C43</stp>
        <tr r="AQ14" s="7"/>
      </tp>
      <tp>
        <v>3.04</v>
        <stp/>
        <stp>##V3_BDPV12</stp>
        <stp>CHSWPI Curncy</stp>
        <stp>PX_LAST</stp>
        <stp>[Master_f.xlsm]CHILE!R16C43</stp>
        <tr r="AQ16" s="7"/>
      </tp>
      <tp>
        <v>3.129</v>
        <stp/>
        <stp>##V3_BDPV12</stp>
        <stp>CHSWP1 Curncy</stp>
        <stp>PX_LAST</stp>
        <stp>[Master_f.xlsm]CHILE!R17C43</stp>
        <tr r="AQ17" s="7"/>
      </tp>
      <tp>
        <v>2.948</v>
        <stp/>
        <stp>##V3_BDPV12</stp>
        <stp>CHSWPF Curncy</stp>
        <stp>PX_LAST</stp>
        <stp>[Master_f.xlsm]CHILE!R15C44</stp>
        <tr r="AR15" s="7"/>
      </tp>
      <tp>
        <v>2.87</v>
        <stp/>
        <stp>##V3_BDPV12</stp>
        <stp>CHSWPC Curncy</stp>
        <stp>PX_LAST</stp>
        <stp>[Master_f.xlsm]CHILE!R14C44</stp>
        <tr r="AR14" s="7"/>
      </tp>
      <tp>
        <v>3.04</v>
        <stp/>
        <stp>##V3_BDPV12</stp>
        <stp>CHSWPI Curncy</stp>
        <stp>PX_LAST</stp>
        <stp>[Master_f.xlsm]CHILE!R16C44</stp>
        <tr r="AR16" s="7"/>
      </tp>
      <tp>
        <v>3.129</v>
        <stp/>
        <stp>##V3_BDPV12</stp>
        <stp>CHSWP1 Curncy</stp>
        <stp>PX_LAST</stp>
        <stp>[Master_f.xlsm]CHILE!R17C44</stp>
        <tr r="AR17" s="7"/>
      </tp>
      <tp>
        <v>3.4449999999999998</v>
        <stp/>
        <stp>##V3_BDPV12</stp>
        <stp>CHSWP3 Curncy</stp>
        <stp>PX_LAST</stp>
        <stp>[Master_f.xlsm]CHILE!R20C44</stp>
        <tr r="AR20" s="7"/>
      </tp>
      <tp>
        <v>3.5649999999999999</v>
        <stp/>
        <stp>##V3_BDPV12</stp>
        <stp>CHSWP4 Curncy</stp>
        <stp>PX_LAST</stp>
        <stp>[Master_f.xlsm]CHILE!R21C44</stp>
        <tr r="AR21" s="7"/>
      </tp>
      <tp>
        <v>0.68</v>
        <stp/>
        <stp>##V3_BDPV12</stp>
        <stp>CHSWC2 Curncy</stp>
        <stp>PX_LAST</stp>
        <stp>[Master_f.xlsm]CHILE!R63C43</stp>
        <tr r="AQ63" s="7"/>
      </tp>
    </main>
    <main first="bloomberg.rtd">
      <tp t="s">
        <v>09-01-2019</v>
        <stp/>
        <stp>##V3_BDPV12</stp>
        <stp>CHUF Index</stp>
        <stp>LAST_UPDATE_DT</stp>
        <stp>[Master_f.xlsm]UF_dates!R4C3</stp>
        <tr r="C4" s="9"/>
      </tp>
    </main>
    <main first="bloomberg.rtd">
      <tp t="s">
        <v>09-05-2019</v>
        <stp/>
        <stp>##V3_BDPV12</stp>
        <stp>CFNP4 BDCH Curncy</stp>
        <stp>SETTLE_DT</stp>
        <stp>[Master_f.xlsm]UF_dates!R8C3</stp>
        <tr r="C8" s="9"/>
      </tp>
      <tp t="s">
        <v>07-06-2019</v>
        <stp/>
        <stp>##V3_BDPV12</stp>
        <stp>CFNP5 BDCH Curncy</stp>
        <stp>SETTLE_DT</stp>
        <stp>[Master_f.xlsm]UF_dates!R9C3</stp>
        <tr r="C9" s="9"/>
      </tp>
    </main>
    <main first="bloomberg.rtd">
      <tp>
        <v>2.75</v>
        <stp/>
        <stp>##V3_BDPV12</stp>
        <stp>CHOVCHOV Index</stp>
        <stp>PX_LAST</stp>
        <stp>[Master_f.xlsm]CHILE!R13C44</stp>
        <tr r="AR13" s="7"/>
      </tp>
      <tp>
        <v>2.75</v>
        <stp/>
        <stp>##V3_BDPV12</stp>
        <stp>CHOVCHOV Index</stp>
        <stp>PX_LAST</stp>
        <stp>[Master_f.xlsm]CHILE!R13C43</stp>
        <tr r="AQ13" s="7"/>
      </tp>
      <tp t="s">
        <v>08-02-2019</v>
        <stp/>
        <stp>##V3_BDPV12</stp>
        <stp>CFNP1 BDCH Curncy</stp>
        <stp>SETTLE_DT</stp>
        <stp>[Master_f.xlsm]UF_dates!R5C3</stp>
        <tr r="C5" s="9"/>
      </tp>
      <tp t="s">
        <v>08-03-2019</v>
        <stp/>
        <stp>##V3_BDPV12</stp>
        <stp>CFNP2 BDCH Curncy</stp>
        <stp>SETTLE_DT</stp>
        <stp>[Master_f.xlsm]UF_dates!R6C3</stp>
        <tr r="C6" s="9"/>
      </tp>
      <tp t="s">
        <v>09-04-2019</v>
        <stp/>
        <stp>##V3_BDPV12</stp>
        <stp>CFNP3 BDCH Curncy</stp>
        <stp>SETTLE_DT</stp>
        <stp>[Master_f.xlsm]UF_dates!R7C3</stp>
        <tr r="C7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EST_HIGH_ALPHA\Bruno%20Andrade\Curvas\Local_Analytics_Packag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Users\bfanght\Desktop\OptionOffshore%20C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x"/>
      <sheetName val="Curncy"/>
      <sheetName val="X."/>
      <sheetName val="CHILE BONDS"/>
      <sheetName val="CHILE CAMARA"/>
      <sheetName val="CHILE SIMUL"/>
      <sheetName val="Report_CL"/>
      <sheetName val="MEXICO BONDS"/>
      <sheetName val="MEXICO TIIE"/>
      <sheetName val="MEXICO SIMUL"/>
      <sheetName val="Report_MX"/>
      <sheetName val="COLOMBIA BONDS"/>
      <sheetName val="COLOMBIA IBR"/>
      <sheetName val="COLOMBIA SIMUL"/>
      <sheetName val="Report_CO"/>
      <sheetName val=".X"/>
      <sheetName val="USD_REF"/>
      <sheetName val="PL_XZ"/>
      <sheetName val="POS_XZ_MH"/>
      <sheetName val="PNL_Trades"/>
      <sheetName val="Hist_PNL"/>
      <sheetName val="Hist_Pnl_G"/>
      <sheetName val="PNL_SAC"/>
      <sheetName val="SwapForm"/>
      <sheetName val="Dur"/>
      <sheetName val="X.."/>
      <sheetName val="UF CURVA"/>
      <sheetName val="CPI"/>
      <sheetName val="Report_CPI"/>
      <sheetName val="SIMUL_CPI_CL"/>
      <sheetName val="Eviews"/>
      <sheetName val="Tgt_Time"/>
      <sheetName val="..X"/>
      <sheetName val="POS_XZ_FUT"/>
      <sheetName val="POS_XZ_RF"/>
      <sheetName val="POS_MULT"/>
      <sheetName val="Base_Return"/>
      <sheetName val="Report_Risk"/>
      <sheetName val="Var_Risk"/>
      <sheetName val="X..."/>
      <sheetName val="Opc_P"/>
      <sheetName val="Vol"/>
      <sheetName val="...X"/>
      <sheetName val="CC_OL"/>
    </sheetNames>
    <sheetDataSet>
      <sheetData sheetId="0">
        <row r="2">
          <cell r="I2">
            <v>39516</v>
          </cell>
          <cell r="J2">
            <v>39448</v>
          </cell>
          <cell r="K2">
            <v>41640</v>
          </cell>
          <cell r="L2">
            <v>36892</v>
          </cell>
        </row>
        <row r="3">
          <cell r="I3">
            <v>39528</v>
          </cell>
          <cell r="J3">
            <v>39528</v>
          </cell>
          <cell r="K3">
            <v>41673</v>
          </cell>
          <cell r="L3">
            <v>36948</v>
          </cell>
        </row>
        <row r="4">
          <cell r="I4">
            <v>39594</v>
          </cell>
          <cell r="J4">
            <v>39569</v>
          </cell>
          <cell r="K4">
            <v>41715</v>
          </cell>
          <cell r="L4">
            <v>36949</v>
          </cell>
        </row>
        <row r="5">
          <cell r="I5">
            <v>39633</v>
          </cell>
          <cell r="J5">
            <v>39589</v>
          </cell>
          <cell r="K5">
            <v>41746</v>
          </cell>
          <cell r="L5">
            <v>36994</v>
          </cell>
        </row>
        <row r="6">
          <cell r="I6">
            <v>39630</v>
          </cell>
          <cell r="J6">
            <v>39645</v>
          </cell>
          <cell r="K6">
            <v>41747</v>
          </cell>
          <cell r="L6">
            <v>37002</v>
          </cell>
        </row>
        <row r="7">
          <cell r="I7">
            <v>39734</v>
          </cell>
          <cell r="J7">
            <v>39675</v>
          </cell>
          <cell r="K7">
            <v>41760</v>
          </cell>
          <cell r="L7">
            <v>37012</v>
          </cell>
        </row>
        <row r="8">
          <cell r="I8">
            <v>39754</v>
          </cell>
          <cell r="J8">
            <v>39680</v>
          </cell>
          <cell r="K8">
            <v>41898</v>
          </cell>
          <cell r="L8">
            <v>37056</v>
          </cell>
        </row>
        <row r="9">
          <cell r="I9">
            <v>39763</v>
          </cell>
          <cell r="J9">
            <v>39709</v>
          </cell>
          <cell r="K9">
            <v>41945</v>
          </cell>
          <cell r="L9">
            <v>37141</v>
          </cell>
        </row>
        <row r="10">
          <cell r="I10">
            <v>39779</v>
          </cell>
          <cell r="J10">
            <v>39710</v>
          </cell>
          <cell r="K10">
            <v>41960</v>
          </cell>
          <cell r="L10">
            <v>37176</v>
          </cell>
        </row>
        <row r="11">
          <cell r="I11">
            <v>39807</v>
          </cell>
          <cell r="J11">
            <v>39752</v>
          </cell>
          <cell r="K11">
            <v>41985</v>
          </cell>
          <cell r="L11">
            <v>37197</v>
          </cell>
        </row>
        <row r="12">
          <cell r="I12">
            <v>39814</v>
          </cell>
          <cell r="J12">
            <v>39790</v>
          </cell>
          <cell r="K12">
            <v>41998</v>
          </cell>
          <cell r="L12">
            <v>37210</v>
          </cell>
        </row>
        <row r="13">
          <cell r="I13">
            <v>39832</v>
          </cell>
          <cell r="J13">
            <v>39807</v>
          </cell>
          <cell r="K13">
            <v>42005</v>
          </cell>
          <cell r="L13">
            <v>37250</v>
          </cell>
        </row>
        <row r="14">
          <cell r="I14">
            <v>39860</v>
          </cell>
          <cell r="J14">
            <v>39813</v>
          </cell>
          <cell r="K14">
            <v>42037</v>
          </cell>
          <cell r="L14">
            <v>37257</v>
          </cell>
        </row>
        <row r="15">
          <cell r="I15">
            <v>39880</v>
          </cell>
          <cell r="J15">
            <v>39814</v>
          </cell>
          <cell r="K15">
            <v>42079</v>
          </cell>
          <cell r="L15">
            <v>37298</v>
          </cell>
        </row>
        <row r="16">
          <cell r="I16">
            <v>39913</v>
          </cell>
          <cell r="J16">
            <v>39913</v>
          </cell>
          <cell r="K16">
            <v>42096</v>
          </cell>
          <cell r="L16">
            <v>37299</v>
          </cell>
        </row>
        <row r="17">
          <cell r="I17">
            <v>39958</v>
          </cell>
          <cell r="J17">
            <v>39934</v>
          </cell>
          <cell r="K17">
            <v>42097</v>
          </cell>
          <cell r="L17">
            <v>37344</v>
          </cell>
        </row>
        <row r="18">
          <cell r="I18">
            <v>39997</v>
          </cell>
          <cell r="J18">
            <v>39954</v>
          </cell>
          <cell r="K18">
            <v>42125</v>
          </cell>
          <cell r="L18">
            <v>37367</v>
          </cell>
        </row>
        <row r="19">
          <cell r="I19">
            <v>40063</v>
          </cell>
          <cell r="J19">
            <v>39993</v>
          </cell>
          <cell r="K19">
            <v>42263</v>
          </cell>
          <cell r="L19">
            <v>37377</v>
          </cell>
        </row>
        <row r="20">
          <cell r="I20">
            <v>40098</v>
          </cell>
          <cell r="J20">
            <v>40010</v>
          </cell>
          <cell r="K20">
            <v>42310</v>
          </cell>
          <cell r="L20">
            <v>37406</v>
          </cell>
        </row>
        <row r="21">
          <cell r="I21">
            <v>40118</v>
          </cell>
          <cell r="J21">
            <v>40045</v>
          </cell>
          <cell r="K21">
            <v>42324</v>
          </cell>
          <cell r="L21">
            <v>37506</v>
          </cell>
        </row>
        <row r="22">
          <cell r="I22">
            <v>40128</v>
          </cell>
          <cell r="J22">
            <v>40074</v>
          </cell>
          <cell r="K22">
            <v>42350</v>
          </cell>
          <cell r="L22">
            <v>37541</v>
          </cell>
        </row>
        <row r="23">
          <cell r="I23">
            <v>40143</v>
          </cell>
          <cell r="J23">
            <v>40098</v>
          </cell>
          <cell r="K23">
            <v>42363</v>
          </cell>
          <cell r="L23">
            <v>37562</v>
          </cell>
        </row>
        <row r="24">
          <cell r="I24">
            <v>40172</v>
          </cell>
          <cell r="J24">
            <v>40155</v>
          </cell>
          <cell r="K24">
            <v>42370</v>
          </cell>
          <cell r="L24">
            <v>37575</v>
          </cell>
        </row>
        <row r="25">
          <cell r="I25">
            <v>40179</v>
          </cell>
          <cell r="J25">
            <v>40172</v>
          </cell>
          <cell r="K25">
            <v>42401</v>
          </cell>
          <cell r="L25">
            <v>37615</v>
          </cell>
        </row>
        <row r="26">
          <cell r="I26">
            <v>40196</v>
          </cell>
          <cell r="J26">
            <v>40178</v>
          </cell>
          <cell r="K26">
            <v>42450</v>
          </cell>
          <cell r="L26">
            <v>37622</v>
          </cell>
        </row>
        <row r="27">
          <cell r="I27">
            <v>40224</v>
          </cell>
          <cell r="J27">
            <v>40179</v>
          </cell>
          <cell r="K27">
            <v>42453</v>
          </cell>
          <cell r="L27">
            <v>37683</v>
          </cell>
        </row>
        <row r="28">
          <cell r="I28">
            <v>40251</v>
          </cell>
          <cell r="J28">
            <v>40270</v>
          </cell>
          <cell r="K28">
            <v>42454</v>
          </cell>
          <cell r="L28">
            <v>37684</v>
          </cell>
        </row>
        <row r="29">
          <cell r="I29">
            <v>40270</v>
          </cell>
          <cell r="J29">
            <v>40319</v>
          </cell>
          <cell r="K29">
            <v>42491</v>
          </cell>
          <cell r="L29">
            <v>37729</v>
          </cell>
        </row>
        <row r="30">
          <cell r="I30">
            <v>40329</v>
          </cell>
          <cell r="J30">
            <v>40357</v>
          </cell>
          <cell r="K30">
            <v>42629</v>
          </cell>
          <cell r="L30">
            <v>37732</v>
          </cell>
        </row>
        <row r="31">
          <cell r="I31">
            <v>40363</v>
          </cell>
          <cell r="J31">
            <v>40375</v>
          </cell>
          <cell r="K31">
            <v>42676</v>
          </cell>
          <cell r="L31">
            <v>37742</v>
          </cell>
        </row>
        <row r="32">
          <cell r="I32">
            <v>40364</v>
          </cell>
          <cell r="J32">
            <v>40410</v>
          </cell>
          <cell r="K32">
            <v>42695</v>
          </cell>
          <cell r="L32">
            <v>37791</v>
          </cell>
        </row>
        <row r="33">
          <cell r="I33">
            <v>40427</v>
          </cell>
          <cell r="J33">
            <v>40438</v>
          </cell>
          <cell r="K33">
            <v>42716</v>
          </cell>
          <cell r="L33">
            <v>37871</v>
          </cell>
        </row>
        <row r="34">
          <cell r="I34">
            <v>40462</v>
          </cell>
          <cell r="J34">
            <v>40441</v>
          </cell>
          <cell r="K34">
            <v>42729</v>
          </cell>
          <cell r="L34">
            <v>37906</v>
          </cell>
        </row>
        <row r="35">
          <cell r="I35">
            <v>40489</v>
          </cell>
          <cell r="J35">
            <v>40462</v>
          </cell>
          <cell r="K35">
            <v>42736</v>
          </cell>
          <cell r="L35">
            <v>37927</v>
          </cell>
        </row>
        <row r="36">
          <cell r="I36">
            <v>40493</v>
          </cell>
          <cell r="J36">
            <v>40483</v>
          </cell>
          <cell r="K36">
            <v>42772</v>
          </cell>
          <cell r="L36">
            <v>37940</v>
          </cell>
        </row>
        <row r="37">
          <cell r="I37">
            <v>40507</v>
          </cell>
          <cell r="J37">
            <v>40520</v>
          </cell>
          <cell r="K37">
            <v>42814</v>
          </cell>
          <cell r="L37">
            <v>37980</v>
          </cell>
        </row>
        <row r="38">
          <cell r="I38">
            <v>40536</v>
          </cell>
          <cell r="J38">
            <v>40543</v>
          </cell>
          <cell r="K38">
            <v>42838</v>
          </cell>
          <cell r="L38">
            <v>37987</v>
          </cell>
        </row>
        <row r="39">
          <cell r="I39">
            <v>40537</v>
          </cell>
          <cell r="J39">
            <v>40655</v>
          </cell>
          <cell r="K39">
            <v>42839</v>
          </cell>
          <cell r="L39">
            <v>38040</v>
          </cell>
        </row>
        <row r="40">
          <cell r="I40">
            <v>40544</v>
          </cell>
          <cell r="J40">
            <v>40721</v>
          </cell>
          <cell r="K40">
            <v>42856</v>
          </cell>
          <cell r="L40">
            <v>38041</v>
          </cell>
        </row>
        <row r="41">
          <cell r="I41">
            <v>40560</v>
          </cell>
          <cell r="J41">
            <v>40770</v>
          </cell>
          <cell r="K41">
            <v>42994</v>
          </cell>
          <cell r="L41">
            <v>38086</v>
          </cell>
        </row>
        <row r="42">
          <cell r="I42">
            <v>40595</v>
          </cell>
          <cell r="J42">
            <v>40805</v>
          </cell>
          <cell r="K42">
            <v>43041</v>
          </cell>
          <cell r="L42">
            <v>38098</v>
          </cell>
        </row>
        <row r="43">
          <cell r="I43">
            <v>40615</v>
          </cell>
          <cell r="J43">
            <v>40826</v>
          </cell>
          <cell r="K43">
            <v>43059</v>
          </cell>
          <cell r="L43">
            <v>38108</v>
          </cell>
        </row>
        <row r="44">
          <cell r="I44">
            <v>40655</v>
          </cell>
          <cell r="J44">
            <v>40847</v>
          </cell>
          <cell r="K44">
            <v>43081</v>
          </cell>
          <cell r="L44">
            <v>38148</v>
          </cell>
        </row>
        <row r="45">
          <cell r="I45">
            <v>40693</v>
          </cell>
          <cell r="J45">
            <v>40848</v>
          </cell>
          <cell r="K45">
            <v>43094</v>
          </cell>
          <cell r="L45">
            <v>38237</v>
          </cell>
        </row>
        <row r="46">
          <cell r="I46">
            <v>40728</v>
          </cell>
          <cell r="J46">
            <v>40885</v>
          </cell>
          <cell r="K46">
            <v>43101</v>
          </cell>
          <cell r="L46">
            <v>38272</v>
          </cell>
        </row>
        <row r="47">
          <cell r="I47">
            <v>40791</v>
          </cell>
          <cell r="J47">
            <v>40902</v>
          </cell>
          <cell r="K47">
            <v>43136</v>
          </cell>
          <cell r="L47">
            <v>38293</v>
          </cell>
        </row>
        <row r="48">
          <cell r="I48">
            <v>40826</v>
          </cell>
          <cell r="J48">
            <v>40908</v>
          </cell>
          <cell r="K48">
            <v>43178</v>
          </cell>
          <cell r="L48">
            <v>38306</v>
          </cell>
        </row>
        <row r="49">
          <cell r="I49">
            <v>40853</v>
          </cell>
          <cell r="J49">
            <v>41005</v>
          </cell>
          <cell r="K49">
            <v>43188</v>
          </cell>
          <cell r="L49">
            <v>38346</v>
          </cell>
        </row>
        <row r="50">
          <cell r="I50">
            <v>40858</v>
          </cell>
          <cell r="J50">
            <v>41030</v>
          </cell>
          <cell r="K50">
            <v>43189</v>
          </cell>
          <cell r="L50">
            <v>38353</v>
          </cell>
        </row>
        <row r="51">
          <cell r="I51">
            <v>40871</v>
          </cell>
          <cell r="J51">
            <v>41050</v>
          </cell>
          <cell r="K51">
            <v>43221</v>
          </cell>
          <cell r="L51">
            <v>38390</v>
          </cell>
        </row>
        <row r="52">
          <cell r="I52">
            <v>40902</v>
          </cell>
          <cell r="J52">
            <v>41092</v>
          </cell>
          <cell r="K52">
            <v>43225</v>
          </cell>
          <cell r="L52">
            <v>38391</v>
          </cell>
        </row>
        <row r="53">
          <cell r="I53">
            <v>40903</v>
          </cell>
          <cell r="J53">
            <v>41106</v>
          </cell>
          <cell r="K53">
            <v>43359</v>
          </cell>
          <cell r="L53">
            <v>38436</v>
          </cell>
        </row>
        <row r="54">
          <cell r="I54">
            <v>40909</v>
          </cell>
          <cell r="J54">
            <v>41136</v>
          </cell>
          <cell r="K54">
            <v>43406</v>
          </cell>
          <cell r="L54">
            <v>38463</v>
          </cell>
        </row>
        <row r="55">
          <cell r="I55">
            <v>40910</v>
          </cell>
          <cell r="J55">
            <v>41169</v>
          </cell>
          <cell r="K55">
            <v>43423</v>
          </cell>
          <cell r="L55">
            <v>38473</v>
          </cell>
        </row>
        <row r="56">
          <cell r="I56">
            <v>40924</v>
          </cell>
          <cell r="J56">
            <v>41170</v>
          </cell>
          <cell r="K56">
            <v>43435</v>
          </cell>
          <cell r="L56">
            <v>38498</v>
          </cell>
        </row>
        <row r="57">
          <cell r="I57">
            <v>40959</v>
          </cell>
          <cell r="J57">
            <v>41171</v>
          </cell>
          <cell r="K57">
            <v>43446</v>
          </cell>
          <cell r="L57">
            <v>38602</v>
          </cell>
        </row>
        <row r="58">
          <cell r="I58">
            <v>40979</v>
          </cell>
          <cell r="J58">
            <v>41197</v>
          </cell>
          <cell r="K58">
            <v>43459</v>
          </cell>
          <cell r="L58">
            <v>38637</v>
          </cell>
        </row>
        <row r="59">
          <cell r="I59">
            <v>41005</v>
          </cell>
          <cell r="J59">
            <v>41214</v>
          </cell>
          <cell r="K59">
            <v>43466</v>
          </cell>
          <cell r="L59">
            <v>38658</v>
          </cell>
        </row>
        <row r="60">
          <cell r="I60">
            <v>41057</v>
          </cell>
          <cell r="J60">
            <v>41215</v>
          </cell>
          <cell r="K60">
            <v>43500</v>
          </cell>
          <cell r="L60">
            <v>38671</v>
          </cell>
        </row>
        <row r="61">
          <cell r="I61">
            <v>41094</v>
          </cell>
          <cell r="J61">
            <v>41268</v>
          </cell>
          <cell r="K61">
            <v>43542</v>
          </cell>
          <cell r="L61">
            <v>38711</v>
          </cell>
        </row>
        <row r="62">
          <cell r="I62">
            <v>41155</v>
          </cell>
          <cell r="J62">
            <v>41274</v>
          </cell>
          <cell r="K62">
            <v>43573</v>
          </cell>
          <cell r="L62">
            <v>38718</v>
          </cell>
        </row>
        <row r="63">
          <cell r="I63">
            <v>41190</v>
          </cell>
          <cell r="J63">
            <v>41275</v>
          </cell>
          <cell r="K63">
            <v>43574</v>
          </cell>
          <cell r="L63">
            <v>38775</v>
          </cell>
        </row>
        <row r="64">
          <cell r="I64">
            <v>41217</v>
          </cell>
          <cell r="J64">
            <v>41362</v>
          </cell>
          <cell r="K64">
            <v>43586</v>
          </cell>
          <cell r="L64">
            <v>38776</v>
          </cell>
        </row>
        <row r="65">
          <cell r="I65">
            <v>41225</v>
          </cell>
          <cell r="J65">
            <v>41363</v>
          </cell>
          <cell r="K65">
            <v>43590</v>
          </cell>
          <cell r="L65">
            <v>38821</v>
          </cell>
        </row>
        <row r="66">
          <cell r="I66">
            <v>41235</v>
          </cell>
          <cell r="J66">
            <v>41364</v>
          </cell>
          <cell r="K66">
            <v>43724</v>
          </cell>
          <cell r="L66">
            <v>38828</v>
          </cell>
        </row>
        <row r="67">
          <cell r="I67">
            <v>41268</v>
          </cell>
          <cell r="J67">
            <v>41395</v>
          </cell>
          <cell r="K67">
            <v>43771</v>
          </cell>
          <cell r="L67">
            <v>38838</v>
          </cell>
        </row>
        <row r="68">
          <cell r="I68">
            <v>41275</v>
          </cell>
          <cell r="J68">
            <v>41415</v>
          </cell>
          <cell r="K68">
            <v>43787</v>
          </cell>
          <cell r="L68">
            <v>38883</v>
          </cell>
        </row>
        <row r="69">
          <cell r="I69">
            <v>41295</v>
          </cell>
          <cell r="J69">
            <v>41454</v>
          </cell>
          <cell r="K69">
            <v>43811</v>
          </cell>
          <cell r="L69">
            <v>38967</v>
          </cell>
        </row>
        <row r="70">
          <cell r="I70">
            <v>41323</v>
          </cell>
          <cell r="J70">
            <v>41471</v>
          </cell>
          <cell r="K70">
            <v>43824</v>
          </cell>
          <cell r="L70">
            <v>39002</v>
          </cell>
        </row>
        <row r="71">
          <cell r="I71">
            <v>41343</v>
          </cell>
          <cell r="J71">
            <v>41501</v>
          </cell>
          <cell r="K71">
            <v>43831</v>
          </cell>
          <cell r="L71">
            <v>39023</v>
          </cell>
        </row>
        <row r="72">
          <cell r="I72">
            <v>41362</v>
          </cell>
          <cell r="J72">
            <v>41535</v>
          </cell>
          <cell r="K72">
            <v>43864</v>
          </cell>
          <cell r="L72">
            <v>39036</v>
          </cell>
        </row>
        <row r="73">
          <cell r="I73">
            <v>41421</v>
          </cell>
          <cell r="J73">
            <v>41536</v>
          </cell>
          <cell r="K73">
            <v>43906</v>
          </cell>
          <cell r="L73">
            <v>39076</v>
          </cell>
        </row>
        <row r="74">
          <cell r="I74">
            <v>41459</v>
          </cell>
          <cell r="J74">
            <v>41537</v>
          </cell>
          <cell r="K74">
            <v>43930</v>
          </cell>
          <cell r="L74">
            <v>39083</v>
          </cell>
        </row>
        <row r="75">
          <cell r="I75">
            <v>41519</v>
          </cell>
          <cell r="J75">
            <v>41559</v>
          </cell>
          <cell r="K75">
            <v>43931</v>
          </cell>
          <cell r="L75">
            <v>39132</v>
          </cell>
        </row>
        <row r="76">
          <cell r="I76">
            <v>41561</v>
          </cell>
          <cell r="J76">
            <v>41578</v>
          </cell>
          <cell r="K76">
            <v>43952</v>
          </cell>
          <cell r="L76">
            <v>39133</v>
          </cell>
        </row>
        <row r="77">
          <cell r="I77">
            <v>41581</v>
          </cell>
          <cell r="J77">
            <v>41579</v>
          </cell>
          <cell r="K77">
            <v>44090</v>
          </cell>
          <cell r="L77">
            <v>39178</v>
          </cell>
        </row>
        <row r="78">
          <cell r="I78">
            <v>41589</v>
          </cell>
          <cell r="J78">
            <v>41616</v>
          </cell>
          <cell r="K78">
            <v>44137</v>
          </cell>
          <cell r="L78">
            <v>39193</v>
          </cell>
        </row>
        <row r="79">
          <cell r="I79">
            <v>41606</v>
          </cell>
          <cell r="J79">
            <v>41633</v>
          </cell>
          <cell r="K79">
            <v>44151</v>
          </cell>
          <cell r="L79">
            <v>39203</v>
          </cell>
        </row>
        <row r="80">
          <cell r="I80">
            <v>41633</v>
          </cell>
          <cell r="J80">
            <v>41639</v>
          </cell>
          <cell r="K80">
            <v>44177</v>
          </cell>
          <cell r="L80">
            <v>39240</v>
          </cell>
        </row>
        <row r="81">
          <cell r="I81">
            <v>41640</v>
          </cell>
          <cell r="J81">
            <v>41640</v>
          </cell>
          <cell r="K81">
            <v>44190</v>
          </cell>
          <cell r="L81">
            <v>39332</v>
          </cell>
        </row>
        <row r="82">
          <cell r="I82">
            <v>41659</v>
          </cell>
          <cell r="J82">
            <v>41747</v>
          </cell>
          <cell r="K82">
            <v>44197</v>
          </cell>
          <cell r="L82">
            <v>39367</v>
          </cell>
        </row>
        <row r="83">
          <cell r="I83">
            <v>41687</v>
          </cell>
          <cell r="J83">
            <v>41748</v>
          </cell>
          <cell r="K83">
            <v>44228</v>
          </cell>
          <cell r="L83">
            <v>39388</v>
          </cell>
        </row>
        <row r="84">
          <cell r="I84">
            <v>41707</v>
          </cell>
          <cell r="J84">
            <v>41749</v>
          </cell>
          <cell r="K84">
            <v>44270</v>
          </cell>
          <cell r="L84">
            <v>39401</v>
          </cell>
        </row>
        <row r="85">
          <cell r="I85">
            <v>41747</v>
          </cell>
          <cell r="J85">
            <v>41760</v>
          </cell>
          <cell r="K85">
            <v>44287</v>
          </cell>
          <cell r="L85">
            <v>39441</v>
          </cell>
        </row>
        <row r="86">
          <cell r="I86">
            <v>41785</v>
          </cell>
          <cell r="J86">
            <v>41780</v>
          </cell>
          <cell r="K86">
            <v>44288</v>
          </cell>
          <cell r="L86">
            <v>39448</v>
          </cell>
        </row>
        <row r="87">
          <cell r="I87">
            <v>41824</v>
          </cell>
          <cell r="J87">
            <v>41819</v>
          </cell>
          <cell r="K87">
            <v>44317</v>
          </cell>
          <cell r="L87">
            <v>39482</v>
          </cell>
        </row>
        <row r="88">
          <cell r="I88">
            <v>41883</v>
          </cell>
          <cell r="J88">
            <v>41836</v>
          </cell>
          <cell r="K88">
            <v>44455</v>
          </cell>
          <cell r="L88">
            <v>39483</v>
          </cell>
        </row>
        <row r="89">
          <cell r="I89">
            <v>41925</v>
          </cell>
          <cell r="J89">
            <v>41866</v>
          </cell>
          <cell r="K89">
            <v>44502</v>
          </cell>
          <cell r="L89">
            <v>39528</v>
          </cell>
        </row>
        <row r="90">
          <cell r="I90">
            <v>41945</v>
          </cell>
          <cell r="J90">
            <v>41900</v>
          </cell>
          <cell r="K90">
            <v>44515</v>
          </cell>
          <cell r="L90">
            <v>39559</v>
          </cell>
        </row>
        <row r="91">
          <cell r="I91">
            <v>41954</v>
          </cell>
          <cell r="J91">
            <v>41901</v>
          </cell>
          <cell r="K91">
            <v>44542</v>
          </cell>
          <cell r="L91">
            <v>39569</v>
          </cell>
        </row>
        <row r="92">
          <cell r="I92">
            <v>41970</v>
          </cell>
          <cell r="J92">
            <v>41924</v>
          </cell>
          <cell r="K92">
            <v>44555</v>
          </cell>
          <cell r="L92">
            <v>39590</v>
          </cell>
        </row>
        <row r="93">
          <cell r="I93">
            <v>41998</v>
          </cell>
          <cell r="J93">
            <v>41943</v>
          </cell>
          <cell r="K93">
            <v>44562</v>
          </cell>
          <cell r="L93">
            <v>39698</v>
          </cell>
        </row>
        <row r="94">
          <cell r="I94">
            <v>42005</v>
          </cell>
          <cell r="J94">
            <v>41944</v>
          </cell>
          <cell r="K94">
            <v>44599</v>
          </cell>
          <cell r="L94">
            <v>39733</v>
          </cell>
        </row>
        <row r="95">
          <cell r="I95">
            <v>42023</v>
          </cell>
          <cell r="J95">
            <v>41981</v>
          </cell>
          <cell r="K95">
            <v>44641</v>
          </cell>
          <cell r="L95">
            <v>39754</v>
          </cell>
        </row>
        <row r="96">
          <cell r="I96">
            <v>42051</v>
          </cell>
          <cell r="J96">
            <v>41998</v>
          </cell>
          <cell r="K96">
            <v>44665</v>
          </cell>
          <cell r="L96">
            <v>39767</v>
          </cell>
        </row>
        <row r="97">
          <cell r="I97">
            <v>42071</v>
          </cell>
          <cell r="J97">
            <v>42004</v>
          </cell>
          <cell r="K97">
            <v>44666</v>
          </cell>
          <cell r="L97">
            <v>39807</v>
          </cell>
        </row>
        <row r="98">
          <cell r="I98">
            <v>42097</v>
          </cell>
          <cell r="J98">
            <v>42005</v>
          </cell>
          <cell r="K98">
            <v>44682</v>
          </cell>
          <cell r="L98">
            <v>39814</v>
          </cell>
        </row>
        <row r="99">
          <cell r="I99">
            <v>42149</v>
          </cell>
          <cell r="J99">
            <v>42097</v>
          </cell>
          <cell r="K99">
            <v>44820</v>
          </cell>
          <cell r="L99">
            <v>39867</v>
          </cell>
        </row>
        <row r="100">
          <cell r="I100">
            <v>42188</v>
          </cell>
          <cell r="J100">
            <v>42098</v>
          </cell>
          <cell r="K100">
            <v>44867</v>
          </cell>
          <cell r="L100">
            <v>39868</v>
          </cell>
        </row>
        <row r="101">
          <cell r="I101">
            <v>42189</v>
          </cell>
          <cell r="J101">
            <v>42099</v>
          </cell>
          <cell r="K101">
            <v>44886</v>
          </cell>
          <cell r="L101">
            <v>39913</v>
          </cell>
        </row>
        <row r="102">
          <cell r="I102">
            <v>42254</v>
          </cell>
          <cell r="J102">
            <v>42125</v>
          </cell>
          <cell r="K102">
            <v>44907</v>
          </cell>
          <cell r="L102">
            <v>39924</v>
          </cell>
        </row>
        <row r="103">
          <cell r="I103">
            <v>42289</v>
          </cell>
          <cell r="J103">
            <v>42145</v>
          </cell>
          <cell r="K103">
            <v>44920</v>
          </cell>
          <cell r="L103">
            <v>39934</v>
          </cell>
        </row>
        <row r="104">
          <cell r="I104">
            <v>42309</v>
          </cell>
          <cell r="J104">
            <v>42184</v>
          </cell>
          <cell r="K104">
            <v>44927</v>
          </cell>
          <cell r="L104">
            <v>39975</v>
          </cell>
        </row>
        <row r="105">
          <cell r="I105">
            <v>42319</v>
          </cell>
          <cell r="J105">
            <v>42201</v>
          </cell>
          <cell r="K105">
            <v>44963</v>
          </cell>
          <cell r="L105">
            <v>40063</v>
          </cell>
        </row>
        <row r="106">
          <cell r="I106">
            <v>42334</v>
          </cell>
          <cell r="J106">
            <v>42231</v>
          </cell>
          <cell r="K106">
            <v>45005</v>
          </cell>
          <cell r="L106">
            <v>40098</v>
          </cell>
        </row>
        <row r="107">
          <cell r="I107">
            <v>42363</v>
          </cell>
          <cell r="J107">
            <v>42265</v>
          </cell>
          <cell r="K107">
            <v>45022</v>
          </cell>
          <cell r="L107">
            <v>40119</v>
          </cell>
        </row>
        <row r="108">
          <cell r="I108">
            <v>42370</v>
          </cell>
          <cell r="J108">
            <v>42266</v>
          </cell>
          <cell r="K108">
            <v>45023</v>
          </cell>
          <cell r="L108">
            <v>40132</v>
          </cell>
        </row>
        <row r="109">
          <cell r="I109">
            <v>42387</v>
          </cell>
          <cell r="J109">
            <v>42289</v>
          </cell>
          <cell r="K109">
            <v>45047</v>
          </cell>
          <cell r="L109">
            <v>40172</v>
          </cell>
        </row>
        <row r="110">
          <cell r="I110">
            <v>42415</v>
          </cell>
          <cell r="J110">
            <v>42308</v>
          </cell>
          <cell r="K110">
            <v>45185</v>
          </cell>
          <cell r="L110">
            <v>40179</v>
          </cell>
        </row>
        <row r="111">
          <cell r="I111">
            <v>42442</v>
          </cell>
          <cell r="J111">
            <v>42309</v>
          </cell>
          <cell r="K111">
            <v>45232</v>
          </cell>
          <cell r="L111">
            <v>40224</v>
          </cell>
        </row>
        <row r="112">
          <cell r="I112">
            <v>42454</v>
          </cell>
          <cell r="J112">
            <v>42346</v>
          </cell>
          <cell r="K112">
            <v>45250</v>
          </cell>
          <cell r="L112">
            <v>40225</v>
          </cell>
        </row>
        <row r="113">
          <cell r="I113">
            <v>42520</v>
          </cell>
          <cell r="J113">
            <v>42363</v>
          </cell>
          <cell r="K113">
            <v>45272</v>
          </cell>
          <cell r="L113">
            <v>40270</v>
          </cell>
        </row>
        <row r="114">
          <cell r="I114">
            <v>42555</v>
          </cell>
          <cell r="J114">
            <v>42370</v>
          </cell>
          <cell r="K114">
            <v>45285</v>
          </cell>
          <cell r="L114">
            <v>40289</v>
          </cell>
        </row>
        <row r="115">
          <cell r="I115">
            <v>42618</v>
          </cell>
          <cell r="J115">
            <v>42454</v>
          </cell>
          <cell r="K115">
            <v>45292</v>
          </cell>
          <cell r="L115">
            <v>40299</v>
          </cell>
        </row>
        <row r="116">
          <cell r="I116">
            <v>42653</v>
          </cell>
          <cell r="J116">
            <v>42455</v>
          </cell>
          <cell r="K116">
            <v>45327</v>
          </cell>
          <cell r="L116">
            <v>40332</v>
          </cell>
        </row>
        <row r="117">
          <cell r="I117">
            <v>42680</v>
          </cell>
          <cell r="J117">
            <v>42456</v>
          </cell>
          <cell r="K117">
            <v>45369</v>
          </cell>
          <cell r="L117">
            <v>40428</v>
          </cell>
        </row>
        <row r="118">
          <cell r="I118">
            <v>42685</v>
          </cell>
          <cell r="J118">
            <v>42491</v>
          </cell>
          <cell r="K118">
            <v>45379</v>
          </cell>
          <cell r="L118">
            <v>40463</v>
          </cell>
        </row>
        <row r="119">
          <cell r="I119">
            <v>42698</v>
          </cell>
          <cell r="J119">
            <v>42511</v>
          </cell>
          <cell r="K119">
            <v>45380</v>
          </cell>
          <cell r="L119">
            <v>40484</v>
          </cell>
        </row>
        <row r="120">
          <cell r="I120">
            <v>42729</v>
          </cell>
          <cell r="J120">
            <v>42548</v>
          </cell>
          <cell r="K120">
            <v>45413</v>
          </cell>
          <cell r="L120">
            <v>40497</v>
          </cell>
        </row>
        <row r="121">
          <cell r="I121">
            <v>42730</v>
          </cell>
          <cell r="J121">
            <v>42567</v>
          </cell>
          <cell r="K121">
            <v>45551</v>
          </cell>
          <cell r="L121">
            <v>40537</v>
          </cell>
        </row>
        <row r="122">
          <cell r="I122">
            <v>42736</v>
          </cell>
          <cell r="J122">
            <v>42597</v>
          </cell>
          <cell r="K122">
            <v>45598</v>
          </cell>
          <cell r="L122">
            <v>40544</v>
          </cell>
        </row>
        <row r="123">
          <cell r="I123">
            <v>42737</v>
          </cell>
          <cell r="J123">
            <v>42631</v>
          </cell>
          <cell r="K123">
            <v>45614</v>
          </cell>
          <cell r="L123">
            <v>40609</v>
          </cell>
        </row>
        <row r="124">
          <cell r="I124">
            <v>42751</v>
          </cell>
          <cell r="J124">
            <v>42632</v>
          </cell>
          <cell r="K124">
            <v>45627</v>
          </cell>
          <cell r="L124">
            <v>40610</v>
          </cell>
        </row>
        <row r="125">
          <cell r="I125">
            <v>42786</v>
          </cell>
          <cell r="J125">
            <v>42653</v>
          </cell>
          <cell r="K125">
            <v>45638</v>
          </cell>
          <cell r="L125">
            <v>40654</v>
          </cell>
        </row>
        <row r="126">
          <cell r="I126">
            <v>42806</v>
          </cell>
          <cell r="J126">
            <v>42674</v>
          </cell>
          <cell r="K126">
            <v>45651</v>
          </cell>
          <cell r="L126">
            <v>40655</v>
          </cell>
        </row>
        <row r="127">
          <cell r="I127">
            <v>42839</v>
          </cell>
          <cell r="J127">
            <v>42675</v>
          </cell>
          <cell r="K127">
            <v>45658</v>
          </cell>
          <cell r="L127">
            <v>40664</v>
          </cell>
        </row>
        <row r="128">
          <cell r="I128">
            <v>42884</v>
          </cell>
          <cell r="J128">
            <v>42712</v>
          </cell>
          <cell r="K128">
            <v>45691</v>
          </cell>
          <cell r="L128">
            <v>40717</v>
          </cell>
        </row>
        <row r="129">
          <cell r="I129">
            <v>42920</v>
          </cell>
          <cell r="J129">
            <v>42729</v>
          </cell>
          <cell r="K129">
            <v>45733</v>
          </cell>
          <cell r="L129">
            <v>40793</v>
          </cell>
        </row>
        <row r="130">
          <cell r="I130">
            <v>42982</v>
          </cell>
          <cell r="J130">
            <v>42736</v>
          </cell>
          <cell r="K130">
            <v>45764</v>
          </cell>
          <cell r="L130">
            <v>40828</v>
          </cell>
        </row>
        <row r="131">
          <cell r="I131">
            <v>43017</v>
          </cell>
          <cell r="J131">
            <v>42839</v>
          </cell>
          <cell r="K131">
            <v>45795</v>
          </cell>
          <cell r="L131">
            <v>40849</v>
          </cell>
        </row>
        <row r="132">
          <cell r="I132">
            <v>43044</v>
          </cell>
          <cell r="J132">
            <v>42840</v>
          </cell>
          <cell r="K132">
            <v>45778</v>
          </cell>
          <cell r="L132">
            <v>40862</v>
          </cell>
        </row>
        <row r="133">
          <cell r="I133">
            <v>43049</v>
          </cell>
          <cell r="J133">
            <v>42841</v>
          </cell>
          <cell r="K133">
            <v>45916</v>
          </cell>
          <cell r="L133">
            <v>40902</v>
          </cell>
        </row>
        <row r="134">
          <cell r="I134">
            <v>43062</v>
          </cell>
          <cell r="J134">
            <v>42856</v>
          </cell>
          <cell r="K134">
            <v>45963</v>
          </cell>
          <cell r="L134">
            <v>40909</v>
          </cell>
        </row>
        <row r="135">
          <cell r="I135">
            <v>43094</v>
          </cell>
          <cell r="J135">
            <v>42876</v>
          </cell>
          <cell r="K135">
            <v>45978</v>
          </cell>
          <cell r="L135">
            <v>40959</v>
          </cell>
        </row>
        <row r="136">
          <cell r="I136">
            <v>43101</v>
          </cell>
          <cell r="J136">
            <v>42912</v>
          </cell>
          <cell r="K136">
            <v>46003</v>
          </cell>
          <cell r="L136">
            <v>40960</v>
          </cell>
        </row>
        <row r="137">
          <cell r="I137">
            <v>43115</v>
          </cell>
          <cell r="J137">
            <v>42932</v>
          </cell>
          <cell r="K137">
            <v>46016</v>
          </cell>
          <cell r="L137">
            <v>41005</v>
          </cell>
        </row>
        <row r="138">
          <cell r="I138">
            <v>43150</v>
          </cell>
          <cell r="J138">
            <v>42962</v>
          </cell>
          <cell r="L138">
            <v>41020</v>
          </cell>
        </row>
        <row r="139">
          <cell r="I139">
            <v>43189</v>
          </cell>
          <cell r="J139">
            <v>42996</v>
          </cell>
          <cell r="L139">
            <v>41030</v>
          </cell>
        </row>
        <row r="140">
          <cell r="I140">
            <v>43248</v>
          </cell>
          <cell r="J140">
            <v>42997</v>
          </cell>
          <cell r="L140">
            <v>41067</v>
          </cell>
        </row>
        <row r="141">
          <cell r="I141">
            <v>43285</v>
          </cell>
          <cell r="J141">
            <v>43017</v>
          </cell>
          <cell r="L141">
            <v>41159</v>
          </cell>
        </row>
        <row r="142">
          <cell r="I142">
            <v>43346</v>
          </cell>
          <cell r="J142">
            <v>43035</v>
          </cell>
          <cell r="L142">
            <v>41194</v>
          </cell>
        </row>
        <row r="143">
          <cell r="I143">
            <v>43381</v>
          </cell>
          <cell r="J143">
            <v>43040</v>
          </cell>
          <cell r="L143">
            <v>41215</v>
          </cell>
        </row>
        <row r="144">
          <cell r="I144">
            <v>43416</v>
          </cell>
          <cell r="J144">
            <v>43077</v>
          </cell>
          <cell r="L144">
            <v>41228</v>
          </cell>
        </row>
        <row r="145">
          <cell r="I145">
            <v>43426</v>
          </cell>
          <cell r="J145">
            <v>43094</v>
          </cell>
          <cell r="L145">
            <v>41268</v>
          </cell>
        </row>
        <row r="146">
          <cell r="I146">
            <v>43459</v>
          </cell>
          <cell r="J146">
            <v>43101</v>
          </cell>
          <cell r="L146">
            <v>41275</v>
          </cell>
        </row>
        <row r="147">
          <cell r="I147">
            <v>43466</v>
          </cell>
          <cell r="J147">
            <v>43189</v>
          </cell>
          <cell r="L147">
            <v>41316</v>
          </cell>
        </row>
        <row r="148">
          <cell r="I148">
            <v>43486</v>
          </cell>
          <cell r="J148">
            <v>43190</v>
          </cell>
          <cell r="L148">
            <v>41317</v>
          </cell>
        </row>
        <row r="149">
          <cell r="I149">
            <v>43514</v>
          </cell>
          <cell r="J149">
            <v>43191</v>
          </cell>
          <cell r="L149">
            <v>41362</v>
          </cell>
        </row>
        <row r="150">
          <cell r="I150">
            <v>43574</v>
          </cell>
          <cell r="J150">
            <v>43221</v>
          </cell>
          <cell r="L150">
            <v>41385</v>
          </cell>
        </row>
        <row r="151">
          <cell r="I151">
            <v>43612</v>
          </cell>
          <cell r="J151">
            <v>43241</v>
          </cell>
          <cell r="L151">
            <v>41395</v>
          </cell>
        </row>
        <row r="152">
          <cell r="I152">
            <v>43650</v>
          </cell>
          <cell r="J152">
            <v>43283</v>
          </cell>
          <cell r="L152">
            <v>41424</v>
          </cell>
        </row>
        <row r="153">
          <cell r="I153">
            <v>43710</v>
          </cell>
          <cell r="J153">
            <v>43297</v>
          </cell>
          <cell r="L153">
            <v>41524</v>
          </cell>
        </row>
        <row r="154">
          <cell r="I154">
            <v>43752</v>
          </cell>
          <cell r="J154">
            <v>43327</v>
          </cell>
          <cell r="L154">
            <v>41559</v>
          </cell>
        </row>
        <row r="155">
          <cell r="I155">
            <v>43780</v>
          </cell>
          <cell r="J155">
            <v>43361</v>
          </cell>
          <cell r="L155">
            <v>41580</v>
          </cell>
        </row>
        <row r="156">
          <cell r="I156">
            <v>43797</v>
          </cell>
          <cell r="J156">
            <v>43362</v>
          </cell>
          <cell r="L156">
            <v>41593</v>
          </cell>
        </row>
        <row r="157">
          <cell r="I157">
            <v>43824</v>
          </cell>
          <cell r="J157">
            <v>43388</v>
          </cell>
          <cell r="L157">
            <v>41633</v>
          </cell>
        </row>
        <row r="158">
          <cell r="I158">
            <v>43831</v>
          </cell>
          <cell r="J158">
            <v>43405</v>
          </cell>
          <cell r="L158">
            <v>41640</v>
          </cell>
        </row>
        <row r="159">
          <cell r="I159">
            <v>43850</v>
          </cell>
          <cell r="J159">
            <v>43406</v>
          </cell>
          <cell r="L159">
            <v>41701</v>
          </cell>
        </row>
        <row r="160">
          <cell r="I160">
            <v>43878</v>
          </cell>
          <cell r="J160">
            <v>43442</v>
          </cell>
          <cell r="L160">
            <v>41702</v>
          </cell>
        </row>
        <row r="161">
          <cell r="I161">
            <v>43931</v>
          </cell>
          <cell r="J161">
            <v>43459</v>
          </cell>
          <cell r="L161">
            <v>41747</v>
          </cell>
        </row>
        <row r="162">
          <cell r="I162">
            <v>43976</v>
          </cell>
          <cell r="J162">
            <v>43466</v>
          </cell>
          <cell r="L162">
            <v>41750</v>
          </cell>
        </row>
        <row r="163">
          <cell r="I163">
            <v>44015</v>
          </cell>
          <cell r="J163">
            <v>43574</v>
          </cell>
          <cell r="L163">
            <v>41760</v>
          </cell>
        </row>
        <row r="164">
          <cell r="I164">
            <v>44016</v>
          </cell>
          <cell r="J164">
            <v>43575</v>
          </cell>
          <cell r="L164">
            <v>41809</v>
          </cell>
        </row>
        <row r="165">
          <cell r="I165">
            <v>44081</v>
          </cell>
          <cell r="J165">
            <v>43576</v>
          </cell>
          <cell r="L165">
            <v>41889</v>
          </cell>
        </row>
        <row r="166">
          <cell r="I166">
            <v>44116</v>
          </cell>
          <cell r="J166">
            <v>43586</v>
          </cell>
          <cell r="L166">
            <v>41924</v>
          </cell>
        </row>
        <row r="167">
          <cell r="I167">
            <v>44146</v>
          </cell>
          <cell r="J167">
            <v>43606</v>
          </cell>
          <cell r="L167">
            <v>41945</v>
          </cell>
        </row>
        <row r="168">
          <cell r="I168">
            <v>44161</v>
          </cell>
          <cell r="J168">
            <v>43645</v>
          </cell>
          <cell r="L168">
            <v>41958</v>
          </cell>
        </row>
        <row r="169">
          <cell r="I169">
            <v>44190</v>
          </cell>
          <cell r="J169">
            <v>43662</v>
          </cell>
          <cell r="L169">
            <v>41998</v>
          </cell>
        </row>
        <row r="170">
          <cell r="I170">
            <v>44197</v>
          </cell>
          <cell r="J170">
            <v>43692</v>
          </cell>
          <cell r="L170">
            <v>42005</v>
          </cell>
        </row>
        <row r="171">
          <cell r="I171">
            <v>44214</v>
          </cell>
          <cell r="J171">
            <v>43726</v>
          </cell>
          <cell r="L171">
            <v>42051</v>
          </cell>
        </row>
        <row r="172">
          <cell r="I172">
            <v>44242</v>
          </cell>
          <cell r="J172">
            <v>43727</v>
          </cell>
          <cell r="L172">
            <v>42052</v>
          </cell>
        </row>
        <row r="173">
          <cell r="I173">
            <v>44288</v>
          </cell>
          <cell r="J173">
            <v>43750</v>
          </cell>
          <cell r="L173">
            <v>42097</v>
          </cell>
        </row>
        <row r="174">
          <cell r="I174">
            <v>44347</v>
          </cell>
          <cell r="J174">
            <v>43769</v>
          </cell>
          <cell r="L174">
            <v>42115</v>
          </cell>
        </row>
        <row r="175">
          <cell r="I175">
            <v>44381</v>
          </cell>
          <cell r="J175">
            <v>43770</v>
          </cell>
          <cell r="L175">
            <v>42125</v>
          </cell>
        </row>
        <row r="176">
          <cell r="I176">
            <v>44382</v>
          </cell>
          <cell r="J176">
            <v>43807</v>
          </cell>
          <cell r="L176">
            <v>42159</v>
          </cell>
        </row>
        <row r="177">
          <cell r="I177">
            <v>44445</v>
          </cell>
          <cell r="J177">
            <v>43824</v>
          </cell>
          <cell r="L177">
            <v>42254</v>
          </cell>
        </row>
        <row r="178">
          <cell r="I178">
            <v>44480</v>
          </cell>
          <cell r="J178">
            <v>43831</v>
          </cell>
          <cell r="L178">
            <v>42289</v>
          </cell>
        </row>
        <row r="179">
          <cell r="I179">
            <v>44511</v>
          </cell>
          <cell r="J179">
            <v>43931</v>
          </cell>
          <cell r="L179">
            <v>42310</v>
          </cell>
        </row>
        <row r="180">
          <cell r="I180">
            <v>44525</v>
          </cell>
          <cell r="J180">
            <v>43932</v>
          </cell>
          <cell r="L180">
            <v>42323</v>
          </cell>
        </row>
        <row r="181">
          <cell r="I181">
            <v>44554</v>
          </cell>
          <cell r="J181">
            <v>43933</v>
          </cell>
          <cell r="L181">
            <v>42363</v>
          </cell>
        </row>
        <row r="182">
          <cell r="I182">
            <v>44555</v>
          </cell>
          <cell r="J182">
            <v>43952</v>
          </cell>
          <cell r="L182">
            <v>42370</v>
          </cell>
        </row>
        <row r="183">
          <cell r="I183">
            <v>44562</v>
          </cell>
          <cell r="J183">
            <v>43972</v>
          </cell>
          <cell r="L183">
            <v>42408</v>
          </cell>
        </row>
        <row r="184">
          <cell r="I184">
            <v>44578</v>
          </cell>
          <cell r="J184">
            <v>44011</v>
          </cell>
          <cell r="L184">
            <v>42409</v>
          </cell>
        </row>
        <row r="185">
          <cell r="I185">
            <v>44613</v>
          </cell>
          <cell r="J185">
            <v>44028</v>
          </cell>
          <cell r="L185">
            <v>42454</v>
          </cell>
        </row>
        <row r="186">
          <cell r="I186">
            <v>44666</v>
          </cell>
          <cell r="J186">
            <v>44058</v>
          </cell>
          <cell r="L186">
            <v>42481</v>
          </cell>
        </row>
        <row r="187">
          <cell r="I187">
            <v>44711</v>
          </cell>
          <cell r="J187">
            <v>44092</v>
          </cell>
          <cell r="L187">
            <v>42491</v>
          </cell>
        </row>
        <row r="188">
          <cell r="I188">
            <v>44746</v>
          </cell>
          <cell r="J188">
            <v>44093</v>
          </cell>
          <cell r="L188">
            <v>42516</v>
          </cell>
        </row>
        <row r="189">
          <cell r="I189">
            <v>44809</v>
          </cell>
          <cell r="J189">
            <v>44116</v>
          </cell>
          <cell r="L189">
            <v>42620</v>
          </cell>
        </row>
        <row r="190">
          <cell r="I190">
            <v>44844</v>
          </cell>
          <cell r="J190">
            <v>44135</v>
          </cell>
          <cell r="L190">
            <v>42655</v>
          </cell>
        </row>
        <row r="191">
          <cell r="I191">
            <v>44876</v>
          </cell>
          <cell r="J191">
            <v>44136</v>
          </cell>
          <cell r="L191">
            <v>42676</v>
          </cell>
        </row>
        <row r="192">
          <cell r="I192">
            <v>44889</v>
          </cell>
          <cell r="J192">
            <v>44173</v>
          </cell>
          <cell r="L192">
            <v>42689</v>
          </cell>
        </row>
        <row r="193">
          <cell r="I193">
            <v>44920</v>
          </cell>
          <cell r="J193">
            <v>44190</v>
          </cell>
          <cell r="L193">
            <v>42729</v>
          </cell>
        </row>
        <row r="194">
          <cell r="I194">
            <v>44921</v>
          </cell>
          <cell r="J194">
            <v>44197</v>
          </cell>
          <cell r="L194">
            <v>42736</v>
          </cell>
        </row>
        <row r="195">
          <cell r="I195">
            <v>44928</v>
          </cell>
          <cell r="J195">
            <v>44296</v>
          </cell>
          <cell r="L195">
            <v>42793</v>
          </cell>
        </row>
        <row r="196">
          <cell r="I196">
            <v>44942</v>
          </cell>
          <cell r="J196">
            <v>44297</v>
          </cell>
          <cell r="L196">
            <v>42794</v>
          </cell>
        </row>
        <row r="197">
          <cell r="I197">
            <v>44977</v>
          </cell>
          <cell r="J197">
            <v>44298</v>
          </cell>
          <cell r="L197">
            <v>42839</v>
          </cell>
        </row>
        <row r="198">
          <cell r="I198">
            <v>45023</v>
          </cell>
          <cell r="J198">
            <v>44317</v>
          </cell>
          <cell r="L198">
            <v>42846</v>
          </cell>
        </row>
        <row r="199">
          <cell r="I199">
            <v>45075</v>
          </cell>
          <cell r="J199">
            <v>44337</v>
          </cell>
          <cell r="L199">
            <v>42856</v>
          </cell>
        </row>
        <row r="200">
          <cell r="I200">
            <v>45111</v>
          </cell>
          <cell r="J200">
            <v>44376</v>
          </cell>
          <cell r="L200">
            <v>42901</v>
          </cell>
        </row>
        <row r="201">
          <cell r="I201">
            <v>45173</v>
          </cell>
          <cell r="J201">
            <v>44393</v>
          </cell>
          <cell r="L201">
            <v>42985</v>
          </cell>
        </row>
        <row r="202">
          <cell r="I202">
            <v>45208</v>
          </cell>
          <cell r="J202">
            <v>44423</v>
          </cell>
          <cell r="L202">
            <v>43020</v>
          </cell>
        </row>
        <row r="203">
          <cell r="I203">
            <v>45240</v>
          </cell>
          <cell r="J203">
            <v>44457</v>
          </cell>
          <cell r="L203">
            <v>43041</v>
          </cell>
        </row>
        <row r="204">
          <cell r="I204">
            <v>45253</v>
          </cell>
          <cell r="J204">
            <v>44458</v>
          </cell>
          <cell r="L204">
            <v>43054</v>
          </cell>
        </row>
        <row r="205">
          <cell r="I205">
            <v>45285</v>
          </cell>
          <cell r="J205">
            <v>44481</v>
          </cell>
          <cell r="L205">
            <v>43094</v>
          </cell>
        </row>
        <row r="206">
          <cell r="I206">
            <v>45292</v>
          </cell>
          <cell r="J206">
            <v>44500</v>
          </cell>
          <cell r="L206">
            <v>43101</v>
          </cell>
        </row>
        <row r="207">
          <cell r="I207">
            <v>45306</v>
          </cell>
          <cell r="J207">
            <v>44501</v>
          </cell>
          <cell r="L207">
            <v>43143</v>
          </cell>
        </row>
        <row r="208">
          <cell r="I208">
            <v>45341</v>
          </cell>
          <cell r="J208">
            <v>44538</v>
          </cell>
          <cell r="L208">
            <v>43144</v>
          </cell>
        </row>
        <row r="209">
          <cell r="I209">
            <v>45380</v>
          </cell>
          <cell r="J209">
            <v>44555</v>
          </cell>
          <cell r="L209">
            <v>43189</v>
          </cell>
        </row>
        <row r="210">
          <cell r="I210">
            <v>45439</v>
          </cell>
          <cell r="J210">
            <v>44562</v>
          </cell>
          <cell r="L210">
            <v>43211</v>
          </cell>
        </row>
        <row r="211">
          <cell r="I211">
            <v>45477</v>
          </cell>
          <cell r="J211">
            <v>44661</v>
          </cell>
          <cell r="L211">
            <v>43221</v>
          </cell>
        </row>
        <row r="212">
          <cell r="I212">
            <v>45537</v>
          </cell>
          <cell r="J212">
            <v>44662</v>
          </cell>
          <cell r="L212">
            <v>43251</v>
          </cell>
        </row>
        <row r="213">
          <cell r="I213">
            <v>45579</v>
          </cell>
          <cell r="J213">
            <v>44663</v>
          </cell>
          <cell r="L213">
            <v>43350</v>
          </cell>
        </row>
        <row r="214">
          <cell r="I214">
            <v>45607</v>
          </cell>
          <cell r="J214">
            <v>44682</v>
          </cell>
          <cell r="L214">
            <v>43385</v>
          </cell>
        </row>
        <row r="215">
          <cell r="I215">
            <v>45624</v>
          </cell>
          <cell r="J215">
            <v>44702</v>
          </cell>
          <cell r="L215">
            <v>43406</v>
          </cell>
        </row>
        <row r="216">
          <cell r="I216">
            <v>45651</v>
          </cell>
          <cell r="J216">
            <v>44741</v>
          </cell>
          <cell r="L216">
            <v>43419</v>
          </cell>
        </row>
        <row r="217">
          <cell r="I217">
            <v>45658</v>
          </cell>
          <cell r="J217">
            <v>44758</v>
          </cell>
          <cell r="L217">
            <v>43459</v>
          </cell>
        </row>
        <row r="218">
          <cell r="I218">
            <v>45677</v>
          </cell>
          <cell r="J218">
            <v>44788</v>
          </cell>
          <cell r="L218">
            <v>43466</v>
          </cell>
        </row>
        <row r="219">
          <cell r="I219">
            <v>45705</v>
          </cell>
          <cell r="J219">
            <v>44822</v>
          </cell>
          <cell r="L219">
            <v>43528</v>
          </cell>
        </row>
        <row r="220">
          <cell r="I220">
            <v>45765</v>
          </cell>
          <cell r="J220">
            <v>44823</v>
          </cell>
          <cell r="L220">
            <v>43529</v>
          </cell>
        </row>
        <row r="221">
          <cell r="I221">
            <v>45803</v>
          </cell>
          <cell r="J221">
            <v>44846</v>
          </cell>
          <cell r="L221">
            <v>43574</v>
          </cell>
        </row>
        <row r="222">
          <cell r="I222">
            <v>45842</v>
          </cell>
          <cell r="J222">
            <v>44865</v>
          </cell>
          <cell r="L222">
            <v>43576</v>
          </cell>
        </row>
        <row r="223">
          <cell r="I223">
            <v>45901</v>
          </cell>
          <cell r="J223">
            <v>44866</v>
          </cell>
          <cell r="L223">
            <v>43586</v>
          </cell>
        </row>
        <row r="224">
          <cell r="I224">
            <v>45943</v>
          </cell>
          <cell r="J224">
            <v>44903</v>
          </cell>
          <cell r="L224">
            <v>43636</v>
          </cell>
        </row>
        <row r="225">
          <cell r="I225">
            <v>45972</v>
          </cell>
          <cell r="J225">
            <v>44920</v>
          </cell>
          <cell r="L225">
            <v>43715</v>
          </cell>
        </row>
        <row r="226">
          <cell r="I226">
            <v>45988</v>
          </cell>
          <cell r="J226">
            <v>44927</v>
          </cell>
          <cell r="L226">
            <v>43750</v>
          </cell>
        </row>
        <row r="227">
          <cell r="I227">
            <v>46016</v>
          </cell>
          <cell r="J227">
            <v>45026</v>
          </cell>
          <cell r="L227">
            <v>43771</v>
          </cell>
        </row>
        <row r="228">
          <cell r="L228">
            <v>43784</v>
          </cell>
        </row>
        <row r="229">
          <cell r="L229">
            <v>43824</v>
          </cell>
        </row>
        <row r="230">
          <cell r="L230">
            <v>43831</v>
          </cell>
        </row>
        <row r="231">
          <cell r="L231">
            <v>43885</v>
          </cell>
        </row>
        <row r="232">
          <cell r="L232">
            <v>43886</v>
          </cell>
        </row>
        <row r="233">
          <cell r="L233">
            <v>43931</v>
          </cell>
        </row>
        <row r="234">
          <cell r="L234">
            <v>43942</v>
          </cell>
        </row>
        <row r="235">
          <cell r="L235">
            <v>43952</v>
          </cell>
        </row>
        <row r="236">
          <cell r="L236">
            <v>43993</v>
          </cell>
        </row>
        <row r="237">
          <cell r="L237">
            <v>44081</v>
          </cell>
        </row>
        <row r="238">
          <cell r="L238">
            <v>44116</v>
          </cell>
        </row>
        <row r="239">
          <cell r="L239">
            <v>44137</v>
          </cell>
        </row>
        <row r="240">
          <cell r="L240">
            <v>44150</v>
          </cell>
        </row>
        <row r="241">
          <cell r="L241">
            <v>44190</v>
          </cell>
        </row>
        <row r="242">
          <cell r="L242">
            <v>44197</v>
          </cell>
        </row>
        <row r="243">
          <cell r="L243">
            <v>44242</v>
          </cell>
        </row>
        <row r="244">
          <cell r="L244">
            <v>44243</v>
          </cell>
        </row>
        <row r="245">
          <cell r="L245">
            <v>44288</v>
          </cell>
        </row>
        <row r="246">
          <cell r="L246">
            <v>44307</v>
          </cell>
        </row>
        <row r="247">
          <cell r="L247">
            <v>44317</v>
          </cell>
        </row>
        <row r="248">
          <cell r="L248">
            <v>44350</v>
          </cell>
        </row>
        <row r="249">
          <cell r="L249">
            <v>44446</v>
          </cell>
        </row>
        <row r="250">
          <cell r="L250">
            <v>44481</v>
          </cell>
        </row>
        <row r="251">
          <cell r="L251">
            <v>44502</v>
          </cell>
        </row>
        <row r="252">
          <cell r="L252">
            <v>44515</v>
          </cell>
        </row>
        <row r="253">
          <cell r="L253">
            <v>44555</v>
          </cell>
        </row>
        <row r="254">
          <cell r="L254">
            <v>44562</v>
          </cell>
        </row>
        <row r="255">
          <cell r="L255">
            <v>44620</v>
          </cell>
        </row>
        <row r="256">
          <cell r="L256">
            <v>44621</v>
          </cell>
        </row>
        <row r="257">
          <cell r="L257">
            <v>44666</v>
          </cell>
        </row>
        <row r="258">
          <cell r="L258">
            <v>44672</v>
          </cell>
        </row>
        <row r="259">
          <cell r="L259">
            <v>44682</v>
          </cell>
        </row>
        <row r="260">
          <cell r="L260">
            <v>44728</v>
          </cell>
        </row>
        <row r="261">
          <cell r="L261">
            <v>44811</v>
          </cell>
        </row>
        <row r="262">
          <cell r="L262">
            <v>44846</v>
          </cell>
        </row>
        <row r="263">
          <cell r="L263">
            <v>44867</v>
          </cell>
        </row>
        <row r="264">
          <cell r="L264">
            <v>44880</v>
          </cell>
        </row>
        <row r="265">
          <cell r="L265">
            <v>44920</v>
          </cell>
        </row>
        <row r="266">
          <cell r="L266">
            <v>44927</v>
          </cell>
        </row>
        <row r="267">
          <cell r="L267">
            <v>44977</v>
          </cell>
        </row>
        <row r="268">
          <cell r="L268">
            <v>44978</v>
          </cell>
        </row>
        <row r="269">
          <cell r="L269">
            <v>45023</v>
          </cell>
        </row>
        <row r="270">
          <cell r="L270">
            <v>45037</v>
          </cell>
        </row>
        <row r="271">
          <cell r="L271">
            <v>45047</v>
          </cell>
        </row>
        <row r="272">
          <cell r="L272">
            <v>45085</v>
          </cell>
        </row>
        <row r="273">
          <cell r="L273">
            <v>45176</v>
          </cell>
        </row>
        <row r="274">
          <cell r="L274">
            <v>45211</v>
          </cell>
        </row>
        <row r="275">
          <cell r="L275">
            <v>45232</v>
          </cell>
        </row>
        <row r="276">
          <cell r="L276">
            <v>45245</v>
          </cell>
        </row>
        <row r="277">
          <cell r="L277">
            <v>45285</v>
          </cell>
        </row>
        <row r="278">
          <cell r="L278">
            <v>45292</v>
          </cell>
        </row>
        <row r="279">
          <cell r="L279">
            <v>45334</v>
          </cell>
        </row>
        <row r="280">
          <cell r="L280">
            <v>45335</v>
          </cell>
        </row>
        <row r="281">
          <cell r="L281">
            <v>45380</v>
          </cell>
        </row>
        <row r="282">
          <cell r="L282">
            <v>45403</v>
          </cell>
        </row>
        <row r="283">
          <cell r="L283">
            <v>45413</v>
          </cell>
        </row>
        <row r="284">
          <cell r="L284">
            <v>45442</v>
          </cell>
        </row>
        <row r="285">
          <cell r="L285">
            <v>45542</v>
          </cell>
        </row>
        <row r="286">
          <cell r="L286">
            <v>45577</v>
          </cell>
        </row>
        <row r="287">
          <cell r="L287">
            <v>45598</v>
          </cell>
        </row>
        <row r="288">
          <cell r="L288">
            <v>45611</v>
          </cell>
        </row>
        <row r="289">
          <cell r="L289">
            <v>45651</v>
          </cell>
        </row>
        <row r="290">
          <cell r="L290">
            <v>45658</v>
          </cell>
        </row>
        <row r="291">
          <cell r="L291">
            <v>45719</v>
          </cell>
        </row>
        <row r="292">
          <cell r="L292">
            <v>45720</v>
          </cell>
        </row>
        <row r="293">
          <cell r="L293">
            <v>45765</v>
          </cell>
        </row>
        <row r="294">
          <cell r="L294">
            <v>45768</v>
          </cell>
        </row>
        <row r="295">
          <cell r="L295">
            <v>45778</v>
          </cell>
        </row>
        <row r="296">
          <cell r="L296">
            <v>45827</v>
          </cell>
        </row>
        <row r="297">
          <cell r="L297">
            <v>45907</v>
          </cell>
        </row>
        <row r="298">
          <cell r="L298">
            <v>45942</v>
          </cell>
        </row>
        <row r="299">
          <cell r="L299">
            <v>45963</v>
          </cell>
        </row>
        <row r="300">
          <cell r="L300">
            <v>45976</v>
          </cell>
        </row>
        <row r="301">
          <cell r="L301">
            <v>46016</v>
          </cell>
        </row>
        <row r="302">
          <cell r="L302">
            <v>46023</v>
          </cell>
        </row>
        <row r="303">
          <cell r="L303">
            <v>46069</v>
          </cell>
        </row>
        <row r="304">
          <cell r="L304">
            <v>46070</v>
          </cell>
        </row>
        <row r="305">
          <cell r="L305">
            <v>46115</v>
          </cell>
        </row>
        <row r="306">
          <cell r="L306">
            <v>46133</v>
          </cell>
        </row>
        <row r="307">
          <cell r="L307">
            <v>46143</v>
          </cell>
        </row>
        <row r="308">
          <cell r="L308">
            <v>46177</v>
          </cell>
        </row>
        <row r="309">
          <cell r="L309">
            <v>46272</v>
          </cell>
        </row>
        <row r="310">
          <cell r="L310">
            <v>46307</v>
          </cell>
        </row>
        <row r="311">
          <cell r="L311">
            <v>46328</v>
          </cell>
        </row>
        <row r="312">
          <cell r="L312">
            <v>46341</v>
          </cell>
        </row>
        <row r="313">
          <cell r="L313">
            <v>46381</v>
          </cell>
        </row>
        <row r="314">
          <cell r="L314">
            <v>46388</v>
          </cell>
        </row>
        <row r="315">
          <cell r="L315">
            <v>46426</v>
          </cell>
        </row>
        <row r="316">
          <cell r="L316">
            <v>46427</v>
          </cell>
        </row>
        <row r="317">
          <cell r="L317">
            <v>46472</v>
          </cell>
        </row>
        <row r="318">
          <cell r="L318">
            <v>46498</v>
          </cell>
        </row>
        <row r="319">
          <cell r="L319">
            <v>46508</v>
          </cell>
        </row>
        <row r="320">
          <cell r="L320">
            <v>46534</v>
          </cell>
        </row>
        <row r="321">
          <cell r="L321">
            <v>46637</v>
          </cell>
        </row>
        <row r="322">
          <cell r="L322">
            <v>46672</v>
          </cell>
        </row>
        <row r="323">
          <cell r="L323">
            <v>46693</v>
          </cell>
        </row>
        <row r="324">
          <cell r="L324">
            <v>46706</v>
          </cell>
        </row>
        <row r="325">
          <cell r="L325">
            <v>46746</v>
          </cell>
        </row>
        <row r="326">
          <cell r="L326">
            <v>46753</v>
          </cell>
        </row>
        <row r="327">
          <cell r="L327">
            <v>46811</v>
          </cell>
        </row>
        <row r="328">
          <cell r="L328">
            <v>46812</v>
          </cell>
        </row>
        <row r="329">
          <cell r="L329">
            <v>46857</v>
          </cell>
        </row>
        <row r="330">
          <cell r="L330">
            <v>46864</v>
          </cell>
        </row>
        <row r="331">
          <cell r="L331">
            <v>46874</v>
          </cell>
        </row>
        <row r="332">
          <cell r="L332">
            <v>46919</v>
          </cell>
        </row>
        <row r="333">
          <cell r="L333">
            <v>47003</v>
          </cell>
        </row>
        <row r="334">
          <cell r="L334">
            <v>47038</v>
          </cell>
        </row>
        <row r="335">
          <cell r="L335">
            <v>47059</v>
          </cell>
        </row>
        <row r="336">
          <cell r="L336">
            <v>47072</v>
          </cell>
        </row>
        <row r="337">
          <cell r="L337">
            <v>47112</v>
          </cell>
        </row>
        <row r="338">
          <cell r="L338">
            <v>47119</v>
          </cell>
        </row>
        <row r="339">
          <cell r="L339">
            <v>47161</v>
          </cell>
        </row>
        <row r="340">
          <cell r="L340">
            <v>47162</v>
          </cell>
        </row>
        <row r="341">
          <cell r="L341">
            <v>47207</v>
          </cell>
        </row>
        <row r="342">
          <cell r="L342">
            <v>47229</v>
          </cell>
        </row>
        <row r="343">
          <cell r="L343">
            <v>47239</v>
          </cell>
        </row>
        <row r="344">
          <cell r="L344">
            <v>47269</v>
          </cell>
        </row>
        <row r="345">
          <cell r="L345">
            <v>47368</v>
          </cell>
        </row>
        <row r="346">
          <cell r="L346">
            <v>47403</v>
          </cell>
        </row>
        <row r="347">
          <cell r="L347">
            <v>47424</v>
          </cell>
        </row>
        <row r="348">
          <cell r="L348">
            <v>47437</v>
          </cell>
        </row>
        <row r="349">
          <cell r="L349">
            <v>47477</v>
          </cell>
        </row>
        <row r="350">
          <cell r="L350">
            <v>47484</v>
          </cell>
        </row>
        <row r="351">
          <cell r="L351">
            <v>47546</v>
          </cell>
        </row>
        <row r="352">
          <cell r="L352">
            <v>47547</v>
          </cell>
        </row>
        <row r="353">
          <cell r="L353">
            <v>47592</v>
          </cell>
        </row>
        <row r="354">
          <cell r="L354">
            <v>47594</v>
          </cell>
        </row>
        <row r="355">
          <cell r="L355">
            <v>47604</v>
          </cell>
        </row>
        <row r="356">
          <cell r="L356">
            <v>47654</v>
          </cell>
        </row>
        <row r="357">
          <cell r="L357">
            <v>47733</v>
          </cell>
        </row>
        <row r="358">
          <cell r="L358">
            <v>47768</v>
          </cell>
        </row>
        <row r="359">
          <cell r="L359">
            <v>47789</v>
          </cell>
        </row>
        <row r="360">
          <cell r="L360">
            <v>47802</v>
          </cell>
        </row>
        <row r="361">
          <cell r="L361">
            <v>47842</v>
          </cell>
        </row>
        <row r="362">
          <cell r="L362">
            <v>47849</v>
          </cell>
        </row>
        <row r="363">
          <cell r="L363">
            <v>47903</v>
          </cell>
        </row>
        <row r="364">
          <cell r="L364">
            <v>47904</v>
          </cell>
        </row>
        <row r="365">
          <cell r="L365">
            <v>47949</v>
          </cell>
        </row>
        <row r="366">
          <cell r="L366">
            <v>47959</v>
          </cell>
        </row>
        <row r="367">
          <cell r="L367">
            <v>47969</v>
          </cell>
        </row>
        <row r="368">
          <cell r="L368">
            <v>48011</v>
          </cell>
        </row>
        <row r="369">
          <cell r="L369">
            <v>48098</v>
          </cell>
        </row>
        <row r="370">
          <cell r="L370">
            <v>48133</v>
          </cell>
        </row>
        <row r="371">
          <cell r="L371">
            <v>48154</v>
          </cell>
        </row>
        <row r="372">
          <cell r="L372">
            <v>48167</v>
          </cell>
        </row>
        <row r="373">
          <cell r="L373">
            <v>48207</v>
          </cell>
        </row>
        <row r="374">
          <cell r="L374">
            <v>48214</v>
          </cell>
        </row>
        <row r="375">
          <cell r="L375">
            <v>48253</v>
          </cell>
        </row>
        <row r="376">
          <cell r="L376">
            <v>48254</v>
          </cell>
        </row>
        <row r="377">
          <cell r="L377">
            <v>48299</v>
          </cell>
        </row>
        <row r="378">
          <cell r="L378">
            <v>48325</v>
          </cell>
        </row>
        <row r="379">
          <cell r="L379">
            <v>48335</v>
          </cell>
        </row>
        <row r="380">
          <cell r="L380">
            <v>48361</v>
          </cell>
        </row>
        <row r="381">
          <cell r="L381">
            <v>48464</v>
          </cell>
        </row>
        <row r="382">
          <cell r="L382">
            <v>48499</v>
          </cell>
        </row>
        <row r="383">
          <cell r="L383">
            <v>48520</v>
          </cell>
        </row>
        <row r="384">
          <cell r="L384">
            <v>48533</v>
          </cell>
        </row>
        <row r="385">
          <cell r="L385">
            <v>48573</v>
          </cell>
        </row>
        <row r="386">
          <cell r="L386">
            <v>48580</v>
          </cell>
        </row>
        <row r="387">
          <cell r="L387">
            <v>48638</v>
          </cell>
        </row>
        <row r="388">
          <cell r="L388">
            <v>48639</v>
          </cell>
        </row>
        <row r="389">
          <cell r="L389">
            <v>48684</v>
          </cell>
        </row>
        <row r="390">
          <cell r="L390">
            <v>48690</v>
          </cell>
        </row>
        <row r="391">
          <cell r="L391">
            <v>48700</v>
          </cell>
        </row>
        <row r="392">
          <cell r="L392">
            <v>48746</v>
          </cell>
        </row>
        <row r="393">
          <cell r="L393">
            <v>48829</v>
          </cell>
        </row>
        <row r="394">
          <cell r="L394">
            <v>48864</v>
          </cell>
        </row>
        <row r="395">
          <cell r="L395">
            <v>48885</v>
          </cell>
        </row>
        <row r="396">
          <cell r="L396">
            <v>48898</v>
          </cell>
        </row>
        <row r="397">
          <cell r="L397">
            <v>48938</v>
          </cell>
        </row>
        <row r="398">
          <cell r="L398">
            <v>48945</v>
          </cell>
        </row>
        <row r="399">
          <cell r="L399">
            <v>48995</v>
          </cell>
        </row>
        <row r="400">
          <cell r="L400">
            <v>48996</v>
          </cell>
        </row>
        <row r="401">
          <cell r="L401">
            <v>49041</v>
          </cell>
        </row>
        <row r="402">
          <cell r="L402">
            <v>49055</v>
          </cell>
        </row>
        <row r="403">
          <cell r="L403">
            <v>49065</v>
          </cell>
        </row>
        <row r="404">
          <cell r="L404">
            <v>49103</v>
          </cell>
        </row>
        <row r="405">
          <cell r="L405">
            <v>49194</v>
          </cell>
        </row>
        <row r="406">
          <cell r="L406">
            <v>49229</v>
          </cell>
        </row>
        <row r="407">
          <cell r="L407">
            <v>49250</v>
          </cell>
        </row>
        <row r="408">
          <cell r="L408">
            <v>49263</v>
          </cell>
        </row>
        <row r="409">
          <cell r="L409">
            <v>49303</v>
          </cell>
        </row>
        <row r="410">
          <cell r="L410">
            <v>49310</v>
          </cell>
        </row>
        <row r="411">
          <cell r="L411">
            <v>49345</v>
          </cell>
        </row>
        <row r="412">
          <cell r="L412">
            <v>49346</v>
          </cell>
        </row>
        <row r="413">
          <cell r="L413">
            <v>49391</v>
          </cell>
        </row>
        <row r="414">
          <cell r="L414">
            <v>49420</v>
          </cell>
        </row>
        <row r="415">
          <cell r="L415">
            <v>49430</v>
          </cell>
        </row>
        <row r="416">
          <cell r="L416">
            <v>49453</v>
          </cell>
        </row>
        <row r="417">
          <cell r="L417">
            <v>49559</v>
          </cell>
        </row>
        <row r="418">
          <cell r="L418">
            <v>49594</v>
          </cell>
        </row>
        <row r="419">
          <cell r="L419">
            <v>49615</v>
          </cell>
        </row>
        <row r="420">
          <cell r="L420">
            <v>49628</v>
          </cell>
        </row>
        <row r="421">
          <cell r="L421">
            <v>49668</v>
          </cell>
        </row>
        <row r="422">
          <cell r="L422">
            <v>49675</v>
          </cell>
        </row>
        <row r="423">
          <cell r="L423">
            <v>49730</v>
          </cell>
        </row>
        <row r="424">
          <cell r="L424">
            <v>49731</v>
          </cell>
        </row>
        <row r="425">
          <cell r="L425">
            <v>49776</v>
          </cell>
        </row>
        <row r="426">
          <cell r="L426">
            <v>49786</v>
          </cell>
        </row>
        <row r="427">
          <cell r="L427">
            <v>49796</v>
          </cell>
        </row>
        <row r="428">
          <cell r="L428">
            <v>49838</v>
          </cell>
        </row>
        <row r="429">
          <cell r="L429">
            <v>49925</v>
          </cell>
        </row>
        <row r="430">
          <cell r="L430">
            <v>49960</v>
          </cell>
        </row>
        <row r="431">
          <cell r="L431">
            <v>49981</v>
          </cell>
        </row>
        <row r="432">
          <cell r="L432">
            <v>49994</v>
          </cell>
        </row>
        <row r="433">
          <cell r="L433">
            <v>50034</v>
          </cell>
        </row>
        <row r="434">
          <cell r="L434">
            <v>50041</v>
          </cell>
        </row>
        <row r="435">
          <cell r="L435">
            <v>50087</v>
          </cell>
        </row>
        <row r="436">
          <cell r="L436">
            <v>50088</v>
          </cell>
        </row>
        <row r="437">
          <cell r="L437">
            <v>50133</v>
          </cell>
        </row>
        <row r="438">
          <cell r="L438">
            <v>50151</v>
          </cell>
        </row>
        <row r="439">
          <cell r="L439">
            <v>50161</v>
          </cell>
        </row>
        <row r="440">
          <cell r="L440">
            <v>50195</v>
          </cell>
        </row>
        <row r="441">
          <cell r="L441">
            <v>50290</v>
          </cell>
        </row>
        <row r="442">
          <cell r="L442">
            <v>50325</v>
          </cell>
        </row>
        <row r="443">
          <cell r="L443">
            <v>50346</v>
          </cell>
        </row>
        <row r="444">
          <cell r="L444">
            <v>50359</v>
          </cell>
        </row>
        <row r="445">
          <cell r="L445">
            <v>50399</v>
          </cell>
        </row>
        <row r="446">
          <cell r="L446">
            <v>50406</v>
          </cell>
        </row>
        <row r="447">
          <cell r="L447">
            <v>50472</v>
          </cell>
        </row>
        <row r="448">
          <cell r="L448">
            <v>50473</v>
          </cell>
        </row>
        <row r="449">
          <cell r="L449">
            <v>50516</v>
          </cell>
        </row>
        <row r="450">
          <cell r="L450">
            <v>50518</v>
          </cell>
        </row>
        <row r="451">
          <cell r="L451">
            <v>50526</v>
          </cell>
        </row>
        <row r="452">
          <cell r="L452">
            <v>50580</v>
          </cell>
        </row>
        <row r="453">
          <cell r="L453">
            <v>50655</v>
          </cell>
        </row>
        <row r="454">
          <cell r="L454">
            <v>50690</v>
          </cell>
        </row>
        <row r="455">
          <cell r="L455">
            <v>50711</v>
          </cell>
        </row>
        <row r="456">
          <cell r="L456">
            <v>50724</v>
          </cell>
        </row>
        <row r="457">
          <cell r="L457">
            <v>50764</v>
          </cell>
        </row>
        <row r="458">
          <cell r="L458">
            <v>50771</v>
          </cell>
        </row>
        <row r="459">
          <cell r="L459">
            <v>50822</v>
          </cell>
        </row>
        <row r="460">
          <cell r="L460">
            <v>50823</v>
          </cell>
        </row>
        <row r="461">
          <cell r="L461">
            <v>50868</v>
          </cell>
        </row>
        <row r="462">
          <cell r="L462">
            <v>50881</v>
          </cell>
        </row>
        <row r="463">
          <cell r="L463">
            <v>50891</v>
          </cell>
        </row>
        <row r="464">
          <cell r="L464">
            <v>50930</v>
          </cell>
        </row>
        <row r="465">
          <cell r="L465">
            <v>51020</v>
          </cell>
        </row>
        <row r="466">
          <cell r="L466">
            <v>51055</v>
          </cell>
        </row>
        <row r="467">
          <cell r="L467">
            <v>51076</v>
          </cell>
        </row>
        <row r="468">
          <cell r="L468">
            <v>51089</v>
          </cell>
        </row>
        <row r="469">
          <cell r="L469">
            <v>51129</v>
          </cell>
        </row>
        <row r="470">
          <cell r="L470">
            <v>51136</v>
          </cell>
        </row>
        <row r="471">
          <cell r="L471">
            <v>51179</v>
          </cell>
        </row>
        <row r="472">
          <cell r="L472">
            <v>51180</v>
          </cell>
        </row>
        <row r="473">
          <cell r="L473">
            <v>51225</v>
          </cell>
        </row>
        <row r="474">
          <cell r="L474">
            <v>51247</v>
          </cell>
        </row>
        <row r="475">
          <cell r="L475">
            <v>51257</v>
          </cell>
        </row>
        <row r="476">
          <cell r="L476">
            <v>51287</v>
          </cell>
        </row>
        <row r="477">
          <cell r="L477">
            <v>51386</v>
          </cell>
        </row>
        <row r="478">
          <cell r="L478">
            <v>51421</v>
          </cell>
        </row>
        <row r="479">
          <cell r="L479">
            <v>51442</v>
          </cell>
        </row>
        <row r="480">
          <cell r="L480">
            <v>51455</v>
          </cell>
        </row>
        <row r="481">
          <cell r="L481">
            <v>51495</v>
          </cell>
        </row>
        <row r="482">
          <cell r="L482">
            <v>51502</v>
          </cell>
        </row>
        <row r="483">
          <cell r="L483">
            <v>51564</v>
          </cell>
        </row>
        <row r="484">
          <cell r="L484">
            <v>51565</v>
          </cell>
        </row>
        <row r="485">
          <cell r="L485">
            <v>51610</v>
          </cell>
        </row>
        <row r="486">
          <cell r="L486">
            <v>51612</v>
          </cell>
        </row>
        <row r="487">
          <cell r="L487">
            <v>51622</v>
          </cell>
        </row>
        <row r="488">
          <cell r="L488">
            <v>51672</v>
          </cell>
        </row>
        <row r="489">
          <cell r="L489">
            <v>51751</v>
          </cell>
        </row>
        <row r="490">
          <cell r="L490">
            <v>51786</v>
          </cell>
        </row>
        <row r="491">
          <cell r="L491">
            <v>51807</v>
          </cell>
        </row>
        <row r="492">
          <cell r="L492">
            <v>51820</v>
          </cell>
        </row>
        <row r="493">
          <cell r="L493">
            <v>51860</v>
          </cell>
        </row>
        <row r="494">
          <cell r="L494">
            <v>51867</v>
          </cell>
        </row>
        <row r="495">
          <cell r="L495">
            <v>51914</v>
          </cell>
        </row>
        <row r="496">
          <cell r="L496">
            <v>51915</v>
          </cell>
        </row>
        <row r="497">
          <cell r="L497">
            <v>51960</v>
          </cell>
        </row>
        <row r="498">
          <cell r="L498">
            <v>51977</v>
          </cell>
        </row>
        <row r="499">
          <cell r="L499">
            <v>51987</v>
          </cell>
        </row>
        <row r="500">
          <cell r="L500">
            <v>52022</v>
          </cell>
        </row>
        <row r="501">
          <cell r="L501">
            <v>52116</v>
          </cell>
        </row>
        <row r="502">
          <cell r="L502">
            <v>52151</v>
          </cell>
        </row>
        <row r="503">
          <cell r="L503">
            <v>52172</v>
          </cell>
        </row>
        <row r="504">
          <cell r="L504">
            <v>52185</v>
          </cell>
        </row>
        <row r="505">
          <cell r="L505">
            <v>52225</v>
          </cell>
        </row>
        <row r="506">
          <cell r="L506">
            <v>52232</v>
          </cell>
        </row>
        <row r="507">
          <cell r="L507">
            <v>52271</v>
          </cell>
        </row>
        <row r="508">
          <cell r="L508">
            <v>52272</v>
          </cell>
        </row>
        <row r="509">
          <cell r="L509">
            <v>52317</v>
          </cell>
        </row>
        <row r="510">
          <cell r="L510">
            <v>52342</v>
          </cell>
        </row>
        <row r="511">
          <cell r="L511">
            <v>52352</v>
          </cell>
        </row>
        <row r="512">
          <cell r="L512">
            <v>52379</v>
          </cell>
        </row>
        <row r="513">
          <cell r="L513">
            <v>52481</v>
          </cell>
        </row>
        <row r="514">
          <cell r="L514">
            <v>52516</v>
          </cell>
        </row>
        <row r="515">
          <cell r="L515">
            <v>52537</v>
          </cell>
        </row>
        <row r="516">
          <cell r="L516">
            <v>52550</v>
          </cell>
        </row>
        <row r="517">
          <cell r="L517">
            <v>52590</v>
          </cell>
        </row>
        <row r="518">
          <cell r="L518">
            <v>52597</v>
          </cell>
        </row>
        <row r="519">
          <cell r="L519">
            <v>52656</v>
          </cell>
        </row>
        <row r="520">
          <cell r="L520">
            <v>52657</v>
          </cell>
        </row>
        <row r="521">
          <cell r="L521">
            <v>52702</v>
          </cell>
        </row>
        <row r="522">
          <cell r="L522">
            <v>52708</v>
          </cell>
        </row>
        <row r="523">
          <cell r="L523">
            <v>52718</v>
          </cell>
        </row>
        <row r="524">
          <cell r="L524">
            <v>52764</v>
          </cell>
        </row>
        <row r="525">
          <cell r="L525">
            <v>52847</v>
          </cell>
        </row>
        <row r="526">
          <cell r="L526">
            <v>52882</v>
          </cell>
        </row>
        <row r="527">
          <cell r="L527">
            <v>52903</v>
          </cell>
        </row>
        <row r="528">
          <cell r="L528">
            <v>52916</v>
          </cell>
        </row>
        <row r="529">
          <cell r="L529">
            <v>52956</v>
          </cell>
        </row>
        <row r="530">
          <cell r="L530">
            <v>52963</v>
          </cell>
        </row>
        <row r="531">
          <cell r="L531">
            <v>53013</v>
          </cell>
        </row>
        <row r="532">
          <cell r="L532">
            <v>53014</v>
          </cell>
        </row>
        <row r="533">
          <cell r="L533">
            <v>53059</v>
          </cell>
        </row>
        <row r="534">
          <cell r="L534">
            <v>53073</v>
          </cell>
        </row>
        <row r="535">
          <cell r="L535">
            <v>53083</v>
          </cell>
        </row>
        <row r="536">
          <cell r="L536">
            <v>53121</v>
          </cell>
        </row>
        <row r="537">
          <cell r="L537">
            <v>53212</v>
          </cell>
        </row>
        <row r="538">
          <cell r="L538">
            <v>53247</v>
          </cell>
        </row>
        <row r="539">
          <cell r="L539">
            <v>53268</v>
          </cell>
        </row>
        <row r="540">
          <cell r="L540">
            <v>53281</v>
          </cell>
        </row>
        <row r="541">
          <cell r="L541">
            <v>53321</v>
          </cell>
        </row>
        <row r="542">
          <cell r="L542">
            <v>53328</v>
          </cell>
        </row>
        <row r="543">
          <cell r="L543">
            <v>53363</v>
          </cell>
        </row>
        <row r="544">
          <cell r="L544">
            <v>53364</v>
          </cell>
        </row>
        <row r="545">
          <cell r="L545">
            <v>53409</v>
          </cell>
        </row>
        <row r="546">
          <cell r="L546">
            <v>53438</v>
          </cell>
        </row>
        <row r="547">
          <cell r="L547">
            <v>53448</v>
          </cell>
        </row>
        <row r="548">
          <cell r="L548">
            <v>53471</v>
          </cell>
        </row>
        <row r="549">
          <cell r="L549">
            <v>53577</v>
          </cell>
        </row>
        <row r="550">
          <cell r="L550">
            <v>53612</v>
          </cell>
        </row>
        <row r="551">
          <cell r="L551">
            <v>53633</v>
          </cell>
        </row>
        <row r="552">
          <cell r="L552">
            <v>53646</v>
          </cell>
        </row>
        <row r="553">
          <cell r="L553">
            <v>53686</v>
          </cell>
        </row>
        <row r="554">
          <cell r="L554">
            <v>53693</v>
          </cell>
        </row>
        <row r="555">
          <cell r="L555">
            <v>53748</v>
          </cell>
        </row>
        <row r="556">
          <cell r="L556">
            <v>53749</v>
          </cell>
        </row>
        <row r="557">
          <cell r="L557">
            <v>53794</v>
          </cell>
        </row>
        <row r="558">
          <cell r="L558">
            <v>53803</v>
          </cell>
        </row>
        <row r="559">
          <cell r="L559">
            <v>53813</v>
          </cell>
        </row>
        <row r="560">
          <cell r="L560">
            <v>53856</v>
          </cell>
        </row>
        <row r="561">
          <cell r="L561">
            <v>53942</v>
          </cell>
        </row>
        <row r="562">
          <cell r="L562">
            <v>53977</v>
          </cell>
        </row>
        <row r="563">
          <cell r="L563">
            <v>53998</v>
          </cell>
        </row>
        <row r="564">
          <cell r="L564">
            <v>54011</v>
          </cell>
        </row>
        <row r="565">
          <cell r="L565">
            <v>54051</v>
          </cell>
        </row>
        <row r="566">
          <cell r="L566">
            <v>54058</v>
          </cell>
        </row>
        <row r="567">
          <cell r="L567">
            <v>54105</v>
          </cell>
        </row>
        <row r="568">
          <cell r="L568">
            <v>54106</v>
          </cell>
        </row>
        <row r="569">
          <cell r="L569">
            <v>54151</v>
          </cell>
        </row>
        <row r="570">
          <cell r="L570">
            <v>54169</v>
          </cell>
        </row>
        <row r="571">
          <cell r="L571">
            <v>54179</v>
          </cell>
        </row>
        <row r="572">
          <cell r="L572">
            <v>54213</v>
          </cell>
        </row>
        <row r="573">
          <cell r="L573">
            <v>54308</v>
          </cell>
        </row>
        <row r="574">
          <cell r="L574">
            <v>54343</v>
          </cell>
        </row>
        <row r="575">
          <cell r="L575">
            <v>54364</v>
          </cell>
        </row>
        <row r="576">
          <cell r="L576">
            <v>54377</v>
          </cell>
        </row>
        <row r="577">
          <cell r="L577">
            <v>54417</v>
          </cell>
        </row>
        <row r="578">
          <cell r="L578">
            <v>54424</v>
          </cell>
        </row>
        <row r="579">
          <cell r="L579">
            <v>54483</v>
          </cell>
        </row>
        <row r="580">
          <cell r="L580">
            <v>54484</v>
          </cell>
        </row>
        <row r="581">
          <cell r="L581">
            <v>54529</v>
          </cell>
        </row>
        <row r="582">
          <cell r="L582">
            <v>54534</v>
          </cell>
        </row>
        <row r="583">
          <cell r="L583">
            <v>54544</v>
          </cell>
        </row>
        <row r="584">
          <cell r="L584">
            <v>54591</v>
          </cell>
        </row>
        <row r="585">
          <cell r="L585">
            <v>54673</v>
          </cell>
        </row>
        <row r="586">
          <cell r="L586">
            <v>54708</v>
          </cell>
        </row>
        <row r="587">
          <cell r="L587">
            <v>54729</v>
          </cell>
        </row>
        <row r="588">
          <cell r="L588">
            <v>54742</v>
          </cell>
        </row>
        <row r="589">
          <cell r="L589">
            <v>54782</v>
          </cell>
        </row>
        <row r="590">
          <cell r="L590">
            <v>54789</v>
          </cell>
        </row>
        <row r="591">
          <cell r="L591">
            <v>54840</v>
          </cell>
        </row>
        <row r="592">
          <cell r="L592">
            <v>54841</v>
          </cell>
        </row>
        <row r="593">
          <cell r="L593">
            <v>54886</v>
          </cell>
        </row>
        <row r="594">
          <cell r="L594">
            <v>54899</v>
          </cell>
        </row>
        <row r="595">
          <cell r="L595">
            <v>54909</v>
          </cell>
        </row>
        <row r="596">
          <cell r="L596">
            <v>54948</v>
          </cell>
        </row>
        <row r="597">
          <cell r="L597">
            <v>55038</v>
          </cell>
        </row>
        <row r="598">
          <cell r="L598">
            <v>55073</v>
          </cell>
        </row>
        <row r="599">
          <cell r="L599">
            <v>55094</v>
          </cell>
        </row>
        <row r="600">
          <cell r="L600">
            <v>55107</v>
          </cell>
        </row>
        <row r="601">
          <cell r="L601">
            <v>55147</v>
          </cell>
        </row>
        <row r="602">
          <cell r="L602">
            <v>55154</v>
          </cell>
        </row>
        <row r="603">
          <cell r="L603">
            <v>55197</v>
          </cell>
        </row>
        <row r="604">
          <cell r="L604">
            <v>55198</v>
          </cell>
        </row>
        <row r="605">
          <cell r="L605">
            <v>55243</v>
          </cell>
        </row>
        <row r="606">
          <cell r="L606">
            <v>55264</v>
          </cell>
        </row>
        <row r="607">
          <cell r="L607">
            <v>55274</v>
          </cell>
        </row>
        <row r="608">
          <cell r="L608">
            <v>55305</v>
          </cell>
        </row>
        <row r="609">
          <cell r="L609">
            <v>55403</v>
          </cell>
        </row>
        <row r="610">
          <cell r="L610">
            <v>55438</v>
          </cell>
        </row>
        <row r="611">
          <cell r="L611">
            <v>55459</v>
          </cell>
        </row>
        <row r="612">
          <cell r="L612">
            <v>55472</v>
          </cell>
        </row>
        <row r="613">
          <cell r="L613">
            <v>55512</v>
          </cell>
        </row>
        <row r="614">
          <cell r="L614">
            <v>55519</v>
          </cell>
        </row>
        <row r="615">
          <cell r="L615">
            <v>55582</v>
          </cell>
        </row>
        <row r="616">
          <cell r="L616">
            <v>55583</v>
          </cell>
        </row>
        <row r="617">
          <cell r="L617">
            <v>55628</v>
          </cell>
        </row>
        <row r="618">
          <cell r="L618">
            <v>55630</v>
          </cell>
        </row>
        <row r="619">
          <cell r="L619">
            <v>55640</v>
          </cell>
        </row>
        <row r="620">
          <cell r="L620">
            <v>55690</v>
          </cell>
        </row>
        <row r="621">
          <cell r="L621">
            <v>55769</v>
          </cell>
        </row>
        <row r="622">
          <cell r="L622">
            <v>55804</v>
          </cell>
        </row>
        <row r="623">
          <cell r="L623">
            <v>55825</v>
          </cell>
        </row>
        <row r="624">
          <cell r="L624">
            <v>55838</v>
          </cell>
        </row>
        <row r="625">
          <cell r="L625">
            <v>55878</v>
          </cell>
        </row>
        <row r="626">
          <cell r="L626">
            <v>55885</v>
          </cell>
        </row>
        <row r="627">
          <cell r="L627">
            <v>55932</v>
          </cell>
        </row>
        <row r="628">
          <cell r="L628">
            <v>55933</v>
          </cell>
        </row>
        <row r="629">
          <cell r="L629">
            <v>55978</v>
          </cell>
        </row>
        <row r="630">
          <cell r="L630">
            <v>55995</v>
          </cell>
        </row>
        <row r="631">
          <cell r="L631">
            <v>56005</v>
          </cell>
        </row>
        <row r="632">
          <cell r="L632">
            <v>56040</v>
          </cell>
        </row>
        <row r="633">
          <cell r="L633">
            <v>56134</v>
          </cell>
        </row>
        <row r="634">
          <cell r="L634">
            <v>56169</v>
          </cell>
        </row>
        <row r="635">
          <cell r="L635">
            <v>56190</v>
          </cell>
        </row>
        <row r="636">
          <cell r="L636">
            <v>56203</v>
          </cell>
        </row>
        <row r="637">
          <cell r="L637">
            <v>56243</v>
          </cell>
        </row>
        <row r="638">
          <cell r="L638">
            <v>56250</v>
          </cell>
        </row>
        <row r="639">
          <cell r="L639">
            <v>56289</v>
          </cell>
        </row>
        <row r="640">
          <cell r="L640">
            <v>56290</v>
          </cell>
        </row>
        <row r="641">
          <cell r="L641">
            <v>56335</v>
          </cell>
        </row>
        <row r="642">
          <cell r="L642">
            <v>56360</v>
          </cell>
        </row>
        <row r="643">
          <cell r="L643">
            <v>56370</v>
          </cell>
        </row>
        <row r="644">
          <cell r="L644">
            <v>56397</v>
          </cell>
        </row>
        <row r="645">
          <cell r="L645">
            <v>56499</v>
          </cell>
        </row>
        <row r="646">
          <cell r="L646">
            <v>56534</v>
          </cell>
        </row>
        <row r="647">
          <cell r="L647">
            <v>56555</v>
          </cell>
        </row>
        <row r="648">
          <cell r="L648">
            <v>56568</v>
          </cell>
        </row>
        <row r="649">
          <cell r="L649">
            <v>56608</v>
          </cell>
        </row>
        <row r="650">
          <cell r="L650">
            <v>56615</v>
          </cell>
        </row>
        <row r="651">
          <cell r="L651">
            <v>56674</v>
          </cell>
        </row>
        <row r="652">
          <cell r="L652">
            <v>56675</v>
          </cell>
        </row>
        <row r="653">
          <cell r="L653">
            <v>56720</v>
          </cell>
        </row>
        <row r="654">
          <cell r="L654">
            <v>56725</v>
          </cell>
        </row>
        <row r="655">
          <cell r="L655">
            <v>56735</v>
          </cell>
        </row>
        <row r="656">
          <cell r="L656">
            <v>56782</v>
          </cell>
        </row>
        <row r="657">
          <cell r="L657">
            <v>56864</v>
          </cell>
        </row>
        <row r="658">
          <cell r="L658">
            <v>56899</v>
          </cell>
        </row>
        <row r="659">
          <cell r="L659">
            <v>56920</v>
          </cell>
        </row>
        <row r="660">
          <cell r="L660">
            <v>56933</v>
          </cell>
        </row>
        <row r="661">
          <cell r="L661">
            <v>56973</v>
          </cell>
        </row>
        <row r="662">
          <cell r="L662">
            <v>56980</v>
          </cell>
        </row>
        <row r="663">
          <cell r="L663">
            <v>57024</v>
          </cell>
        </row>
        <row r="664">
          <cell r="L664">
            <v>57025</v>
          </cell>
        </row>
        <row r="665">
          <cell r="L665">
            <v>57070</v>
          </cell>
        </row>
        <row r="666">
          <cell r="L666">
            <v>57091</v>
          </cell>
        </row>
        <row r="667">
          <cell r="L667">
            <v>57101</v>
          </cell>
        </row>
        <row r="668">
          <cell r="L668">
            <v>57132</v>
          </cell>
        </row>
        <row r="669">
          <cell r="L669">
            <v>57230</v>
          </cell>
        </row>
        <row r="670">
          <cell r="L670">
            <v>57265</v>
          </cell>
        </row>
        <row r="671">
          <cell r="L671">
            <v>57286</v>
          </cell>
        </row>
        <row r="672">
          <cell r="L672">
            <v>57299</v>
          </cell>
        </row>
        <row r="673">
          <cell r="L673">
            <v>57339</v>
          </cell>
        </row>
        <row r="674">
          <cell r="L674">
            <v>57346</v>
          </cell>
        </row>
        <row r="675">
          <cell r="L675">
            <v>57409</v>
          </cell>
        </row>
        <row r="676">
          <cell r="L676">
            <v>57410</v>
          </cell>
        </row>
        <row r="677">
          <cell r="L677">
            <v>57455</v>
          </cell>
        </row>
        <row r="678">
          <cell r="L678">
            <v>57456</v>
          </cell>
        </row>
        <row r="679">
          <cell r="L679">
            <v>57466</v>
          </cell>
        </row>
        <row r="680">
          <cell r="L680">
            <v>57517</v>
          </cell>
        </row>
        <row r="681">
          <cell r="L681">
            <v>57595</v>
          </cell>
        </row>
        <row r="682">
          <cell r="L682">
            <v>57630</v>
          </cell>
        </row>
        <row r="683">
          <cell r="L683">
            <v>57651</v>
          </cell>
        </row>
        <row r="684">
          <cell r="L684">
            <v>57664</v>
          </cell>
        </row>
        <row r="685">
          <cell r="L685">
            <v>57704</v>
          </cell>
        </row>
        <row r="686">
          <cell r="L686">
            <v>57711</v>
          </cell>
        </row>
        <row r="687">
          <cell r="L687">
            <v>57766</v>
          </cell>
        </row>
        <row r="688">
          <cell r="L688">
            <v>57767</v>
          </cell>
        </row>
        <row r="689">
          <cell r="L689">
            <v>57812</v>
          </cell>
        </row>
        <row r="690">
          <cell r="L690">
            <v>57821</v>
          </cell>
        </row>
        <row r="691">
          <cell r="L691">
            <v>57831</v>
          </cell>
        </row>
        <row r="692">
          <cell r="L692">
            <v>57874</v>
          </cell>
        </row>
        <row r="693">
          <cell r="L693">
            <v>57960</v>
          </cell>
        </row>
        <row r="694">
          <cell r="L694">
            <v>57995</v>
          </cell>
        </row>
        <row r="695">
          <cell r="L695">
            <v>58016</v>
          </cell>
        </row>
        <row r="696">
          <cell r="L696">
            <v>58029</v>
          </cell>
        </row>
        <row r="697">
          <cell r="L697">
            <v>58069</v>
          </cell>
        </row>
        <row r="698">
          <cell r="L698">
            <v>58076</v>
          </cell>
        </row>
        <row r="699">
          <cell r="L699">
            <v>58116</v>
          </cell>
        </row>
        <row r="700">
          <cell r="L700">
            <v>58117</v>
          </cell>
        </row>
        <row r="701">
          <cell r="L701">
            <v>58162</v>
          </cell>
        </row>
        <row r="702">
          <cell r="L702">
            <v>58186</v>
          </cell>
        </row>
        <row r="703">
          <cell r="L703">
            <v>58196</v>
          </cell>
        </row>
        <row r="704">
          <cell r="L704">
            <v>58224</v>
          </cell>
        </row>
        <row r="705">
          <cell r="L705">
            <v>58325</v>
          </cell>
        </row>
        <row r="706">
          <cell r="L706">
            <v>58360</v>
          </cell>
        </row>
        <row r="707">
          <cell r="L707">
            <v>58381</v>
          </cell>
        </row>
        <row r="708">
          <cell r="L708">
            <v>58394</v>
          </cell>
        </row>
        <row r="709">
          <cell r="L709">
            <v>58434</v>
          </cell>
        </row>
        <row r="710">
          <cell r="L710">
            <v>58441</v>
          </cell>
        </row>
        <row r="711">
          <cell r="L711">
            <v>58501</v>
          </cell>
        </row>
        <row r="712">
          <cell r="L712">
            <v>58502</v>
          </cell>
        </row>
        <row r="713">
          <cell r="L713">
            <v>58547</v>
          </cell>
        </row>
        <row r="714">
          <cell r="L714">
            <v>58552</v>
          </cell>
        </row>
        <row r="715">
          <cell r="L715">
            <v>58562</v>
          </cell>
        </row>
        <row r="716">
          <cell r="L716">
            <v>58609</v>
          </cell>
        </row>
        <row r="717">
          <cell r="L717">
            <v>58691</v>
          </cell>
        </row>
        <row r="718">
          <cell r="L718">
            <v>58726</v>
          </cell>
        </row>
        <row r="719">
          <cell r="L719">
            <v>58747</v>
          </cell>
        </row>
        <row r="720">
          <cell r="L720">
            <v>58760</v>
          </cell>
        </row>
        <row r="721">
          <cell r="L721">
            <v>58800</v>
          </cell>
        </row>
        <row r="722">
          <cell r="L722">
            <v>58807</v>
          </cell>
        </row>
        <row r="723">
          <cell r="L723">
            <v>58858</v>
          </cell>
        </row>
        <row r="724">
          <cell r="L724">
            <v>58859</v>
          </cell>
        </row>
        <row r="725">
          <cell r="L725">
            <v>58904</v>
          </cell>
        </row>
        <row r="726">
          <cell r="L726">
            <v>58917</v>
          </cell>
        </row>
        <row r="727">
          <cell r="L727">
            <v>58927</v>
          </cell>
        </row>
        <row r="728">
          <cell r="L728">
            <v>58966</v>
          </cell>
        </row>
        <row r="729">
          <cell r="L729">
            <v>59056</v>
          </cell>
        </row>
        <row r="730">
          <cell r="L730">
            <v>59091</v>
          </cell>
        </row>
        <row r="731">
          <cell r="L731">
            <v>59112</v>
          </cell>
        </row>
        <row r="732">
          <cell r="L732">
            <v>59125</v>
          </cell>
        </row>
        <row r="733">
          <cell r="L733">
            <v>59165</v>
          </cell>
        </row>
        <row r="734">
          <cell r="L734">
            <v>59172</v>
          </cell>
        </row>
        <row r="735">
          <cell r="L735">
            <v>59208</v>
          </cell>
        </row>
        <row r="736">
          <cell r="L736">
            <v>59209</v>
          </cell>
        </row>
        <row r="737">
          <cell r="L737">
            <v>59254</v>
          </cell>
        </row>
        <row r="738">
          <cell r="L738">
            <v>59282</v>
          </cell>
        </row>
        <row r="739">
          <cell r="L739">
            <v>59292</v>
          </cell>
        </row>
        <row r="740">
          <cell r="L740">
            <v>59316</v>
          </cell>
        </row>
        <row r="741">
          <cell r="L741">
            <v>59421</v>
          </cell>
        </row>
        <row r="742">
          <cell r="L742">
            <v>59456</v>
          </cell>
        </row>
        <row r="743">
          <cell r="L743">
            <v>59477</v>
          </cell>
        </row>
        <row r="744">
          <cell r="L744">
            <v>59490</v>
          </cell>
        </row>
        <row r="745">
          <cell r="L745">
            <v>59530</v>
          </cell>
        </row>
        <row r="746">
          <cell r="L746">
            <v>59537</v>
          </cell>
        </row>
        <row r="747">
          <cell r="L747">
            <v>59593</v>
          </cell>
        </row>
        <row r="748">
          <cell r="L748">
            <v>59594</v>
          </cell>
        </row>
        <row r="749">
          <cell r="L749">
            <v>59639</v>
          </cell>
        </row>
        <row r="750">
          <cell r="L750">
            <v>59647</v>
          </cell>
        </row>
        <row r="751">
          <cell r="L751">
            <v>59657</v>
          </cell>
        </row>
        <row r="752">
          <cell r="L752">
            <v>59701</v>
          </cell>
        </row>
        <row r="753">
          <cell r="L753">
            <v>59786</v>
          </cell>
        </row>
        <row r="754">
          <cell r="L754">
            <v>59821</v>
          </cell>
        </row>
        <row r="755">
          <cell r="L755">
            <v>59842</v>
          </cell>
        </row>
        <row r="756">
          <cell r="L756">
            <v>59855</v>
          </cell>
        </row>
        <row r="757">
          <cell r="L757">
            <v>59895</v>
          </cell>
        </row>
        <row r="758">
          <cell r="L758">
            <v>59902</v>
          </cell>
        </row>
        <row r="759">
          <cell r="L759">
            <v>59950</v>
          </cell>
        </row>
        <row r="760">
          <cell r="L760">
            <v>59951</v>
          </cell>
        </row>
        <row r="761">
          <cell r="L761">
            <v>59996</v>
          </cell>
        </row>
        <row r="762">
          <cell r="L762">
            <v>60013</v>
          </cell>
        </row>
        <row r="763">
          <cell r="L763">
            <v>60023</v>
          </cell>
        </row>
        <row r="764">
          <cell r="L764">
            <v>60058</v>
          </cell>
        </row>
        <row r="765">
          <cell r="L765">
            <v>60152</v>
          </cell>
        </row>
        <row r="766">
          <cell r="L766">
            <v>60187</v>
          </cell>
        </row>
        <row r="767">
          <cell r="L767">
            <v>60208</v>
          </cell>
        </row>
        <row r="768">
          <cell r="L768">
            <v>60221</v>
          </cell>
        </row>
        <row r="769">
          <cell r="L769">
            <v>60261</v>
          </cell>
        </row>
        <row r="770">
          <cell r="L770">
            <v>60268</v>
          </cell>
        </row>
        <row r="771">
          <cell r="L771">
            <v>60307</v>
          </cell>
        </row>
        <row r="772">
          <cell r="L772">
            <v>60308</v>
          </cell>
        </row>
        <row r="773">
          <cell r="L773">
            <v>60353</v>
          </cell>
        </row>
        <row r="774">
          <cell r="L774">
            <v>60378</v>
          </cell>
        </row>
        <row r="775">
          <cell r="L775">
            <v>60388</v>
          </cell>
        </row>
        <row r="776">
          <cell r="L776">
            <v>60415</v>
          </cell>
        </row>
        <row r="777">
          <cell r="L777">
            <v>60517</v>
          </cell>
        </row>
        <row r="778">
          <cell r="L778">
            <v>60552</v>
          </cell>
        </row>
        <row r="779">
          <cell r="L779">
            <v>60573</v>
          </cell>
        </row>
        <row r="780">
          <cell r="L780">
            <v>60586</v>
          </cell>
        </row>
        <row r="781">
          <cell r="L781">
            <v>60626</v>
          </cell>
        </row>
        <row r="782">
          <cell r="L782">
            <v>60633</v>
          </cell>
        </row>
        <row r="783">
          <cell r="L783">
            <v>60685</v>
          </cell>
        </row>
        <row r="784">
          <cell r="L784">
            <v>60686</v>
          </cell>
        </row>
        <row r="785">
          <cell r="L785">
            <v>60731</v>
          </cell>
        </row>
        <row r="786">
          <cell r="L786">
            <v>60743</v>
          </cell>
        </row>
        <row r="787">
          <cell r="L787">
            <v>60753</v>
          </cell>
        </row>
        <row r="788">
          <cell r="L788">
            <v>60793</v>
          </cell>
        </row>
        <row r="789">
          <cell r="L789">
            <v>60882</v>
          </cell>
        </row>
        <row r="790">
          <cell r="L790">
            <v>60917</v>
          </cell>
        </row>
        <row r="791">
          <cell r="L791">
            <v>60938</v>
          </cell>
        </row>
        <row r="792">
          <cell r="L792">
            <v>60951</v>
          </cell>
        </row>
        <row r="793">
          <cell r="L793">
            <v>60991</v>
          </cell>
        </row>
        <row r="794">
          <cell r="L794">
            <v>60998</v>
          </cell>
        </row>
        <row r="795">
          <cell r="L795">
            <v>61042</v>
          </cell>
        </row>
        <row r="796">
          <cell r="L796">
            <v>61043</v>
          </cell>
        </row>
        <row r="797">
          <cell r="L797">
            <v>61088</v>
          </cell>
        </row>
        <row r="798">
          <cell r="L798">
            <v>61108</v>
          </cell>
        </row>
        <row r="799">
          <cell r="L799">
            <v>61118</v>
          </cell>
        </row>
        <row r="800">
          <cell r="L800">
            <v>61150</v>
          </cell>
        </row>
        <row r="801">
          <cell r="L801">
            <v>61247</v>
          </cell>
        </row>
        <row r="802">
          <cell r="L802">
            <v>61282</v>
          </cell>
        </row>
        <row r="803">
          <cell r="L803">
            <v>61303</v>
          </cell>
        </row>
        <row r="804">
          <cell r="L804">
            <v>61316</v>
          </cell>
        </row>
        <row r="805">
          <cell r="L805">
            <v>61356</v>
          </cell>
        </row>
        <row r="806">
          <cell r="L806">
            <v>61363</v>
          </cell>
        </row>
        <row r="807">
          <cell r="L807">
            <v>61427</v>
          </cell>
        </row>
        <row r="808">
          <cell r="L808">
            <v>61428</v>
          </cell>
        </row>
        <row r="809">
          <cell r="L809">
            <v>61473</v>
          </cell>
        </row>
        <row r="810">
          <cell r="L810">
            <v>61474</v>
          </cell>
        </row>
        <row r="811">
          <cell r="L811">
            <v>61484</v>
          </cell>
        </row>
        <row r="812">
          <cell r="L812">
            <v>61535</v>
          </cell>
        </row>
        <row r="813">
          <cell r="L813">
            <v>61613</v>
          </cell>
        </row>
        <row r="814">
          <cell r="L814">
            <v>61648</v>
          </cell>
        </row>
        <row r="815">
          <cell r="L815">
            <v>61669</v>
          </cell>
        </row>
        <row r="816">
          <cell r="L816">
            <v>61682</v>
          </cell>
        </row>
        <row r="817">
          <cell r="L817">
            <v>61722</v>
          </cell>
        </row>
        <row r="818">
          <cell r="L818">
            <v>61729</v>
          </cell>
        </row>
        <row r="819">
          <cell r="L819">
            <v>61784</v>
          </cell>
        </row>
        <row r="820">
          <cell r="L820">
            <v>61785</v>
          </cell>
        </row>
        <row r="821">
          <cell r="L821">
            <v>61830</v>
          </cell>
        </row>
        <row r="822">
          <cell r="L822">
            <v>61839</v>
          </cell>
        </row>
        <row r="823">
          <cell r="L823">
            <v>61849</v>
          </cell>
        </row>
        <row r="824">
          <cell r="L824">
            <v>61892</v>
          </cell>
        </row>
        <row r="825">
          <cell r="L825">
            <v>61978</v>
          </cell>
        </row>
        <row r="826">
          <cell r="L826">
            <v>62013</v>
          </cell>
        </row>
        <row r="827">
          <cell r="L827">
            <v>62034</v>
          </cell>
        </row>
        <row r="828">
          <cell r="L828">
            <v>62047</v>
          </cell>
        </row>
        <row r="829">
          <cell r="L829">
            <v>62087</v>
          </cell>
        </row>
        <row r="830">
          <cell r="L830">
            <v>62094</v>
          </cell>
        </row>
        <row r="831">
          <cell r="L831">
            <v>62134</v>
          </cell>
        </row>
        <row r="832">
          <cell r="L832">
            <v>62135</v>
          </cell>
        </row>
        <row r="833">
          <cell r="L833">
            <v>62180</v>
          </cell>
        </row>
        <row r="834">
          <cell r="L834">
            <v>62204</v>
          </cell>
        </row>
        <row r="835">
          <cell r="L835">
            <v>62214</v>
          </cell>
        </row>
        <row r="836">
          <cell r="L836">
            <v>62242</v>
          </cell>
        </row>
        <row r="837">
          <cell r="L837">
            <v>62343</v>
          </cell>
        </row>
        <row r="838">
          <cell r="L838">
            <v>62378</v>
          </cell>
        </row>
        <row r="839">
          <cell r="L839">
            <v>62399</v>
          </cell>
        </row>
        <row r="840">
          <cell r="L840">
            <v>62412</v>
          </cell>
        </row>
        <row r="841">
          <cell r="L841">
            <v>62452</v>
          </cell>
        </row>
        <row r="842">
          <cell r="L842">
            <v>62459</v>
          </cell>
        </row>
        <row r="843">
          <cell r="L843">
            <v>62519</v>
          </cell>
        </row>
        <row r="844">
          <cell r="L844">
            <v>62520</v>
          </cell>
        </row>
        <row r="845">
          <cell r="L845">
            <v>62565</v>
          </cell>
        </row>
        <row r="846">
          <cell r="L846">
            <v>62569</v>
          </cell>
        </row>
        <row r="847">
          <cell r="L847">
            <v>62579</v>
          </cell>
        </row>
        <row r="848">
          <cell r="L848">
            <v>62627</v>
          </cell>
        </row>
        <row r="849">
          <cell r="L849">
            <v>62708</v>
          </cell>
        </row>
        <row r="850">
          <cell r="L850">
            <v>62743</v>
          </cell>
        </row>
        <row r="851">
          <cell r="L851">
            <v>62764</v>
          </cell>
        </row>
        <row r="852">
          <cell r="L852">
            <v>62777</v>
          </cell>
        </row>
        <row r="853">
          <cell r="L853">
            <v>62817</v>
          </cell>
        </row>
        <row r="854">
          <cell r="L854">
            <v>62824</v>
          </cell>
        </row>
        <row r="855">
          <cell r="L855">
            <v>62876</v>
          </cell>
        </row>
        <row r="856">
          <cell r="L856">
            <v>62877</v>
          </cell>
        </row>
        <row r="857">
          <cell r="L857">
            <v>62922</v>
          </cell>
        </row>
        <row r="858">
          <cell r="L858">
            <v>62935</v>
          </cell>
        </row>
        <row r="859">
          <cell r="L859">
            <v>62945</v>
          </cell>
        </row>
        <row r="860">
          <cell r="L860">
            <v>62984</v>
          </cell>
        </row>
        <row r="861">
          <cell r="L861">
            <v>63074</v>
          </cell>
        </row>
        <row r="862">
          <cell r="L862">
            <v>63109</v>
          </cell>
        </row>
        <row r="863">
          <cell r="L863">
            <v>63130</v>
          </cell>
        </row>
        <row r="864">
          <cell r="L864">
            <v>63143</v>
          </cell>
        </row>
        <row r="865">
          <cell r="L865">
            <v>63183</v>
          </cell>
        </row>
        <row r="866">
          <cell r="L866">
            <v>63190</v>
          </cell>
        </row>
        <row r="867">
          <cell r="L867">
            <v>63226</v>
          </cell>
        </row>
        <row r="868">
          <cell r="L868">
            <v>63227</v>
          </cell>
        </row>
        <row r="869">
          <cell r="L869">
            <v>63272</v>
          </cell>
        </row>
        <row r="870">
          <cell r="L870">
            <v>63300</v>
          </cell>
        </row>
        <row r="871">
          <cell r="L871">
            <v>63310</v>
          </cell>
        </row>
        <row r="872">
          <cell r="L872">
            <v>63334</v>
          </cell>
        </row>
        <row r="873">
          <cell r="L873">
            <v>63439</v>
          </cell>
        </row>
        <row r="874">
          <cell r="L874">
            <v>63474</v>
          </cell>
        </row>
        <row r="875">
          <cell r="L875">
            <v>63495</v>
          </cell>
        </row>
        <row r="876">
          <cell r="L876">
            <v>63508</v>
          </cell>
        </row>
        <row r="877">
          <cell r="L877">
            <v>63548</v>
          </cell>
        </row>
        <row r="878">
          <cell r="L878">
            <v>63555</v>
          </cell>
        </row>
        <row r="879">
          <cell r="L879">
            <v>63611</v>
          </cell>
        </row>
        <row r="880">
          <cell r="L880">
            <v>63612</v>
          </cell>
        </row>
        <row r="881">
          <cell r="L881">
            <v>63657</v>
          </cell>
        </row>
        <row r="882">
          <cell r="L882">
            <v>63665</v>
          </cell>
        </row>
        <row r="883">
          <cell r="L883">
            <v>63675</v>
          </cell>
        </row>
        <row r="884">
          <cell r="L884">
            <v>63719</v>
          </cell>
        </row>
        <row r="885">
          <cell r="L885">
            <v>63804</v>
          </cell>
        </row>
        <row r="886">
          <cell r="L886">
            <v>63839</v>
          </cell>
        </row>
        <row r="887">
          <cell r="L887">
            <v>63860</v>
          </cell>
        </row>
        <row r="888">
          <cell r="L888">
            <v>63873</v>
          </cell>
        </row>
        <row r="889">
          <cell r="L889">
            <v>63913</v>
          </cell>
        </row>
        <row r="890">
          <cell r="L890">
            <v>63920</v>
          </cell>
        </row>
        <row r="891">
          <cell r="L891">
            <v>63968</v>
          </cell>
        </row>
        <row r="892">
          <cell r="L892">
            <v>63969</v>
          </cell>
        </row>
        <row r="893">
          <cell r="L893">
            <v>64014</v>
          </cell>
        </row>
        <row r="894">
          <cell r="L894">
            <v>64030</v>
          </cell>
        </row>
        <row r="895">
          <cell r="L895">
            <v>64040</v>
          </cell>
        </row>
        <row r="896">
          <cell r="L896">
            <v>64076</v>
          </cell>
        </row>
        <row r="897">
          <cell r="L897">
            <v>64169</v>
          </cell>
        </row>
        <row r="898">
          <cell r="L898">
            <v>64204</v>
          </cell>
        </row>
        <row r="899">
          <cell r="L899">
            <v>64225</v>
          </cell>
        </row>
        <row r="900">
          <cell r="L900">
            <v>64238</v>
          </cell>
        </row>
        <row r="901">
          <cell r="L901">
            <v>64278</v>
          </cell>
        </row>
        <row r="902">
          <cell r="L902">
            <v>64285</v>
          </cell>
        </row>
        <row r="903">
          <cell r="L903">
            <v>64346</v>
          </cell>
        </row>
        <row r="904">
          <cell r="L904">
            <v>64347</v>
          </cell>
        </row>
        <row r="905">
          <cell r="L905">
            <v>64392</v>
          </cell>
        </row>
        <row r="906">
          <cell r="L906">
            <v>64396</v>
          </cell>
        </row>
        <row r="907">
          <cell r="L907">
            <v>64406</v>
          </cell>
        </row>
        <row r="908">
          <cell r="L908">
            <v>64454</v>
          </cell>
        </row>
        <row r="909">
          <cell r="L909">
            <v>64535</v>
          </cell>
        </row>
        <row r="910">
          <cell r="L910">
            <v>64570</v>
          </cell>
        </row>
        <row r="911">
          <cell r="L911">
            <v>64591</v>
          </cell>
        </row>
        <row r="912">
          <cell r="L912">
            <v>64604</v>
          </cell>
        </row>
        <row r="913">
          <cell r="L913">
            <v>64644</v>
          </cell>
        </row>
        <row r="914">
          <cell r="L914">
            <v>64651</v>
          </cell>
        </row>
        <row r="915">
          <cell r="L915">
            <v>64703</v>
          </cell>
        </row>
        <row r="916">
          <cell r="L916">
            <v>64704</v>
          </cell>
        </row>
        <row r="917">
          <cell r="L917">
            <v>64749</v>
          </cell>
        </row>
        <row r="918">
          <cell r="L918">
            <v>64761</v>
          </cell>
        </row>
        <row r="919">
          <cell r="L919">
            <v>64771</v>
          </cell>
        </row>
        <row r="920">
          <cell r="L920">
            <v>64811</v>
          </cell>
        </row>
        <row r="921">
          <cell r="L921">
            <v>64900</v>
          </cell>
        </row>
        <row r="922">
          <cell r="L922">
            <v>64935</v>
          </cell>
        </row>
        <row r="923">
          <cell r="L923">
            <v>64956</v>
          </cell>
        </row>
        <row r="924">
          <cell r="L924">
            <v>64969</v>
          </cell>
        </row>
        <row r="925">
          <cell r="L925">
            <v>65009</v>
          </cell>
        </row>
        <row r="926">
          <cell r="L926">
            <v>65016</v>
          </cell>
        </row>
        <row r="927">
          <cell r="L927">
            <v>65060</v>
          </cell>
        </row>
        <row r="928">
          <cell r="L928">
            <v>65061</v>
          </cell>
        </row>
        <row r="929">
          <cell r="L929">
            <v>65106</v>
          </cell>
        </row>
        <row r="930">
          <cell r="L930">
            <v>65126</v>
          </cell>
        </row>
        <row r="931">
          <cell r="L931">
            <v>65136</v>
          </cell>
        </row>
        <row r="932">
          <cell r="L932">
            <v>65168</v>
          </cell>
        </row>
        <row r="933">
          <cell r="L933">
            <v>65265</v>
          </cell>
        </row>
        <row r="934">
          <cell r="L934">
            <v>65300</v>
          </cell>
        </row>
        <row r="935">
          <cell r="L935">
            <v>65321</v>
          </cell>
        </row>
        <row r="936">
          <cell r="L936">
            <v>65334</v>
          </cell>
        </row>
        <row r="937">
          <cell r="L937">
            <v>65374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3">
          <cell r="BE13" t="str">
            <v>O/N</v>
          </cell>
        </row>
      </sheetData>
      <sheetData sheetId="9" refreshError="1"/>
      <sheetData sheetId="10" refreshError="1"/>
      <sheetData sheetId="11" refreshError="1"/>
      <sheetData sheetId="12">
        <row r="12">
          <cell r="BD12" t="str">
            <v>1Mo Ago</v>
          </cell>
        </row>
      </sheetData>
      <sheetData sheetId="13">
        <row r="14">
          <cell r="CA14" t="str">
            <v>Bear</v>
          </cell>
        </row>
      </sheetData>
      <sheetData sheetId="14">
        <row r="5">
          <cell r="D5" t="str">
            <v>Bear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>
        <row r="119">
          <cell r="J119">
            <v>2.7416</v>
          </cell>
        </row>
        <row r="120">
          <cell r="J120">
            <v>624.1</v>
          </cell>
        </row>
        <row r="121">
          <cell r="J121">
            <v>14.749000000000001</v>
          </cell>
        </row>
        <row r="122">
          <cell r="J122">
            <v>3.3</v>
          </cell>
        </row>
        <row r="123">
          <cell r="J123">
            <v>3</v>
          </cell>
        </row>
        <row r="124">
          <cell r="J124">
            <v>24541.279999999999</v>
          </cell>
        </row>
        <row r="125">
          <cell r="J125">
            <v>-1.2915343387209788E-4</v>
          </cell>
        </row>
        <row r="126">
          <cell r="J126">
            <v>176548.84400000001</v>
          </cell>
        </row>
        <row r="127">
          <cell r="J127">
            <v>12.15</v>
          </cell>
        </row>
        <row r="137">
          <cell r="J137">
            <v>303927970.75</v>
          </cell>
          <cell r="L137">
            <v>1.3181171072007669E-2</v>
          </cell>
        </row>
        <row r="147">
          <cell r="J147">
            <v>4591273651.1011457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"/>
      <sheetName val="Option"/>
    </sheetNames>
    <sheetDataSet>
      <sheetData sheetId="0" refreshError="1"/>
      <sheetData sheetId="1" refreshError="1">
        <row r="1">
          <cell r="O1">
            <v>1.3256803331378039E-2</v>
          </cell>
        </row>
        <row r="2">
          <cell r="O2">
            <v>2.5754000000000001</v>
          </cell>
        </row>
        <row r="3">
          <cell r="O3">
            <v>306700918.08999997</v>
          </cell>
        </row>
        <row r="4">
          <cell r="O4">
            <v>3.4141571299631003E-2</v>
          </cell>
        </row>
        <row r="5">
          <cell r="B5">
            <v>2350</v>
          </cell>
        </row>
        <row r="6">
          <cell r="B6" t="e">
            <v>#VALUE!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B5814-005C-4ADF-8265-210FE62418BD}">
  <sheetPr codeName="Hoja2"/>
  <dimension ref="B1:AU105"/>
  <sheetViews>
    <sheetView tabSelected="1" topLeftCell="AH10" zoomScale="115" zoomScaleNormal="115" workbookViewId="0">
      <selection activeCell="AU13" sqref="AU13"/>
    </sheetView>
  </sheetViews>
  <sheetFormatPr baseColWidth="10" defaultRowHeight="15" x14ac:dyDescent="0.25"/>
  <cols>
    <col min="2" max="2" width="11.28515625" style="1" customWidth="1"/>
    <col min="3" max="3" width="13.7109375" customWidth="1"/>
    <col min="4" max="4" width="13.28515625" bestFit="1" customWidth="1"/>
    <col min="5" max="5" width="12.140625" bestFit="1" customWidth="1"/>
    <col min="6" max="6" width="11.85546875" bestFit="1" customWidth="1"/>
    <col min="11" max="11" width="12.140625" bestFit="1" customWidth="1"/>
    <col min="16" max="31" width="0" hidden="1" customWidth="1"/>
    <col min="33" max="33" width="14.140625" style="13" bestFit="1" customWidth="1"/>
    <col min="34" max="34" width="16.42578125" style="13" bestFit="1" customWidth="1"/>
    <col min="35" max="35" width="11.85546875" style="13" bestFit="1" customWidth="1"/>
    <col min="36" max="36" width="16.7109375" style="13" bestFit="1" customWidth="1"/>
    <col min="37" max="37" width="16.7109375" style="13" customWidth="1"/>
    <col min="39" max="39" width="21" style="13" bestFit="1" customWidth="1"/>
    <col min="40" max="40" width="11.85546875" style="13" bestFit="1" customWidth="1"/>
    <col min="41" max="41" width="12.28515625" style="13" bestFit="1" customWidth="1"/>
    <col min="42" max="42" width="9.42578125" style="13" bestFit="1" customWidth="1"/>
    <col min="43" max="43" width="11.42578125" style="13"/>
    <col min="44" max="44" width="13" style="13" bestFit="1" customWidth="1"/>
  </cols>
  <sheetData>
    <row r="1" spans="2:47" x14ac:dyDescent="0.25">
      <c r="B1" s="15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2:47" x14ac:dyDescent="0.25">
      <c r="B2" s="15"/>
      <c r="C2" s="16"/>
      <c r="D2" s="16"/>
      <c r="E2" s="16"/>
      <c r="F2" s="16"/>
      <c r="G2" s="16"/>
      <c r="H2" s="16"/>
      <c r="I2" s="15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</row>
    <row r="3" spans="2:47" x14ac:dyDescent="0.25">
      <c r="B3" s="41" t="s">
        <v>0</v>
      </c>
      <c r="C3" s="50">
        <v>43460</v>
      </c>
      <c r="E3" s="16"/>
      <c r="F3" s="16"/>
      <c r="G3" s="16"/>
      <c r="H3" s="16"/>
      <c r="I3" s="15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</row>
    <row r="4" spans="2:47" x14ac:dyDescent="0.25">
      <c r="B4" s="41" t="s">
        <v>1</v>
      </c>
      <c r="C4" s="17">
        <f>+AddWorkingDays(C3,2)</f>
        <v>43462</v>
      </c>
      <c r="D4" t="s">
        <v>73</v>
      </c>
      <c r="F4" s="16"/>
      <c r="G4" s="16"/>
      <c r="H4" s="16"/>
      <c r="I4" s="15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</row>
    <row r="5" spans="2:47" x14ac:dyDescent="0.25">
      <c r="B5" s="41" t="s">
        <v>64</v>
      </c>
      <c r="C5" s="18" t="b">
        <v>0</v>
      </c>
      <c r="E5" s="16"/>
      <c r="F5" s="16"/>
      <c r="G5" s="16"/>
      <c r="H5" s="16"/>
      <c r="I5" s="15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</row>
    <row r="6" spans="2:47" x14ac:dyDescent="0.25">
      <c r="B6" s="42"/>
      <c r="C6" s="16"/>
      <c r="E6" s="16"/>
      <c r="F6" s="16"/>
      <c r="G6" s="16"/>
      <c r="H6" s="16"/>
      <c r="I6" s="15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</row>
    <row r="7" spans="2:47" x14ac:dyDescent="0.25">
      <c r="B7" s="43" t="s">
        <v>2</v>
      </c>
      <c r="C7" s="51">
        <v>360</v>
      </c>
      <c r="E7" s="16"/>
      <c r="F7" s="16"/>
      <c r="G7" s="16"/>
      <c r="H7" s="16"/>
      <c r="I7" s="15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2:47" x14ac:dyDescent="0.25">
      <c r="B8" s="43" t="s">
        <v>48</v>
      </c>
      <c r="C8" s="51">
        <v>30</v>
      </c>
      <c r="E8" s="16"/>
      <c r="F8" s="16"/>
      <c r="G8" s="16"/>
      <c r="H8" s="16"/>
      <c r="I8" s="1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K8" s="36"/>
    </row>
    <row r="9" spans="2:47" x14ac:dyDescent="0.25">
      <c r="B9" s="15"/>
      <c r="C9" s="42"/>
      <c r="D9" s="16"/>
      <c r="E9" s="16"/>
      <c r="F9" s="16"/>
      <c r="G9" s="16"/>
      <c r="H9" s="16"/>
      <c r="I9" s="1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R9" s="46"/>
    </row>
    <row r="10" spans="2:47" ht="26.25" x14ac:dyDescent="0.4">
      <c r="B10" s="48" t="s">
        <v>36</v>
      </c>
      <c r="C10" s="48"/>
      <c r="D10" s="48"/>
      <c r="E10" s="16"/>
      <c r="F10" s="16"/>
      <c r="G10" s="16"/>
      <c r="H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</row>
    <row r="11" spans="2:47" x14ac:dyDescent="0.25">
      <c r="B11" s="15"/>
      <c r="C11" s="16"/>
      <c r="D11" s="19"/>
      <c r="E11" s="16" t="s">
        <v>35</v>
      </c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38" t="s">
        <v>52</v>
      </c>
      <c r="AH11" s="24">
        <f>+C8</f>
        <v>30</v>
      </c>
      <c r="AI11" s="40">
        <f>1/(1+get_interpolated_rate(AH11,$AN$13:$AN$27,$AP$13:$AP$27,COUNT($AN$13:$AN$27))/100*AH11/360)</f>
        <v>0.99768113867926644</v>
      </c>
      <c r="AJ11" s="24"/>
      <c r="AK11" s="46"/>
      <c r="AM11" s="24"/>
      <c r="AN11" s="24"/>
      <c r="AO11" s="24"/>
      <c r="AP11" s="24"/>
      <c r="AQ11" s="24"/>
      <c r="AS11" s="7"/>
      <c r="AT11" s="7"/>
    </row>
    <row r="12" spans="2:47" x14ac:dyDescent="0.25">
      <c r="B12" s="47" t="s">
        <v>68</v>
      </c>
      <c r="C12" s="47" t="s">
        <v>4</v>
      </c>
      <c r="D12" s="47" t="s">
        <v>5</v>
      </c>
      <c r="E12" s="47" t="s">
        <v>24</v>
      </c>
      <c r="F12" s="47" t="s">
        <v>25</v>
      </c>
      <c r="G12" s="47" t="s">
        <v>26</v>
      </c>
      <c r="H12" s="47" t="s">
        <v>27</v>
      </c>
      <c r="I12" s="47" t="s">
        <v>28</v>
      </c>
      <c r="J12" s="47" t="s">
        <v>29</v>
      </c>
      <c r="K12" s="47" t="s">
        <v>30</v>
      </c>
      <c r="L12" s="47" t="s">
        <v>31</v>
      </c>
      <c r="M12" s="47" t="s">
        <v>32</v>
      </c>
      <c r="N12" s="47" t="s">
        <v>33</v>
      </c>
      <c r="O12" s="47" t="s">
        <v>34</v>
      </c>
      <c r="P12" s="65">
        <v>0.25</v>
      </c>
      <c r="Q12" s="66"/>
      <c r="R12" s="67">
        <v>0.5</v>
      </c>
      <c r="S12" s="68"/>
      <c r="T12" s="65">
        <v>0.75</v>
      </c>
      <c r="U12" s="66"/>
      <c r="V12" s="67">
        <v>1</v>
      </c>
      <c r="W12" s="68"/>
      <c r="X12" s="63">
        <v>2</v>
      </c>
      <c r="Y12" s="64"/>
      <c r="Z12" s="63">
        <v>3</v>
      </c>
      <c r="AA12" s="64"/>
      <c r="AB12" s="63">
        <v>4</v>
      </c>
      <c r="AC12" s="64"/>
      <c r="AD12" s="63">
        <v>5</v>
      </c>
      <c r="AE12" s="64"/>
      <c r="AF12" s="23"/>
      <c r="AG12" s="47" t="s">
        <v>23</v>
      </c>
      <c r="AH12" s="47" t="s">
        <v>67</v>
      </c>
      <c r="AI12" s="47" t="s">
        <v>47</v>
      </c>
      <c r="AJ12" s="47" t="s">
        <v>49</v>
      </c>
      <c r="AK12" s="58" t="s">
        <v>133</v>
      </c>
      <c r="AM12" s="47" t="s">
        <v>66</v>
      </c>
      <c r="AN12" s="47" t="s">
        <v>57</v>
      </c>
      <c r="AO12" s="47" t="s">
        <v>58</v>
      </c>
      <c r="AP12" s="47" t="s">
        <v>22</v>
      </c>
      <c r="AQ12" s="47" t="s">
        <v>3</v>
      </c>
      <c r="AR12" s="47" t="s">
        <v>3</v>
      </c>
      <c r="AS12" s="7"/>
      <c r="AT12" t="s">
        <v>62</v>
      </c>
      <c r="AU12" s="2" t="s">
        <v>63</v>
      </c>
    </row>
    <row r="13" spans="2:47" x14ac:dyDescent="0.25">
      <c r="B13" s="1">
        <f>+C4+C13</f>
        <v>43463</v>
      </c>
      <c r="C13">
        <v>1</v>
      </c>
      <c r="D13" s="2" t="s">
        <v>6</v>
      </c>
      <c r="E13" s="5">
        <f>+F13</f>
        <v>2.75</v>
      </c>
      <c r="F13" s="5">
        <f t="shared" ref="F13:F19" si="0">+AQ13</f>
        <v>2.75</v>
      </c>
      <c r="G13" s="6">
        <f>1/(1+E13*C13/36000)</f>
        <v>0.9999236169459278</v>
      </c>
      <c r="H13" s="6"/>
      <c r="I13" s="6"/>
      <c r="J13" s="6"/>
      <c r="K13" s="6"/>
      <c r="L13" s="6"/>
      <c r="M13" s="6"/>
      <c r="N13" s="6"/>
      <c r="O13" s="6"/>
      <c r="AG13" s="3">
        <f>1/360</f>
        <v>2.7777777777777779E-3</v>
      </c>
      <c r="AH13" s="13">
        <f>+AH11+1</f>
        <v>31</v>
      </c>
      <c r="AI13" s="14">
        <f t="shared" ref="AI13:AI33" si="1">1/(1+get_interpolated_rate(AH13,$AN$13:$AN$27,$AP$13:$AP$27,COUNT($AN$13:$AN$27))/100*AH13/360)</f>
        <v>0.99760287300909289</v>
      </c>
      <c r="AJ13" s="14">
        <f t="shared" ref="AJ13:AJ33" si="2">+AI13/$AI$11</f>
        <v>0.9999215524207693</v>
      </c>
      <c r="AK13" s="14"/>
      <c r="AL13" s="5"/>
      <c r="AM13" s="13" t="s">
        <v>21</v>
      </c>
      <c r="AN13" s="25">
        <v>1</v>
      </c>
      <c r="AO13" s="3">
        <v>0</v>
      </c>
      <c r="AP13" s="13">
        <f t="shared" ref="AP13" si="3">+AQ13</f>
        <v>2.75</v>
      </c>
      <c r="AQ13" s="26">
        <f>+_xll.BDP(AM13,$AQ$12)</f>
        <v>2.75</v>
      </c>
      <c r="AR13" s="26">
        <f>+_xll.BDP($AM13,AR$12)</f>
        <v>2.75</v>
      </c>
      <c r="AS13" s="7"/>
    </row>
    <row r="14" spans="2:47" x14ac:dyDescent="0.25">
      <c r="B14" s="1">
        <f>+IF($C$5,get_swap_maturity($C$3,D14),$C$4+360*D14)</f>
        <v>43552</v>
      </c>
      <c r="C14" s="44">
        <f t="shared" ref="C14:C35" si="4">+B14-$C$4</f>
        <v>90</v>
      </c>
      <c r="D14" s="3">
        <v>0.25</v>
      </c>
      <c r="E14" s="5">
        <f t="shared" ref="E14:E18" si="5">+F14</f>
        <v>2.87</v>
      </c>
      <c r="F14" s="5">
        <f t="shared" si="0"/>
        <v>2.87</v>
      </c>
      <c r="G14" s="6">
        <f>1/(1+E14*C14/36000)</f>
        <v>0.99287611388289032</v>
      </c>
      <c r="H14" s="6"/>
      <c r="I14" s="6"/>
      <c r="J14" s="6"/>
      <c r="K14" s="6"/>
      <c r="L14" s="6"/>
      <c r="M14" s="6"/>
      <c r="N14" s="6"/>
      <c r="O14" s="6"/>
      <c r="AG14" s="3">
        <v>0.25</v>
      </c>
      <c r="AH14" s="13">
        <f>+C14+$AH$11</f>
        <v>120</v>
      </c>
      <c r="AI14" s="14">
        <f t="shared" si="1"/>
        <v>0.99043896254820141</v>
      </c>
      <c r="AJ14" s="14">
        <f t="shared" si="2"/>
        <v>0.99274099123428128</v>
      </c>
      <c r="AK14" s="14"/>
      <c r="AL14" s="5"/>
      <c r="AM14" s="13" t="s">
        <v>7</v>
      </c>
      <c r="AN14" s="13">
        <f t="shared" ref="AN14:AN19" si="6">+C14</f>
        <v>90</v>
      </c>
      <c r="AO14" s="3">
        <v>0.25</v>
      </c>
      <c r="AP14" s="13">
        <f>+AQ14</f>
        <v>2.87</v>
      </c>
      <c r="AQ14" s="26">
        <f>+_xll.BDP(AM14,$AQ$12)</f>
        <v>2.87</v>
      </c>
      <c r="AR14" s="26">
        <f>+_xll.BDP($AM14,AR$12)</f>
        <v>2.87</v>
      </c>
      <c r="AS14" s="7"/>
      <c r="AT14" s="7"/>
    </row>
    <row r="15" spans="2:47" x14ac:dyDescent="0.25">
      <c r="B15" s="1">
        <f>+IF($C$5,get_swap_maturity($C$3,D15),$C$4+360*D15)</f>
        <v>43642</v>
      </c>
      <c r="C15" s="44">
        <f t="shared" si="4"/>
        <v>180</v>
      </c>
      <c r="D15" s="3">
        <v>0.5</v>
      </c>
      <c r="E15" s="5">
        <f t="shared" si="5"/>
        <v>2.948</v>
      </c>
      <c r="F15" s="5">
        <f t="shared" si="0"/>
        <v>2.948</v>
      </c>
      <c r="G15" s="6">
        <f t="shared" ref="G15:G35" si="7">1/(1+E15*C15/36000)</f>
        <v>0.98547411159508846</v>
      </c>
      <c r="H15" s="6">
        <f>+$G15/$G$14</f>
        <v>0.99254488834578314</v>
      </c>
      <c r="I15" s="6"/>
      <c r="J15" s="6"/>
      <c r="K15" s="6"/>
      <c r="L15" s="6"/>
      <c r="M15" s="6"/>
      <c r="N15" s="6"/>
      <c r="O15" s="6"/>
      <c r="AG15" s="3">
        <v>0.5</v>
      </c>
      <c r="AH15" s="13">
        <f t="shared" ref="AH15:AH33" si="8">+C15+$AH$11</f>
        <v>210</v>
      </c>
      <c r="AI15" s="14">
        <f t="shared" si="1"/>
        <v>0.98292119811541245</v>
      </c>
      <c r="AJ15" s="14">
        <f t="shared" si="2"/>
        <v>0.98520575363047025</v>
      </c>
      <c r="AK15" s="14">
        <f>+(AH15-AH11)/360*AJ15</f>
        <v>0.49260287681523512</v>
      </c>
      <c r="AL15" s="5"/>
      <c r="AM15" s="13" t="s">
        <v>8</v>
      </c>
      <c r="AN15" s="13">
        <f t="shared" si="6"/>
        <v>180</v>
      </c>
      <c r="AO15" s="3">
        <v>0.5</v>
      </c>
      <c r="AP15" s="13">
        <f>+AQ15</f>
        <v>2.948</v>
      </c>
      <c r="AQ15" s="26">
        <f>+_xll.BDP(AM15,$AQ$12)</f>
        <v>2.948</v>
      </c>
      <c r="AR15" s="26">
        <f>+_xll.BDP($AM15,AR$12)</f>
        <v>2.948</v>
      </c>
      <c r="AS15" s="7"/>
      <c r="AT15" s="7"/>
    </row>
    <row r="16" spans="2:47" x14ac:dyDescent="0.25">
      <c r="B16" s="1">
        <f>+IF($C$5,get_swap_maturity($C$3,D16),$C$4+360*D16)</f>
        <v>43732</v>
      </c>
      <c r="C16" s="44">
        <f t="shared" si="4"/>
        <v>270</v>
      </c>
      <c r="D16" s="3">
        <v>0.75</v>
      </c>
      <c r="E16" s="5">
        <f t="shared" si="5"/>
        <v>3.04</v>
      </c>
      <c r="F16" s="5">
        <f t="shared" si="0"/>
        <v>3.04</v>
      </c>
      <c r="G16" s="6">
        <f t="shared" si="7"/>
        <v>0.97770825185764576</v>
      </c>
      <c r="H16" s="6">
        <f t="shared" ref="H16:H35" si="9">+$G16/$G$14</f>
        <v>0.98472330856472434</v>
      </c>
      <c r="I16" s="6">
        <f>+$G16/$G$15</f>
        <v>0.99211967149002744</v>
      </c>
      <c r="J16" s="6"/>
      <c r="K16" s="6"/>
      <c r="L16" s="6"/>
      <c r="M16" s="6"/>
      <c r="N16" s="6"/>
      <c r="O16" s="6"/>
      <c r="AG16" s="3">
        <v>0.75</v>
      </c>
      <c r="AH16" s="13">
        <f t="shared" si="8"/>
        <v>300</v>
      </c>
      <c r="AI16" s="14">
        <f t="shared" si="1"/>
        <v>0.97505748776438284</v>
      </c>
      <c r="AJ16" s="14">
        <f t="shared" si="2"/>
        <v>0.9773237660432943</v>
      </c>
      <c r="AK16" s="14"/>
      <c r="AL16" s="5"/>
      <c r="AM16" s="13" t="s">
        <v>9</v>
      </c>
      <c r="AN16" s="13">
        <f t="shared" si="6"/>
        <v>270</v>
      </c>
      <c r="AO16" s="3">
        <v>0.75</v>
      </c>
      <c r="AP16" s="13">
        <f>+AQ16</f>
        <v>3.04</v>
      </c>
      <c r="AQ16" s="26">
        <f>+_xll.BDP(AM16,$AQ$12)</f>
        <v>3.04</v>
      </c>
      <c r="AR16" s="26">
        <f>+_xll.BDP($AM16,AR$12)</f>
        <v>3.04</v>
      </c>
      <c r="AS16" s="39">
        <f t="shared" ref="AS16:AS27" si="10">+AO16-0.5</f>
        <v>0.25</v>
      </c>
      <c r="AT16" s="4">
        <f t="shared" ref="AT16:AT27" si="11">+((1+$AQ16/100*$AN16/360)/(1+$AQ$15/100*$AN$15/360)-1)*360/($AN16-$AN$15)</f>
        <v>3.1771685357825596E-2</v>
      </c>
      <c r="AU16" s="4">
        <f>+((1+$AP16/100*$AN16/360)/(1+$AP$15/100*$AN$15/360)-1)*360/($AN16-$AN$15)</f>
        <v>3.1771685357825596E-2</v>
      </c>
    </row>
    <row r="17" spans="2:47" x14ac:dyDescent="0.25">
      <c r="B17" s="1">
        <f>+IF($C$5,get_swap_maturity($C$3,D17),$C$4+360*D17)</f>
        <v>43822</v>
      </c>
      <c r="C17" s="44">
        <f t="shared" si="4"/>
        <v>360</v>
      </c>
      <c r="D17" s="3">
        <v>1</v>
      </c>
      <c r="E17" s="5">
        <f t="shared" si="5"/>
        <v>3.129</v>
      </c>
      <c r="F17" s="5">
        <f t="shared" si="0"/>
        <v>3.129</v>
      </c>
      <c r="G17" s="6">
        <f t="shared" si="7"/>
        <v>0.96965935866730013</v>
      </c>
      <c r="H17" s="6">
        <f t="shared" si="9"/>
        <v>0.97661666456573792</v>
      </c>
      <c r="I17" s="6">
        <f t="shared" ref="I17:I35" si="12">+$G17/$G$15</f>
        <v>0.98395213761405609</v>
      </c>
      <c r="J17" s="6">
        <f>+$G17/$G$16</f>
        <v>0.99176759204491449</v>
      </c>
      <c r="K17" s="6"/>
      <c r="L17" s="6"/>
      <c r="M17" s="6"/>
      <c r="N17" s="6"/>
      <c r="O17" s="6"/>
      <c r="AG17" s="3">
        <v>1</v>
      </c>
      <c r="AH17" s="13">
        <f t="shared" si="8"/>
        <v>390</v>
      </c>
      <c r="AI17" s="14">
        <f t="shared" si="1"/>
        <v>0.96700952974460874</v>
      </c>
      <c r="AJ17" s="14">
        <f t="shared" si="2"/>
        <v>0.96925710254955721</v>
      </c>
      <c r="AK17" s="14">
        <f>+(AH17-AH15)/360*AJ17</f>
        <v>0.48462855127477861</v>
      </c>
      <c r="AL17" s="5"/>
      <c r="AM17" s="13" t="s">
        <v>10</v>
      </c>
      <c r="AN17" s="13">
        <f t="shared" si="6"/>
        <v>360</v>
      </c>
      <c r="AO17" s="3">
        <v>1</v>
      </c>
      <c r="AP17" s="13">
        <f>+AQ17</f>
        <v>3.129</v>
      </c>
      <c r="AQ17" s="26">
        <f>+_xll.BDP(AM17,$AQ$12)</f>
        <v>3.129</v>
      </c>
      <c r="AR17" s="26">
        <f>+_xll.BDP($AM17,AR$12)</f>
        <v>3.129</v>
      </c>
      <c r="AS17" s="39">
        <f t="shared" si="10"/>
        <v>0.5</v>
      </c>
      <c r="AT17" s="4">
        <f t="shared" si="11"/>
        <v>3.261919309379735E-2</v>
      </c>
      <c r="AU17" s="4">
        <f>+((1+$AP17/100*$AN17/360)/(1+$AP$15/100*$AN$15/360)-1)*360/($AN17-$AN$15)</f>
        <v>3.261919309379735E-2</v>
      </c>
    </row>
    <row r="18" spans="2:47" x14ac:dyDescent="0.25">
      <c r="B18" s="1">
        <f>+IF($C$5,get_swap_maturity($C$3,D18),$C$4+360*D18)</f>
        <v>44002</v>
      </c>
      <c r="C18" s="44">
        <f t="shared" si="4"/>
        <v>540</v>
      </c>
      <c r="D18" s="3">
        <v>1.5</v>
      </c>
      <c r="E18" s="5">
        <f t="shared" si="5"/>
        <v>3.25</v>
      </c>
      <c r="F18" s="5">
        <f t="shared" si="0"/>
        <v>3.25</v>
      </c>
      <c r="G18" s="6">
        <f t="shared" si="7"/>
        <v>0.95351609058402853</v>
      </c>
      <c r="H18" s="6">
        <f t="shared" si="9"/>
        <v>0.96035756853396892</v>
      </c>
      <c r="I18" s="6">
        <f t="shared" si="12"/>
        <v>0.96757091775923709</v>
      </c>
      <c r="J18" s="6">
        <f t="shared" ref="J18:J35" si="13">+$G18/$G$16</f>
        <v>0.9752562574493443</v>
      </c>
      <c r="K18" s="6">
        <f>+$G18/$G$17</f>
        <v>0.9833516090584028</v>
      </c>
      <c r="L18" s="6"/>
      <c r="M18" s="6"/>
      <c r="N18" s="6"/>
      <c r="O18" s="6"/>
      <c r="AG18" s="3">
        <v>1.5</v>
      </c>
      <c r="AH18" s="13">
        <f t="shared" si="8"/>
        <v>570</v>
      </c>
      <c r="AI18" s="14">
        <f t="shared" si="1"/>
        <v>0.95074295797879682</v>
      </c>
      <c r="AJ18" s="14">
        <f t="shared" si="2"/>
        <v>0.95295272318908775</v>
      </c>
      <c r="AK18" s="14">
        <f>+(AH18-AH17)/360*AJ18</f>
        <v>0.47647636159454387</v>
      </c>
      <c r="AL18" s="7"/>
      <c r="AM18" s="13" t="s">
        <v>11</v>
      </c>
      <c r="AN18" s="13">
        <f t="shared" si="6"/>
        <v>540</v>
      </c>
      <c r="AO18" s="3">
        <v>1.5</v>
      </c>
      <c r="AP18" s="13">
        <f>+AQ18</f>
        <v>3.25</v>
      </c>
      <c r="AQ18" s="26">
        <f>+_xll.BDP(AM18,$AQ$12)</f>
        <v>3.25</v>
      </c>
      <c r="AR18" s="26">
        <f>+_xll.BDP($AM18,AR$12)</f>
        <v>3.25</v>
      </c>
      <c r="AS18" s="39">
        <f t="shared" si="10"/>
        <v>1</v>
      </c>
      <c r="AT18" s="4">
        <f t="shared" si="11"/>
        <v>3.3515974535349047E-2</v>
      </c>
      <c r="AU18" s="4">
        <f>+((1+$AP18/100*$AN18/360)/(1+$AP$15/100*$AN$15/360)-1)*360/($AN18-$AN$15)</f>
        <v>3.3515974535349047E-2</v>
      </c>
    </row>
    <row r="19" spans="2:47" x14ac:dyDescent="0.25">
      <c r="B19" s="1">
        <f>+IF($C$5,get_swap_maturity($C$3,D19),$C$4+360*D19)</f>
        <v>44182</v>
      </c>
      <c r="C19" s="44">
        <f t="shared" si="4"/>
        <v>720</v>
      </c>
      <c r="D19" s="3">
        <v>2</v>
      </c>
      <c r="E19" s="5">
        <f>+AP19</f>
        <v>3.3828842548802029</v>
      </c>
      <c r="F19" s="5">
        <f t="shared" si="0"/>
        <v>3.2959999999999998</v>
      </c>
      <c r="G19" s="6">
        <f t="shared" si="7"/>
        <v>0.93662979619594189</v>
      </c>
      <c r="H19" s="6">
        <f t="shared" si="9"/>
        <v>0.94335011498364774</v>
      </c>
      <c r="I19" s="6">
        <f t="shared" si="12"/>
        <v>0.95043571939186999</v>
      </c>
      <c r="J19" s="6">
        <f t="shared" si="13"/>
        <v>0.95798495554920926</v>
      </c>
      <c r="K19" s="6">
        <f t="shared" ref="K19:K35" si="14">+$G19/$G$17</f>
        <v>0.96593694251891293</v>
      </c>
      <c r="L19" s="6"/>
      <c r="M19" s="6"/>
      <c r="N19" s="6"/>
      <c r="O19" s="6"/>
      <c r="R19" s="9"/>
      <c r="AG19" s="3">
        <v>2</v>
      </c>
      <c r="AH19" s="13">
        <f t="shared" si="8"/>
        <v>750</v>
      </c>
      <c r="AI19" s="14">
        <f t="shared" si="1"/>
        <v>0.93382530048079682</v>
      </c>
      <c r="AJ19" s="14">
        <f t="shared" si="2"/>
        <v>0.93599574480980752</v>
      </c>
      <c r="AK19" s="14">
        <f t="shared" ref="AK19:AK33" si="15">+(AH19-AH18)/360*AJ19</f>
        <v>0.46799787240490376</v>
      </c>
      <c r="AL19" s="5"/>
      <c r="AM19" s="13" t="s">
        <v>12</v>
      </c>
      <c r="AN19" s="13">
        <f t="shared" si="6"/>
        <v>720</v>
      </c>
      <c r="AO19" s="3">
        <v>2</v>
      </c>
      <c r="AP19" s="26">
        <f>find_zero_rate($C$14:E19,COUNT($C$14:C19),AQ19)</f>
        <v>3.3828842548802029</v>
      </c>
      <c r="AQ19" s="26">
        <f>+_xll.BDP(AM19,$AQ$12)</f>
        <v>3.2959999999999998</v>
      </c>
      <c r="AR19" s="26">
        <f>+_xll.BDP($AM19,AR$12)</f>
        <v>3.2959999999999998</v>
      </c>
      <c r="AS19" s="39">
        <f t="shared" si="10"/>
        <v>1.5</v>
      </c>
      <c r="AT19" s="4">
        <f t="shared" si="11"/>
        <v>3.3624376687624448E-2</v>
      </c>
      <c r="AU19" s="4">
        <f>+((1+$AP19/100*$AN19/360)/(1+$AP$15/100*$AN$15/360)-1)*360/($AN19-$AN$15)</f>
        <v>3.4766005806153334E-2</v>
      </c>
    </row>
    <row r="20" spans="2:47" x14ac:dyDescent="0.25">
      <c r="B20" s="1">
        <f>+IF($C$5,get_swap_maturity($C$3,D20),$C$4+360*D20)</f>
        <v>44362</v>
      </c>
      <c r="C20" s="44">
        <f t="shared" si="4"/>
        <v>900</v>
      </c>
      <c r="D20" s="3">
        <v>2.5</v>
      </c>
      <c r="E20" s="5">
        <f>+INTERPOLATE(C20,C19,E19,C21,E21)</f>
        <v>3.4944426230731285</v>
      </c>
      <c r="F20" s="5">
        <f>+INTERPOLATE(D20,D19,F19,D21,F21)</f>
        <v>3.3704999999999998</v>
      </c>
      <c r="G20" s="6">
        <f t="shared" si="7"/>
        <v>0.9196577214851035</v>
      </c>
      <c r="H20" s="6">
        <f t="shared" si="9"/>
        <v>0.92625626563675911</v>
      </c>
      <c r="I20" s="6">
        <f t="shared" si="12"/>
        <v>0.9332134762997939</v>
      </c>
      <c r="J20" s="6">
        <f t="shared" si="13"/>
        <v>0.94062591753496383</v>
      </c>
      <c r="K20" s="6">
        <f t="shared" si="14"/>
        <v>0.94843381159037243</v>
      </c>
      <c r="L20" s="6">
        <f>+$G20/$G$19</f>
        <v>0.98187963400292266</v>
      </c>
      <c r="M20" s="6"/>
      <c r="N20" s="6"/>
      <c r="O20" s="6"/>
      <c r="R20" s="9"/>
      <c r="AG20" s="3">
        <v>2.5</v>
      </c>
      <c r="AH20" s="13">
        <f t="shared" si="8"/>
        <v>930</v>
      </c>
      <c r="AI20" s="14">
        <f t="shared" si="1"/>
        <v>0.9167974905875248</v>
      </c>
      <c r="AJ20" s="14">
        <f t="shared" si="2"/>
        <v>0.91892835801344741</v>
      </c>
      <c r="AK20" s="14">
        <f t="shared" si="15"/>
        <v>0.45946417900672371</v>
      </c>
      <c r="AM20" s="13" t="s">
        <v>13</v>
      </c>
      <c r="AN20" s="13">
        <f>+C21</f>
        <v>1080</v>
      </c>
      <c r="AO20" s="3">
        <v>3</v>
      </c>
      <c r="AP20" s="26">
        <f>find_zero_rate($C$14:E21,COUNT($C$14:C21),AQ20)</f>
        <v>3.606000991266054</v>
      </c>
      <c r="AQ20" s="26">
        <f>+_xll.BDP(AM20,$AQ$12)</f>
        <v>3.4449999999999998</v>
      </c>
      <c r="AR20" s="26">
        <f>+_xll.BDP($AM20,AR$12)</f>
        <v>3.4449999999999998</v>
      </c>
      <c r="AS20" s="39">
        <f t="shared" si="10"/>
        <v>2.5</v>
      </c>
      <c r="AT20" s="4">
        <f t="shared" si="11"/>
        <v>3.4929144411376359E-2</v>
      </c>
      <c r="AU20" s="4">
        <f>+((1+$AP20/100*$AN20/360)/(1+$AP$14/100*$AN$14/360)-1)*360/($AN20-$AN$14)</f>
        <v>3.646744778504471E-2</v>
      </c>
    </row>
    <row r="21" spans="2:47" x14ac:dyDescent="0.25">
      <c r="B21" s="1">
        <f>+IF($C$5,get_swap_maturity($C$3,D21),$C$4+360*D21)</f>
        <v>44542</v>
      </c>
      <c r="C21" s="44">
        <f t="shared" si="4"/>
        <v>1080</v>
      </c>
      <c r="D21" s="3">
        <v>3</v>
      </c>
      <c r="E21" s="5">
        <f>+AP20</f>
        <v>3.606000991266054</v>
      </c>
      <c r="F21" s="5">
        <f>+AQ20</f>
        <v>3.4449999999999998</v>
      </c>
      <c r="G21" s="6">
        <f t="shared" si="7"/>
        <v>0.90238045549010693</v>
      </c>
      <c r="H21" s="6">
        <f t="shared" si="9"/>
        <v>0.9088550352582484</v>
      </c>
      <c r="I21" s="6">
        <f t="shared" si="12"/>
        <v>0.91568154340403107</v>
      </c>
      <c r="J21" s="6">
        <f t="shared" si="13"/>
        <v>0.92295472987528127</v>
      </c>
      <c r="K21" s="6">
        <f t="shared" si="14"/>
        <v>0.93061593994239244</v>
      </c>
      <c r="L21" s="6">
        <f t="shared" ref="L21:L35" si="16">+$G21/$G$19</f>
        <v>0.96343342818588906</v>
      </c>
      <c r="M21" s="6"/>
      <c r="N21" s="6"/>
      <c r="O21" s="6"/>
      <c r="R21" s="9"/>
      <c r="AG21" s="3">
        <v>3</v>
      </c>
      <c r="AH21" s="13">
        <f t="shared" si="8"/>
        <v>1110</v>
      </c>
      <c r="AI21" s="14">
        <f t="shared" si="1"/>
        <v>0.89958510585171059</v>
      </c>
      <c r="AJ21" s="14">
        <f t="shared" si="2"/>
        <v>0.90167596737629452</v>
      </c>
      <c r="AK21" s="14">
        <f t="shared" si="15"/>
        <v>0.45083798368814726</v>
      </c>
      <c r="AM21" s="13" t="s">
        <v>14</v>
      </c>
      <c r="AN21" s="13">
        <f>+C23</f>
        <v>1440</v>
      </c>
      <c r="AO21" s="3">
        <v>4</v>
      </c>
      <c r="AP21" s="26">
        <f>find_zero_rate($C$14:E22,COUNT($C$14:C22),AQ21)</f>
        <v>3.7766728198000186</v>
      </c>
      <c r="AQ21" s="26">
        <f>+_xll.BDP(AM21,$AQ$12)</f>
        <v>3.5649999999999999</v>
      </c>
      <c r="AR21" s="26">
        <f>+_xll.BDP($AM21,AR$12)</f>
        <v>3.5649999999999999</v>
      </c>
      <c r="AS21" s="39">
        <f t="shared" si="10"/>
        <v>3.5</v>
      </c>
      <c r="AT21" s="4">
        <f t="shared" si="11"/>
        <v>3.6000777116728021E-2</v>
      </c>
      <c r="AU21" s="4">
        <f t="shared" ref="AU21:AU27" si="17">+((1+$AP21/100*$AN21/360)/(1+$AP$15/100*$AN$15/360)-1)*360/($AN21-$AN$15)</f>
        <v>3.8384755220056591E-2</v>
      </c>
    </row>
    <row r="22" spans="2:47" x14ac:dyDescent="0.25">
      <c r="B22" s="1">
        <f>+IF($C$5,get_swap_maturity($C$3,D22),$C$4+360*D22)</f>
        <v>44722</v>
      </c>
      <c r="C22" s="44">
        <f t="shared" si="4"/>
        <v>1260</v>
      </c>
      <c r="D22" s="3">
        <v>3.5</v>
      </c>
      <c r="E22" s="5">
        <f>+INTERPOLATE(C22,C21,E21,C23,E23)</f>
        <v>3.6913369055330363</v>
      </c>
      <c r="F22" s="5">
        <f>+INTERPOLATE(D22,D21,F21,D23,F23)</f>
        <v>3.5049999999999999</v>
      </c>
      <c r="G22" s="6">
        <f t="shared" si="7"/>
        <v>0.8855852295684643</v>
      </c>
      <c r="H22" s="6">
        <f t="shared" si="9"/>
        <v>0.89193930359061802</v>
      </c>
      <c r="I22" s="6">
        <f t="shared" si="12"/>
        <v>0.89863875585230346</v>
      </c>
      <c r="J22" s="6">
        <f t="shared" si="13"/>
        <v>0.90577657280262525</v>
      </c>
      <c r="K22" s="6">
        <f t="shared" si="14"/>
        <v>0.9132951914016616</v>
      </c>
      <c r="L22" s="6">
        <f t="shared" si="16"/>
        <v>0.94550187615769687</v>
      </c>
      <c r="M22" s="6">
        <f>+$G22/$G$21</f>
        <v>0.98138786603869799</v>
      </c>
      <c r="N22" s="6"/>
      <c r="O22" s="6"/>
      <c r="R22" s="9"/>
      <c r="AG22" s="3">
        <v>3.5</v>
      </c>
      <c r="AH22" s="13">
        <f t="shared" si="8"/>
        <v>1290</v>
      </c>
      <c r="AI22" s="14">
        <f t="shared" si="1"/>
        <v>0.88278195958401884</v>
      </c>
      <c r="AJ22" s="14">
        <f t="shared" si="2"/>
        <v>0.88483376638015676</v>
      </c>
      <c r="AK22" s="14">
        <f t="shared" si="15"/>
        <v>0.44241688319007838</v>
      </c>
      <c r="AM22" s="13" t="s">
        <v>15</v>
      </c>
      <c r="AN22" s="13">
        <f>+C25</f>
        <v>1800</v>
      </c>
      <c r="AO22" s="3">
        <v>5</v>
      </c>
      <c r="AP22" s="26">
        <f>find_zero_rate($C$14:E23,COUNT($C$14:C23),AQ22)</f>
        <v>3.9553039496674249</v>
      </c>
      <c r="AQ22" s="26">
        <f>+_xll.BDP(AM22,$AQ$12)</f>
        <v>3.6850000000000001</v>
      </c>
      <c r="AR22" s="26">
        <f>+_xll.BDP($AM22,AR$12)</f>
        <v>3.6850000000000001</v>
      </c>
      <c r="AS22" s="39">
        <f t="shared" si="10"/>
        <v>4.5</v>
      </c>
      <c r="AT22" s="4">
        <f t="shared" si="11"/>
        <v>3.7121714812551873E-2</v>
      </c>
      <c r="AU22" s="4">
        <f t="shared" si="17"/>
        <v>4.0081465308764615E-2</v>
      </c>
    </row>
    <row r="23" spans="2:47" x14ac:dyDescent="0.25">
      <c r="B23" s="1">
        <f>+IF($C$5,get_swap_maturity($C$3,D23),$C$4+360*D23)</f>
        <v>44902</v>
      </c>
      <c r="C23" s="44">
        <f t="shared" si="4"/>
        <v>1440</v>
      </c>
      <c r="D23" s="3">
        <v>4</v>
      </c>
      <c r="E23" s="5">
        <f>+AP21</f>
        <v>3.7766728198000186</v>
      </c>
      <c r="F23" s="5">
        <f>+AQ21</f>
        <v>3.5649999999999999</v>
      </c>
      <c r="G23" s="6">
        <f t="shared" si="7"/>
        <v>0.86875922579897946</v>
      </c>
      <c r="H23" s="6">
        <f t="shared" si="9"/>
        <v>0.87499257324408708</v>
      </c>
      <c r="I23" s="6">
        <f t="shared" si="12"/>
        <v>0.88156473678725633</v>
      </c>
      <c r="J23" s="6">
        <f t="shared" si="13"/>
        <v>0.88856693614719617</v>
      </c>
      <c r="K23" s="6">
        <f t="shared" si="14"/>
        <v>0.89594270197422954</v>
      </c>
      <c r="L23" s="6">
        <f t="shared" si="16"/>
        <v>0.92753746392372516</v>
      </c>
      <c r="M23" s="6">
        <f t="shared" ref="M23:M35" si="18">+$G23/$G$21</f>
        <v>0.96274162468105884</v>
      </c>
      <c r="N23" s="6"/>
      <c r="O23" s="6"/>
      <c r="R23" s="9"/>
      <c r="AG23" s="3">
        <v>4</v>
      </c>
      <c r="AH23" s="13">
        <f t="shared" si="8"/>
        <v>1470</v>
      </c>
      <c r="AI23" s="14">
        <f t="shared" si="1"/>
        <v>0.86593433051163993</v>
      </c>
      <c r="AJ23" s="14">
        <f t="shared" si="2"/>
        <v>0.86794697919013142</v>
      </c>
      <c r="AK23" s="14">
        <f t="shared" si="15"/>
        <v>0.43397348959506571</v>
      </c>
      <c r="AM23" s="13" t="s">
        <v>16</v>
      </c>
      <c r="AN23" s="13">
        <f>+C27</f>
        <v>2160</v>
      </c>
      <c r="AO23" s="3">
        <v>6</v>
      </c>
      <c r="AP23" s="26">
        <f>find_zero_rate($C$14:E24,COUNT($C$14:C24),AQ23)</f>
        <v>4.0806909882155207</v>
      </c>
      <c r="AQ23" s="26">
        <f>+_xll.BDP(AM23,$AQ$12)</f>
        <v>3.7549999999999999</v>
      </c>
      <c r="AR23" s="26">
        <f>+_xll.BDP($AM23,AR$12)</f>
        <v>3.7549999999999999</v>
      </c>
      <c r="AS23" s="39">
        <f t="shared" si="10"/>
        <v>5.5</v>
      </c>
      <c r="AT23" s="4">
        <f t="shared" si="11"/>
        <v>3.7727532534083986E-2</v>
      </c>
      <c r="AU23" s="4">
        <f t="shared" si="17"/>
        <v>4.1228914758806343E-2</v>
      </c>
    </row>
    <row r="24" spans="2:47" x14ac:dyDescent="0.25">
      <c r="B24" s="1">
        <f>+IF($C$5,get_swap_maturity($C$3,D24),$C$4+360*D24)</f>
        <v>45082</v>
      </c>
      <c r="C24" s="44">
        <f t="shared" si="4"/>
        <v>1620</v>
      </c>
      <c r="D24" s="3">
        <v>4.5</v>
      </c>
      <c r="E24" s="5">
        <f>+INTERPOLATE(C24,C23,E23,C25,E25)</f>
        <v>3.865988384733722</v>
      </c>
      <c r="F24" s="5">
        <f>+INTERPOLATE(D24,D23,F23,D25,F25)</f>
        <v>3.625</v>
      </c>
      <c r="G24" s="6">
        <f t="shared" si="7"/>
        <v>0.85181090251920422</v>
      </c>
      <c r="H24" s="6">
        <f t="shared" si="9"/>
        <v>0.8579226457447795</v>
      </c>
      <c r="I24" s="6">
        <f t="shared" si="12"/>
        <v>0.86436659522233728</v>
      </c>
      <c r="J24" s="6">
        <f t="shared" si="13"/>
        <v>0.87123219109664196</v>
      </c>
      <c r="K24" s="6">
        <f t="shared" si="14"/>
        <v>0.87846406565903012</v>
      </c>
      <c r="L24" s="6">
        <f t="shared" si="16"/>
        <v>0.90944245632455445</v>
      </c>
      <c r="M24" s="6">
        <f t="shared" si="18"/>
        <v>0.9439598312848686</v>
      </c>
      <c r="N24" s="6">
        <f>+$G24/$G$23</f>
        <v>0.98049134584534836</v>
      </c>
      <c r="O24" s="6"/>
      <c r="R24" s="10"/>
      <c r="AG24" s="3">
        <v>4.5</v>
      </c>
      <c r="AH24" s="13">
        <f t="shared" si="8"/>
        <v>1650</v>
      </c>
      <c r="AI24" s="14">
        <f t="shared" si="1"/>
        <v>0.84898767127749797</v>
      </c>
      <c r="AJ24" s="14">
        <f t="shared" si="2"/>
        <v>0.85096093166739684</v>
      </c>
      <c r="AK24" s="14">
        <f t="shared" si="15"/>
        <v>0.42548046583369842</v>
      </c>
      <c r="AM24" s="13" t="s">
        <v>17</v>
      </c>
      <c r="AN24" s="13">
        <f>+C29</f>
        <v>2520</v>
      </c>
      <c r="AO24" s="3">
        <v>7</v>
      </c>
      <c r="AP24" s="26">
        <f>find_zero_rate($C$14:E25,COUNT($C$14:C25),AQ24)</f>
        <v>4.2115735725222088</v>
      </c>
      <c r="AQ24" s="26">
        <f>+_xll.BDP(AM24,$AQ$12)</f>
        <v>3.8250000000000002</v>
      </c>
      <c r="AR24" s="26">
        <f>+_xll.BDP($AM24,AR$12)</f>
        <v>3.8250000000000002</v>
      </c>
      <c r="AS24" s="39">
        <f t="shared" si="10"/>
        <v>6.5</v>
      </c>
      <c r="AT24" s="4">
        <f t="shared" si="11"/>
        <v>3.8359200765334354E-2</v>
      </c>
      <c r="AU24" s="4">
        <f t="shared" si="17"/>
        <v>4.2461828050922419E-2</v>
      </c>
    </row>
    <row r="25" spans="2:47" x14ac:dyDescent="0.25">
      <c r="B25" s="1">
        <f>+IF($C$5,get_swap_maturity($C$3,D25),$C$4+360*D25)</f>
        <v>45262</v>
      </c>
      <c r="C25" s="44">
        <f t="shared" si="4"/>
        <v>1800</v>
      </c>
      <c r="D25" s="3">
        <v>5</v>
      </c>
      <c r="E25" s="5">
        <f>+AP22</f>
        <v>3.9553039496674249</v>
      </c>
      <c r="F25" s="5">
        <f>+AQ22</f>
        <v>3.6850000000000001</v>
      </c>
      <c r="G25" s="6">
        <f t="shared" si="7"/>
        <v>0.83488817516246394</v>
      </c>
      <c r="H25" s="6">
        <f t="shared" si="9"/>
        <v>0.84087849781925461</v>
      </c>
      <c r="I25" s="6">
        <f t="shared" si="12"/>
        <v>0.84719442686435864</v>
      </c>
      <c r="J25" s="6">
        <f t="shared" si="13"/>
        <v>0.85392362555616808</v>
      </c>
      <c r="K25" s="6">
        <f t="shared" si="14"/>
        <v>0.86101182616329752</v>
      </c>
      <c r="L25" s="6">
        <f t="shared" si="16"/>
        <v>0.89137477640931928</v>
      </c>
      <c r="M25" s="6">
        <f t="shared" si="18"/>
        <v>0.92520640277942845</v>
      </c>
      <c r="N25" s="6">
        <f t="shared" ref="N25:N35" si="19">+$G25/$G$23</f>
        <v>0.96101215431080456</v>
      </c>
      <c r="O25" s="6"/>
      <c r="R25" s="9"/>
      <c r="AG25" s="3">
        <v>5</v>
      </c>
      <c r="AH25" s="13">
        <f t="shared" si="8"/>
        <v>1830</v>
      </c>
      <c r="AI25" s="14">
        <f t="shared" si="1"/>
        <v>0.83222893949899823</v>
      </c>
      <c r="AJ25" s="14">
        <f t="shared" si="2"/>
        <v>0.83416324839086931</v>
      </c>
      <c r="AK25" s="14">
        <f t="shared" si="15"/>
        <v>0.41708162419543465</v>
      </c>
      <c r="AM25" s="13" t="s">
        <v>18</v>
      </c>
      <c r="AN25" s="13">
        <f>+C31</f>
        <v>2880</v>
      </c>
      <c r="AO25" s="3">
        <v>8</v>
      </c>
      <c r="AP25" s="26">
        <f>find_zero_rate($C$14:E26,COUNT($C$14:C26),AQ25)</f>
        <v>4.3684800841381666</v>
      </c>
      <c r="AQ25" s="26">
        <f>+_xll.BDP(AM25,$AQ$12)</f>
        <v>3.91</v>
      </c>
      <c r="AR25" s="26">
        <f>+_xll.BDP($AM25,AR$12)</f>
        <v>3.91</v>
      </c>
      <c r="AS25" s="39">
        <f t="shared" si="10"/>
        <v>7.5</v>
      </c>
      <c r="AT25" s="4">
        <f t="shared" si="11"/>
        <v>3.9164055160270932E-2</v>
      </c>
      <c r="AU25" s="4">
        <f t="shared" si="17"/>
        <v>4.3983471198672019E-2</v>
      </c>
    </row>
    <row r="26" spans="2:47" x14ac:dyDescent="0.25">
      <c r="B26" s="1">
        <f>+IF($C$5,get_swap_maturity($C$3,D26),$C$4+360*D26)</f>
        <v>45442</v>
      </c>
      <c r="C26" s="44">
        <f t="shared" si="4"/>
        <v>1980</v>
      </c>
      <c r="D26" s="3">
        <v>5.5</v>
      </c>
      <c r="E26" s="5">
        <f>+INTERPOLATE(C26,C25,E25,C27,E27)</f>
        <v>4.0179974689414726</v>
      </c>
      <c r="F26" s="5">
        <f>+INTERPOLATE(D26,D25,F25,D27,F27)</f>
        <v>3.7199999999999998</v>
      </c>
      <c r="G26" s="6">
        <f t="shared" si="7"/>
        <v>0.8190076200563412</v>
      </c>
      <c r="H26" s="6">
        <f t="shared" si="9"/>
        <v>0.8248839997302454</v>
      </c>
      <c r="I26" s="6">
        <f t="shared" si="12"/>
        <v>0.83107979237597163</v>
      </c>
      <c r="J26" s="6">
        <f t="shared" si="13"/>
        <v>0.83768099379362571</v>
      </c>
      <c r="K26" s="6">
        <f t="shared" si="14"/>
        <v>0.84463436848790419</v>
      </c>
      <c r="L26" s="6">
        <f t="shared" si="16"/>
        <v>0.8744197797066513</v>
      </c>
      <c r="M26" s="6">
        <f t="shared" si="18"/>
        <v>0.90760788874966969</v>
      </c>
      <c r="N26" s="6">
        <f t="shared" si="19"/>
        <v>0.94273257277137656</v>
      </c>
      <c r="O26" s="6">
        <f>+$G26/$G$25</f>
        <v>0.98097882377716938</v>
      </c>
      <c r="AG26" s="3">
        <v>5.5</v>
      </c>
      <c r="AH26" s="13">
        <f t="shared" si="8"/>
        <v>2010</v>
      </c>
      <c r="AI26" s="14">
        <f t="shared" si="1"/>
        <v>0.81637878549052501</v>
      </c>
      <c r="AJ26" s="14">
        <f t="shared" si="2"/>
        <v>0.81827625464710085</v>
      </c>
      <c r="AK26" s="14">
        <f t="shared" si="15"/>
        <v>0.40913812732355043</v>
      </c>
      <c r="AM26" s="13" t="s">
        <v>19</v>
      </c>
      <c r="AN26" s="13">
        <f>+C33</f>
        <v>3240</v>
      </c>
      <c r="AO26" s="3">
        <v>9</v>
      </c>
      <c r="AP26" s="26">
        <f>find_zero_rate($C$14:E27,COUNT($C$14:C27),AQ26)</f>
        <v>4.4816122523972401</v>
      </c>
      <c r="AQ26" s="26">
        <f>+_xll.BDP(AM26,$AQ$12)</f>
        <v>3.9580000000000002</v>
      </c>
      <c r="AR26" s="26">
        <f>+_xll.BDP($AM26,AR$12)</f>
        <v>3.9580000000000002</v>
      </c>
      <c r="AS26" s="39">
        <f t="shared" si="10"/>
        <v>8.5</v>
      </c>
      <c r="AT26" s="4">
        <f t="shared" si="11"/>
        <v>3.9590552897351861E-2</v>
      </c>
      <c r="AU26" s="4">
        <f t="shared" si="17"/>
        <v>4.5054149218838047E-2</v>
      </c>
    </row>
    <row r="27" spans="2:47" x14ac:dyDescent="0.25">
      <c r="B27" s="1">
        <f>+IF($C$5,get_swap_maturity($C$3,D27),$C$4+360*D27)</f>
        <v>45622</v>
      </c>
      <c r="C27" s="44">
        <f t="shared" si="4"/>
        <v>2160</v>
      </c>
      <c r="D27" s="3">
        <v>6</v>
      </c>
      <c r="E27" s="5">
        <f>+AP23</f>
        <v>4.0806909882155207</v>
      </c>
      <c r="F27" s="5">
        <f>+AQ23</f>
        <v>3.7549999999999999</v>
      </c>
      <c r="G27" s="6">
        <f t="shared" si="7"/>
        <v>0.80331514710957563</v>
      </c>
      <c r="H27" s="6">
        <f t="shared" si="9"/>
        <v>0.80907893329008684</v>
      </c>
      <c r="I27" s="6">
        <f t="shared" si="12"/>
        <v>0.81515601237797075</v>
      </c>
      <c r="J27" s="6">
        <f t="shared" si="13"/>
        <v>0.82163073246367391</v>
      </c>
      <c r="K27" s="6">
        <f t="shared" si="14"/>
        <v>0.82845087806263429</v>
      </c>
      <c r="L27" s="6">
        <f t="shared" si="16"/>
        <v>0.85766559036685075</v>
      </c>
      <c r="M27" s="6">
        <f t="shared" si="18"/>
        <v>0.89021780361286051</v>
      </c>
      <c r="N27" s="6">
        <f t="shared" si="19"/>
        <v>0.92466948638247115</v>
      </c>
      <c r="O27" s="6">
        <f t="shared" ref="O27:O35" si="20">+$G27/$G$25</f>
        <v>0.96218292581908427</v>
      </c>
      <c r="Z27" s="4"/>
      <c r="AG27" s="3">
        <v>6</v>
      </c>
      <c r="AH27" s="13">
        <f t="shared" si="8"/>
        <v>2190</v>
      </c>
      <c r="AI27" s="14">
        <f t="shared" si="1"/>
        <v>0.8007010700881052</v>
      </c>
      <c r="AJ27" s="14">
        <f t="shared" si="2"/>
        <v>0.80256210029997754</v>
      </c>
      <c r="AK27" s="14">
        <f t="shared" si="15"/>
        <v>0.40128105014998877</v>
      </c>
      <c r="AM27" s="13" t="s">
        <v>20</v>
      </c>
      <c r="AN27" s="13">
        <f>+C35</f>
        <v>3600</v>
      </c>
      <c r="AO27" s="3">
        <v>10</v>
      </c>
      <c r="AP27" s="26">
        <f>find_zero_rate($C$14:E28,COUNT($C$14:C28),AQ27)</f>
        <v>4.6348895446304565</v>
      </c>
      <c r="AQ27" s="26">
        <f>+_xll.BDP(AM27,$AQ$12)</f>
        <v>4.03</v>
      </c>
      <c r="AR27" s="26">
        <f>+_xll.BDP($AM27,AR$12)</f>
        <v>4.03</v>
      </c>
      <c r="AS27" s="39">
        <f t="shared" si="10"/>
        <v>9.5</v>
      </c>
      <c r="AT27" s="4">
        <f t="shared" si="11"/>
        <v>4.0275808270306218E-2</v>
      </c>
      <c r="AU27" s="4">
        <f t="shared" si="17"/>
        <v>4.6550576550388918E-2</v>
      </c>
    </row>
    <row r="28" spans="2:47" x14ac:dyDescent="0.25">
      <c r="B28" s="1">
        <f>+IF($C$5,get_swap_maturity($C$3,D28),$C$4+360*D28)</f>
        <v>45802</v>
      </c>
      <c r="C28" s="44">
        <f t="shared" si="4"/>
        <v>2340</v>
      </c>
      <c r="D28" s="3">
        <v>6.5</v>
      </c>
      <c r="E28" s="5">
        <f>+INTERPOLATE(C28,C27,E27,C29,E29)</f>
        <v>4.1461322803688647</v>
      </c>
      <c r="F28" s="5">
        <f>+INTERPOLATE(D28,D27,F27,D29,F29)</f>
        <v>3.79</v>
      </c>
      <c r="G28" s="6">
        <f t="shared" si="7"/>
        <v>0.7877125673072789</v>
      </c>
      <c r="H28" s="6">
        <f t="shared" si="9"/>
        <v>0.79336440497770855</v>
      </c>
      <c r="I28" s="6">
        <f t="shared" si="12"/>
        <v>0.79932345054938814</v>
      </c>
      <c r="J28" s="6">
        <f t="shared" si="13"/>
        <v>0.80567241384188482</v>
      </c>
      <c r="K28" s="6">
        <f t="shared" si="14"/>
        <v>0.81236009353832372</v>
      </c>
      <c r="L28" s="6">
        <f t="shared" si="16"/>
        <v>0.84100737613358001</v>
      </c>
      <c r="M28" s="6">
        <f t="shared" si="18"/>
        <v>0.87292733626356211</v>
      </c>
      <c r="N28" s="6">
        <f t="shared" si="19"/>
        <v>0.90670987301785066</v>
      </c>
      <c r="O28" s="6">
        <f t="shared" si="20"/>
        <v>0.94349469874093617</v>
      </c>
      <c r="AG28" s="3">
        <v>6.5</v>
      </c>
      <c r="AH28" s="13">
        <f t="shared" si="8"/>
        <v>2370</v>
      </c>
      <c r="AI28" s="14">
        <f t="shared" si="1"/>
        <v>0.78513165110039962</v>
      </c>
      <c r="AJ28" s="14">
        <f t="shared" si="2"/>
        <v>0.78695649407561163</v>
      </c>
      <c r="AK28" s="14">
        <f t="shared" si="15"/>
        <v>0.39347824703780582</v>
      </c>
      <c r="AS28" s="39"/>
    </row>
    <row r="29" spans="2:47" x14ac:dyDescent="0.25">
      <c r="B29" s="1">
        <f>+IF($C$5,get_swap_maturity($C$3,D29),$C$4+360*D29)</f>
        <v>45982</v>
      </c>
      <c r="C29" s="44">
        <f t="shared" si="4"/>
        <v>2520</v>
      </c>
      <c r="D29" s="3">
        <v>7</v>
      </c>
      <c r="E29" s="5">
        <f>+AP24</f>
        <v>4.2115735725222088</v>
      </c>
      <c r="F29" s="5">
        <f>+AQ24</f>
        <v>3.8250000000000002</v>
      </c>
      <c r="G29" s="6">
        <f t="shared" si="7"/>
        <v>0.77231399517595367</v>
      </c>
      <c r="H29" s="6">
        <f t="shared" si="9"/>
        <v>0.77785534809134105</v>
      </c>
      <c r="I29" s="6">
        <f t="shared" si="12"/>
        <v>0.78369790346484713</v>
      </c>
      <c r="J29" s="6">
        <f t="shared" si="13"/>
        <v>0.78992275426596537</v>
      </c>
      <c r="K29" s="6">
        <f t="shared" si="14"/>
        <v>0.79647970008500935</v>
      </c>
      <c r="L29" s="6">
        <f t="shared" si="16"/>
        <v>0.82456697225804088</v>
      </c>
      <c r="M29" s="6">
        <f t="shared" si="18"/>
        <v>0.85586294614114766</v>
      </c>
      <c r="N29" s="6">
        <f t="shared" si="19"/>
        <v>0.88898508613324112</v>
      </c>
      <c r="O29" s="6">
        <f t="shared" si="20"/>
        <v>0.92505082495109747</v>
      </c>
      <c r="AG29" s="3">
        <v>7</v>
      </c>
      <c r="AH29" s="13">
        <f t="shared" si="8"/>
        <v>2550</v>
      </c>
      <c r="AI29" s="14">
        <f t="shared" si="1"/>
        <v>0.76967719444254867</v>
      </c>
      <c r="AJ29" s="14">
        <f t="shared" si="2"/>
        <v>0.77146611738240323</v>
      </c>
      <c r="AK29" s="14">
        <f t="shared" si="15"/>
        <v>0.38573305869120161</v>
      </c>
      <c r="AN29" s="34"/>
      <c r="AS29" s="39"/>
    </row>
    <row r="30" spans="2:47" x14ac:dyDescent="0.25">
      <c r="B30" s="1">
        <f>+IF($C$5,get_swap_maturity($C$3,D30),$C$4+360*D30)</f>
        <v>46162</v>
      </c>
      <c r="C30" s="44">
        <f t="shared" si="4"/>
        <v>2700</v>
      </c>
      <c r="D30" s="3">
        <v>7.5</v>
      </c>
      <c r="E30" s="5">
        <f>+INTERPOLATE(C30,C29,E29,C31,E31)</f>
        <v>4.2900268283301877</v>
      </c>
      <c r="F30" s="5">
        <f>+INTERPOLATE(D30,D29,F29,D31,F31)</f>
        <v>3.8675000000000002</v>
      </c>
      <c r="G30" s="6">
        <f t="shared" si="7"/>
        <v>0.75657157381017626</v>
      </c>
      <c r="H30" s="6">
        <f t="shared" si="9"/>
        <v>0.76199997485226423</v>
      </c>
      <c r="I30" s="6">
        <f t="shared" si="12"/>
        <v>0.7677234388081382</v>
      </c>
      <c r="J30" s="6">
        <f t="shared" si="13"/>
        <v>0.77382140569304825</v>
      </c>
      <c r="K30" s="6">
        <f t="shared" si="14"/>
        <v>0.78024469835469668</v>
      </c>
      <c r="L30" s="6">
        <f t="shared" si="16"/>
        <v>0.80775945510482383</v>
      </c>
      <c r="M30" s="6">
        <f t="shared" si="18"/>
        <v>0.83841750916387259</v>
      </c>
      <c r="N30" s="6">
        <f t="shared" si="19"/>
        <v>0.87086450577186492</v>
      </c>
      <c r="O30" s="6">
        <f t="shared" si="20"/>
        <v>0.9061951005150507</v>
      </c>
      <c r="AG30" s="3">
        <v>7.5</v>
      </c>
      <c r="AH30" s="13">
        <f t="shared" si="8"/>
        <v>2730</v>
      </c>
      <c r="AI30" s="14">
        <f t="shared" si="1"/>
        <v>0.75396665828662657</v>
      </c>
      <c r="AJ30" s="14">
        <f t="shared" si="2"/>
        <v>0.75571906599811045</v>
      </c>
      <c r="AK30" s="14">
        <f t="shared" si="15"/>
        <v>0.37785953299905523</v>
      </c>
      <c r="AM30" s="35"/>
      <c r="AN30" s="34"/>
      <c r="AS30" s="39"/>
    </row>
    <row r="31" spans="2:47" x14ac:dyDescent="0.25">
      <c r="B31" s="1">
        <f>+IF($C$5,get_swap_maturity($C$3,D31),$C$4+360*D31)</f>
        <v>46342</v>
      </c>
      <c r="C31" s="44">
        <f t="shared" si="4"/>
        <v>2880</v>
      </c>
      <c r="D31" s="3">
        <v>8</v>
      </c>
      <c r="E31" s="5">
        <f>+AP25</f>
        <v>4.3684800841381666</v>
      </c>
      <c r="F31" s="5">
        <f>+AQ25</f>
        <v>3.91</v>
      </c>
      <c r="G31" s="6">
        <f t="shared" si="7"/>
        <v>0.74102704794097296</v>
      </c>
      <c r="H31" s="6">
        <f t="shared" si="9"/>
        <v>0.7463439170099494</v>
      </c>
      <c r="I31" s="6">
        <f t="shared" si="12"/>
        <v>0.7519497866276228</v>
      </c>
      <c r="J31" s="6">
        <f t="shared" si="13"/>
        <v>0.75792246463402713</v>
      </c>
      <c r="K31" s="6">
        <f t="shared" si="14"/>
        <v>0.76421378427104603</v>
      </c>
      <c r="L31" s="6">
        <f t="shared" si="16"/>
        <v>0.79116322259937044</v>
      </c>
      <c r="M31" s="6">
        <f t="shared" si="18"/>
        <v>0.82119137602387604</v>
      </c>
      <c r="N31" s="6">
        <f t="shared" si="19"/>
        <v>0.85297171636878566</v>
      </c>
      <c r="O31" s="6">
        <f t="shared" si="20"/>
        <v>0.88757640841753904</v>
      </c>
      <c r="AG31" s="3">
        <v>8</v>
      </c>
      <c r="AH31" s="13">
        <f t="shared" si="8"/>
        <v>2910</v>
      </c>
      <c r="AI31" s="14">
        <f t="shared" si="1"/>
        <v>0.73861741937793413</v>
      </c>
      <c r="AJ31" s="14">
        <f t="shared" si="2"/>
        <v>0.74033415160651261</v>
      </c>
      <c r="AK31" s="14">
        <f t="shared" si="15"/>
        <v>0.37016707580325631</v>
      </c>
      <c r="AM31" s="35"/>
      <c r="AN31" s="54"/>
      <c r="AO31" s="54"/>
      <c r="AS31" s="39"/>
    </row>
    <row r="32" spans="2:47" x14ac:dyDescent="0.25">
      <c r="B32" s="1">
        <f>+IF($C$5,get_swap_maturity($C$3,D32),$C$4+360*D32)</f>
        <v>46522</v>
      </c>
      <c r="C32" s="44">
        <f t="shared" si="4"/>
        <v>3060</v>
      </c>
      <c r="D32" s="3">
        <v>8.5</v>
      </c>
      <c r="E32" s="5">
        <f>+INTERPOLATE(C32,C31,E31,C33,E33)</f>
        <v>4.4250461682677029</v>
      </c>
      <c r="F32" s="5">
        <f>+INTERPOLATE(D32,D31,F31,D33,F33)</f>
        <v>3.9340000000000002</v>
      </c>
      <c r="G32" s="6">
        <f t="shared" si="7"/>
        <v>0.72667610013841644</v>
      </c>
      <c r="H32" s="6">
        <f t="shared" si="9"/>
        <v>0.7318900011569095</v>
      </c>
      <c r="I32" s="6">
        <f t="shared" si="12"/>
        <v>0.73738730585445666</v>
      </c>
      <c r="J32" s="6">
        <f t="shared" si="13"/>
        <v>0.7432443152215723</v>
      </c>
      <c r="K32" s="6">
        <f t="shared" si="14"/>
        <v>0.74941379531174757</v>
      </c>
      <c r="L32" s="6">
        <f t="shared" si="16"/>
        <v>0.77584132288953644</v>
      </c>
      <c r="M32" s="6">
        <f t="shared" si="18"/>
        <v>0.80528794226127076</v>
      </c>
      <c r="N32" s="6">
        <f t="shared" si="19"/>
        <v>0.83645281518605785</v>
      </c>
      <c r="O32" s="6">
        <f t="shared" si="20"/>
        <v>0.8703873425887364</v>
      </c>
      <c r="AG32" s="3">
        <v>8.5</v>
      </c>
      <c r="AH32" s="13">
        <f t="shared" si="8"/>
        <v>3090</v>
      </c>
      <c r="AI32" s="14">
        <f t="shared" si="1"/>
        <v>0.72430928980608522</v>
      </c>
      <c r="AJ32" s="14">
        <f t="shared" si="2"/>
        <v>0.72599276635110921</v>
      </c>
      <c r="AK32" s="14">
        <f t="shared" si="15"/>
        <v>0.3629963831755546</v>
      </c>
      <c r="AM32" s="35"/>
      <c r="AS32" s="39"/>
    </row>
    <row r="33" spans="2:45" x14ac:dyDescent="0.25">
      <c r="B33" s="1">
        <f>+IF($C$5,get_swap_maturity($C$3,D33),$C$4+360*D33)</f>
        <v>46702</v>
      </c>
      <c r="C33" s="44">
        <f t="shared" si="4"/>
        <v>3240</v>
      </c>
      <c r="D33" s="3">
        <v>9</v>
      </c>
      <c r="E33" s="5">
        <f>+AP26</f>
        <v>4.4816122523972401</v>
      </c>
      <c r="F33" s="5">
        <f>+AQ26</f>
        <v>3.9580000000000002</v>
      </c>
      <c r="G33" s="6">
        <f t="shared" si="7"/>
        <v>0.71258309738980186</v>
      </c>
      <c r="H33" s="6">
        <f t="shared" si="9"/>
        <v>0.71769588111357363</v>
      </c>
      <c r="I33" s="6">
        <f t="shared" si="12"/>
        <v>0.72308657224532746</v>
      </c>
      <c r="J33" s="6">
        <f t="shared" si="13"/>
        <v>0.72882999201028931</v>
      </c>
      <c r="K33" s="6">
        <f t="shared" si="14"/>
        <v>0.7348798225071288</v>
      </c>
      <c r="L33" s="6">
        <f t="shared" si="16"/>
        <v>0.76079482019887645</v>
      </c>
      <c r="M33" s="6">
        <f t="shared" si="18"/>
        <v>0.78967035805621355</v>
      </c>
      <c r="N33" s="6">
        <f t="shared" si="19"/>
        <v>0.82023082602024089</v>
      </c>
      <c r="O33" s="6">
        <f t="shared" si="20"/>
        <v>0.85350723436840836</v>
      </c>
      <c r="AG33" s="3">
        <v>9</v>
      </c>
      <c r="AH33" s="13">
        <f t="shared" si="8"/>
        <v>3270</v>
      </c>
      <c r="AI33" s="14">
        <f t="shared" si="1"/>
        <v>0.71010623010678742</v>
      </c>
      <c r="AJ33" s="14">
        <f t="shared" si="2"/>
        <v>0.71175669517700657</v>
      </c>
      <c r="AK33" s="14">
        <f t="shared" si="15"/>
        <v>0.35587834758850329</v>
      </c>
      <c r="AO33" s="35"/>
      <c r="AP33" s="36"/>
      <c r="AS33" s="39"/>
    </row>
    <row r="34" spans="2:45" x14ac:dyDescent="0.25">
      <c r="B34" s="1">
        <f>+IF($C$5,get_swap_maturity($C$3,D34),$C$4+360*D34)</f>
        <v>46882</v>
      </c>
      <c r="C34" s="44">
        <f t="shared" si="4"/>
        <v>3420</v>
      </c>
      <c r="D34" s="3">
        <v>9.5</v>
      </c>
      <c r="E34" s="5">
        <f>+INTERPOLATE(C34,C33,E33,C35,E35)</f>
        <v>4.5582508985138483</v>
      </c>
      <c r="F34" s="5">
        <f>+INTERPOLATE(D34,D33,F33,D35,F35)</f>
        <v>3.9940000000000002</v>
      </c>
      <c r="G34" s="6">
        <f t="shared" si="7"/>
        <v>0.69782022958977186</v>
      </c>
      <c r="H34" s="6">
        <f t="shared" si="9"/>
        <v>0.70282708973707841</v>
      </c>
      <c r="I34" s="6">
        <f t="shared" si="12"/>
        <v>0.70810609977392502</v>
      </c>
      <c r="J34" s="6">
        <f t="shared" si="13"/>
        <v>0.71373053082441862</v>
      </c>
      <c r="K34" s="6">
        <f t="shared" si="14"/>
        <v>0.71965502457363584</v>
      </c>
      <c r="L34" s="6">
        <f t="shared" si="16"/>
        <v>0.74503313093809442</v>
      </c>
      <c r="M34" s="6">
        <f t="shared" si="18"/>
        <v>0.77331044277855843</v>
      </c>
      <c r="N34" s="6">
        <f t="shared" si="19"/>
        <v>0.80323777735770385</v>
      </c>
      <c r="O34" s="6">
        <f t="shared" si="20"/>
        <v>0.83582478510248448</v>
      </c>
      <c r="AG34" s="3"/>
      <c r="AI34" s="14"/>
      <c r="AJ34" s="14"/>
      <c r="AK34" s="14"/>
      <c r="AP34" s="37"/>
    </row>
    <row r="35" spans="2:45" x14ac:dyDescent="0.25">
      <c r="B35" s="1">
        <f>+IF($C$5,get_swap_maturity($C$3,D35),$C$4+360*D35)</f>
        <v>47062</v>
      </c>
      <c r="C35" s="44">
        <f t="shared" si="4"/>
        <v>3600</v>
      </c>
      <c r="D35" s="3">
        <v>10</v>
      </c>
      <c r="E35" s="5">
        <f>+AP27</f>
        <v>4.6348895446304565</v>
      </c>
      <c r="F35" s="5">
        <f>+AQ27</f>
        <v>4.03</v>
      </c>
      <c r="G35" s="6">
        <f t="shared" si="7"/>
        <v>0.6832986316366837</v>
      </c>
      <c r="H35" s="6">
        <f t="shared" si="9"/>
        <v>0.68820129931867691</v>
      </c>
      <c r="I35" s="6">
        <f t="shared" si="12"/>
        <v>0.69337045346700832</v>
      </c>
      <c r="J35" s="6">
        <f t="shared" si="13"/>
        <v>0.69887784043800005</v>
      </c>
      <c r="K35" s="6">
        <f t="shared" si="14"/>
        <v>0.7046790458205956</v>
      </c>
      <c r="L35" s="6">
        <f t="shared" si="16"/>
        <v>0.72952903528358215</v>
      </c>
      <c r="M35" s="6">
        <f t="shared" si="18"/>
        <v>0.75721789792706218</v>
      </c>
      <c r="N35" s="6">
        <f t="shared" si="19"/>
        <v>0.78652244643303604</v>
      </c>
      <c r="O35" s="6">
        <f t="shared" si="20"/>
        <v>0.81843132046242972</v>
      </c>
    </row>
    <row r="36" spans="2:45" x14ac:dyDescent="0.25">
      <c r="D36" s="8"/>
    </row>
    <row r="37" spans="2:45" x14ac:dyDescent="0.25">
      <c r="D37" s="8"/>
      <c r="AL37" s="45"/>
    </row>
    <row r="39" spans="2:45" ht="26.25" x14ac:dyDescent="0.4">
      <c r="B39" s="49" t="s">
        <v>37</v>
      </c>
      <c r="C39" s="49"/>
      <c r="F39" t="s">
        <v>56</v>
      </c>
      <c r="AH39" s="26"/>
      <c r="AI39" s="27"/>
    </row>
    <row r="41" spans="2:45" x14ac:dyDescent="0.25">
      <c r="AG41" s="38" t="s">
        <v>52</v>
      </c>
      <c r="AH41" s="24">
        <f>+C8</f>
        <v>30</v>
      </c>
      <c r="AI41" s="40">
        <f>1/(1+get_interpolated_rate(AH41,$AN$43:$AN$71,$AP$43:$AP$71,COUNT($AN$43:$AN$71))/100*AH41/360)</f>
        <v>0.99724942682572559</v>
      </c>
      <c r="AJ41" s="57">
        <f>+get_interpolated_rate(AH41,$AN$43:$AN$71,$AP$43:$AP$71,COUNT($AN$43:$AN$71))</f>
        <v>3.3097916332079764</v>
      </c>
      <c r="AK41" s="59"/>
      <c r="AM41" s="24"/>
      <c r="AN41" s="24"/>
      <c r="AO41" s="24"/>
      <c r="AP41" s="24"/>
      <c r="AQ41" s="24"/>
    </row>
    <row r="42" spans="2:45" x14ac:dyDescent="0.25">
      <c r="B42" s="47" t="s">
        <v>68</v>
      </c>
      <c r="C42" s="47" t="s">
        <v>4</v>
      </c>
      <c r="D42" s="47" t="s">
        <v>5</v>
      </c>
      <c r="E42" s="47" t="s">
        <v>24</v>
      </c>
      <c r="F42" s="47" t="s">
        <v>25</v>
      </c>
      <c r="G42" s="47" t="s">
        <v>26</v>
      </c>
      <c r="H42" s="47" t="s">
        <v>27</v>
      </c>
      <c r="I42" s="47" t="s">
        <v>28</v>
      </c>
      <c r="J42" s="47" t="s">
        <v>29</v>
      </c>
      <c r="K42" s="47" t="s">
        <v>30</v>
      </c>
      <c r="L42" s="47" t="s">
        <v>31</v>
      </c>
      <c r="M42" s="47" t="s">
        <v>32</v>
      </c>
      <c r="N42" s="47" t="s">
        <v>33</v>
      </c>
      <c r="O42" s="47" t="s">
        <v>34</v>
      </c>
      <c r="AG42" s="47" t="s">
        <v>23</v>
      </c>
      <c r="AH42" s="47" t="s">
        <v>67</v>
      </c>
      <c r="AI42" s="47" t="s">
        <v>47</v>
      </c>
      <c r="AJ42" s="47" t="s">
        <v>49</v>
      </c>
      <c r="AK42" s="58"/>
      <c r="AM42" s="47" t="s">
        <v>66</v>
      </c>
      <c r="AN42" s="47" t="s">
        <v>57</v>
      </c>
      <c r="AO42" s="47" t="s">
        <v>58</v>
      </c>
      <c r="AP42" s="47" t="s">
        <v>22</v>
      </c>
      <c r="AQ42" s="47" t="s">
        <v>3</v>
      </c>
    </row>
    <row r="43" spans="2:45" x14ac:dyDescent="0.25">
      <c r="B43" s="1">
        <f>+B13</f>
        <v>43463</v>
      </c>
      <c r="C43">
        <v>1</v>
      </c>
      <c r="D43" s="2" t="str">
        <f>+D13</f>
        <v>ON</v>
      </c>
      <c r="E43" s="5">
        <f>+E13</f>
        <v>2.75</v>
      </c>
      <c r="F43" s="31">
        <f t="shared" ref="F43:F47" si="21">+get_interpolated_rate(C43,$AN$43:$AN$62,$AP$43:$AP$62,COUNT($AP$43:$AP$62))</f>
        <v>2.7499999999980318</v>
      </c>
      <c r="G43" s="6">
        <f>1/(1+E43*C43/36000)</f>
        <v>0.9999236169459278</v>
      </c>
      <c r="H43" s="6"/>
      <c r="I43" s="6"/>
      <c r="J43" s="6"/>
      <c r="K43" s="6"/>
      <c r="L43" s="6"/>
      <c r="M43" s="6"/>
      <c r="N43" s="6"/>
      <c r="O43" s="6"/>
      <c r="AG43" s="3">
        <f>1/360</f>
        <v>2.7777777777777779E-3</v>
      </c>
      <c r="AH43" s="13">
        <f>+AH41+1</f>
        <v>31</v>
      </c>
      <c r="AI43" s="14">
        <f>1/(1+get_interpolated_rate(AH43,$AN$43:$AN$71,$AP$43:$AP$71,COUNT($AN$43:$AN$71))/100*AH43/360)</f>
        <v>0.99713207964718953</v>
      </c>
      <c r="AJ43" s="14">
        <f t="shared" ref="AJ43" si="22">+AI43/$AI$11</f>
        <v>0.99944966481695363</v>
      </c>
      <c r="AK43" s="14"/>
      <c r="AL43" s="5"/>
      <c r="AM43" s="13" t="s">
        <v>6</v>
      </c>
      <c r="AN43" s="25">
        <f>+UF_dates!E3</f>
        <v>1</v>
      </c>
      <c r="AO43" s="3"/>
      <c r="AP43" s="56">
        <f>+UF_dates!J3</f>
        <v>2.7499999999980318</v>
      </c>
      <c r="AQ43" s="26"/>
    </row>
    <row r="44" spans="2:45" x14ac:dyDescent="0.25">
      <c r="B44" s="1">
        <f>+B14</f>
        <v>43552</v>
      </c>
      <c r="C44" s="44">
        <f>+B44-$C$4</f>
        <v>90</v>
      </c>
      <c r="D44" s="3">
        <v>0.25</v>
      </c>
      <c r="E44" s="5">
        <f t="shared" ref="E44:E48" si="23">+F44</f>
        <v>2.9567660693559494</v>
      </c>
      <c r="F44" s="31">
        <f t="shared" si="21"/>
        <v>2.9567660693559494</v>
      </c>
      <c r="G44" s="6">
        <f t="shared" ref="G44:G65" si="24">1/(1+E44*C44/36000)</f>
        <v>0.99266232430293266</v>
      </c>
      <c r="H44" s="6"/>
      <c r="I44" s="6"/>
      <c r="J44" s="6"/>
      <c r="K44" s="6"/>
      <c r="L44" s="6"/>
      <c r="M44" s="6"/>
      <c r="N44" s="6"/>
      <c r="O44" s="6"/>
      <c r="AG44" s="3">
        <v>0.25</v>
      </c>
      <c r="AH44" s="13">
        <f t="shared" ref="AH44:AH63" si="25">+$AH$11+C44</f>
        <v>120</v>
      </c>
      <c r="AI44" s="14">
        <f t="shared" ref="AI44:AI63" si="26">1/(1+get_interpolated_rate(AH44,$AN$43:$AN$71,$AP$43:$AP$71,COUNT($AN$43:$AN$71))/100*AH44/360)</f>
        <v>0.99201922944630927</v>
      </c>
      <c r="AJ44" s="14">
        <f>+AI44/$AI$41</f>
        <v>0.99475537690097837</v>
      </c>
      <c r="AK44" s="14"/>
      <c r="AM44" s="25" t="str">
        <f>+UF_dates!A4</f>
        <v>eom</v>
      </c>
      <c r="AN44" s="25">
        <f>+UF_dates!E4</f>
        <v>12</v>
      </c>
      <c r="AO44" s="3"/>
      <c r="AP44" s="56">
        <f>+UF_dates!J4</f>
        <v>2.7648314606742996</v>
      </c>
      <c r="AQ44" s="26"/>
    </row>
    <row r="45" spans="2:45" x14ac:dyDescent="0.25">
      <c r="B45" s="1">
        <f t="shared" ref="B45:B65" si="27">+B15</f>
        <v>43642</v>
      </c>
      <c r="C45" s="44">
        <f t="shared" ref="C45:C65" si="28">+B45-$C$4</f>
        <v>180</v>
      </c>
      <c r="D45" s="3">
        <v>0.5</v>
      </c>
      <c r="E45" s="5">
        <f t="shared" si="23"/>
        <v>1.6433411935276667</v>
      </c>
      <c r="F45" s="31">
        <f t="shared" si="21"/>
        <v>1.6433411935276667</v>
      </c>
      <c r="G45" s="6">
        <f t="shared" si="24"/>
        <v>0.99185025806554916</v>
      </c>
      <c r="H45" s="6">
        <f>+$G45/$G$44</f>
        <v>0.99918193103787456</v>
      </c>
      <c r="I45" s="6"/>
      <c r="J45" s="6"/>
      <c r="K45" s="6"/>
      <c r="L45" s="6"/>
      <c r="M45" s="6"/>
      <c r="N45" s="6"/>
      <c r="O45" s="6"/>
      <c r="AG45" s="3">
        <v>0.5</v>
      </c>
      <c r="AH45" s="13">
        <f t="shared" si="25"/>
        <v>210</v>
      </c>
      <c r="AI45" s="14">
        <f t="shared" si="26"/>
        <v>0.99166921964482446</v>
      </c>
      <c r="AJ45" s="14">
        <f t="shared" ref="AJ45:AJ63" si="29">+AI45/$AI$41</f>
        <v>0.99440440171656641</v>
      </c>
      <c r="AK45" s="14"/>
      <c r="AM45" s="25" t="str">
        <f>+UF_dates!A5</f>
        <v>1m</v>
      </c>
      <c r="AN45" s="25">
        <f>+UF_dates!E5</f>
        <v>42</v>
      </c>
      <c r="AO45" s="3"/>
      <c r="AP45" s="56">
        <f>+UF_dates!J5</f>
        <v>3.673098414897094</v>
      </c>
      <c r="AQ45" s="26"/>
    </row>
    <row r="46" spans="2:45" x14ac:dyDescent="0.25">
      <c r="B46" s="1">
        <f t="shared" si="27"/>
        <v>43732</v>
      </c>
      <c r="C46" s="44">
        <f t="shared" si="28"/>
        <v>270</v>
      </c>
      <c r="D46" s="3">
        <v>0.75</v>
      </c>
      <c r="E46" s="5">
        <f t="shared" si="23"/>
        <v>1.1489620548425403</v>
      </c>
      <c r="F46" s="31">
        <f t="shared" si="21"/>
        <v>1.1489620548425403</v>
      </c>
      <c r="G46" s="6">
        <f t="shared" si="24"/>
        <v>0.99145640657362277</v>
      </c>
      <c r="H46" s="6">
        <f t="shared" ref="H46:H65" si="30">+$G46/$G$44</f>
        <v>0.99878516822912899</v>
      </c>
      <c r="I46" s="6">
        <f t="shared" ref="I46:I65" si="31">+$G46/$G$45</f>
        <v>0.99960291234616949</v>
      </c>
      <c r="J46" s="6"/>
      <c r="K46" s="6"/>
      <c r="L46" s="6"/>
      <c r="M46" s="6"/>
      <c r="N46" s="6"/>
      <c r="O46" s="6"/>
      <c r="AG46" s="3">
        <v>0.75</v>
      </c>
      <c r="AH46" s="13">
        <f t="shared" si="25"/>
        <v>300</v>
      </c>
      <c r="AI46" s="14">
        <f t="shared" si="26"/>
        <v>0.99154271225881008</v>
      </c>
      <c r="AJ46" s="14">
        <f t="shared" si="29"/>
        <v>0.99427754540297897</v>
      </c>
      <c r="AK46" s="14"/>
      <c r="AM46" s="25" t="str">
        <f>+UF_dates!A6</f>
        <v>2m</v>
      </c>
      <c r="AN46" s="25">
        <f>+UF_dates!E6</f>
        <v>70</v>
      </c>
      <c r="AO46" s="3"/>
      <c r="AP46" s="56">
        <f>+UF_dates!J6</f>
        <v>3.0455312288540703</v>
      </c>
      <c r="AQ46" s="26"/>
      <c r="AR46" s="26"/>
    </row>
    <row r="47" spans="2:45" x14ac:dyDescent="0.25">
      <c r="B47" s="1">
        <f t="shared" si="27"/>
        <v>43822</v>
      </c>
      <c r="C47" s="44">
        <f t="shared" si="28"/>
        <v>360</v>
      </c>
      <c r="D47" s="3">
        <v>1</v>
      </c>
      <c r="E47" s="5">
        <f t="shared" si="23"/>
        <v>0.82851297932169776</v>
      </c>
      <c r="F47" s="31">
        <f t="shared" si="21"/>
        <v>0.82851297932169776</v>
      </c>
      <c r="G47" s="6">
        <f t="shared" si="24"/>
        <v>0.99178294953639146</v>
      </c>
      <c r="H47" s="6">
        <f t="shared" si="30"/>
        <v>0.99911412496977892</v>
      </c>
      <c r="I47" s="6">
        <f t="shared" si="31"/>
        <v>0.99993213841644912</v>
      </c>
      <c r="J47" s="6">
        <f t="shared" ref="J47:J64" si="32">+$G47/$G$46</f>
        <v>1.0003293568538199</v>
      </c>
      <c r="K47" s="6"/>
      <c r="L47" s="6"/>
      <c r="M47" s="6"/>
      <c r="N47" s="6"/>
      <c r="O47" s="6"/>
      <c r="AG47" s="3">
        <v>1</v>
      </c>
      <c r="AH47" s="13">
        <f t="shared" si="25"/>
        <v>390</v>
      </c>
      <c r="AI47" s="14">
        <f t="shared" si="26"/>
        <v>0.99012266111232483</v>
      </c>
      <c r="AJ47" s="14">
        <f t="shared" si="29"/>
        <v>0.99285357752865755</v>
      </c>
      <c r="AK47" s="14"/>
      <c r="AM47" s="25" t="str">
        <f>+UF_dates!A7</f>
        <v>3m</v>
      </c>
      <c r="AN47" s="25">
        <f>+UF_dates!E7</f>
        <v>102</v>
      </c>
      <c r="AO47" s="3"/>
      <c r="AP47" s="56">
        <f>+UF_dates!J7</f>
        <v>2.9035069736570769</v>
      </c>
      <c r="AQ47" s="26"/>
      <c r="AR47" s="26"/>
    </row>
    <row r="48" spans="2:45" x14ac:dyDescent="0.25">
      <c r="B48" s="1">
        <f t="shared" si="27"/>
        <v>44002</v>
      </c>
      <c r="C48" s="44">
        <f t="shared" si="28"/>
        <v>540</v>
      </c>
      <c r="D48" s="3">
        <v>1.5</v>
      </c>
      <c r="E48" s="5">
        <f t="shared" si="23"/>
        <v>0.8220022292030279</v>
      </c>
      <c r="F48" s="31">
        <f>+get_interpolated_rate(C48,$AN$43:$AN$62,$AP$43:$AP$62,COUNT($AP$43:$AP$62))</f>
        <v>0.8220022292030279</v>
      </c>
      <c r="G48" s="6">
        <f t="shared" si="24"/>
        <v>0.98782014458647394</v>
      </c>
      <c r="H48" s="6">
        <f t="shared" si="30"/>
        <v>0.99512202730182286</v>
      </c>
      <c r="I48" s="6">
        <f t="shared" si="31"/>
        <v>0.99593677226345101</v>
      </c>
      <c r="J48" s="6">
        <f t="shared" si="32"/>
        <v>0.99633240356001596</v>
      </c>
      <c r="K48" s="6">
        <f t="shared" ref="K48:K64" si="33">+$G48/$G$47</f>
        <v>0.99600436269672721</v>
      </c>
      <c r="L48" s="6"/>
      <c r="M48" s="6"/>
      <c r="N48" s="6"/>
      <c r="O48" s="6"/>
      <c r="AG48" s="3">
        <v>1.5</v>
      </c>
      <c r="AH48" s="13">
        <f t="shared" si="25"/>
        <v>570</v>
      </c>
      <c r="AI48" s="14">
        <f t="shared" si="26"/>
        <v>0.98697542109291536</v>
      </c>
      <c r="AJ48" s="14">
        <f t="shared" si="29"/>
        <v>0.98969765691867806</v>
      </c>
      <c r="AK48" s="14"/>
      <c r="AM48" s="25" t="str">
        <f>+UF_dates!A8</f>
        <v>4m</v>
      </c>
      <c r="AN48" s="25">
        <f>+UF_dates!E8</f>
        <v>132</v>
      </c>
      <c r="AO48" s="3"/>
      <c r="AP48" s="56">
        <f>+UF_dates!J8</f>
        <v>2.0868165134943242</v>
      </c>
      <c r="AQ48" s="26"/>
      <c r="AR48" s="26"/>
    </row>
    <row r="49" spans="2:44" x14ac:dyDescent="0.25">
      <c r="B49" s="1">
        <f t="shared" si="27"/>
        <v>44182</v>
      </c>
      <c r="C49" s="44">
        <f t="shared" si="28"/>
        <v>720</v>
      </c>
      <c r="D49" s="3">
        <v>2</v>
      </c>
      <c r="E49" s="5">
        <f>+AP63</f>
        <v>0.68203765634493596</v>
      </c>
      <c r="F49" s="31">
        <f>+AQ63</f>
        <v>0.68</v>
      </c>
      <c r="G49" s="6">
        <f t="shared" si="24"/>
        <v>0.98654281303822933</v>
      </c>
      <c r="H49" s="6">
        <f t="shared" si="30"/>
        <v>0.99383525382712534</v>
      </c>
      <c r="I49" s="6">
        <f t="shared" si="31"/>
        <v>0.99464894525745129</v>
      </c>
      <c r="J49" s="6">
        <f t="shared" si="32"/>
        <v>0.99504406497066844</v>
      </c>
      <c r="K49" s="6">
        <f t="shared" si="33"/>
        <v>0.9947164482908164</v>
      </c>
      <c r="L49" s="6"/>
      <c r="M49" s="6"/>
      <c r="N49" s="6"/>
      <c r="O49" s="6"/>
      <c r="AG49" s="3">
        <v>2</v>
      </c>
      <c r="AH49" s="13">
        <f t="shared" si="25"/>
        <v>750</v>
      </c>
      <c r="AI49" s="14">
        <f t="shared" si="26"/>
        <v>0.98580726579892275</v>
      </c>
      <c r="AJ49" s="14">
        <f t="shared" si="29"/>
        <v>0.98852627966583684</v>
      </c>
      <c r="AK49" s="14"/>
      <c r="AM49" s="25" t="str">
        <f>+UF_dates!A9</f>
        <v>5m</v>
      </c>
      <c r="AN49" s="25">
        <f>+UF_dates!E9</f>
        <v>161</v>
      </c>
      <c r="AP49" s="56">
        <f>+UF_dates!J9</f>
        <v>1.7932622407981764</v>
      </c>
      <c r="AR49" s="26"/>
    </row>
    <row r="50" spans="2:44" x14ac:dyDescent="0.25">
      <c r="B50" s="1">
        <f t="shared" si="27"/>
        <v>44362</v>
      </c>
      <c r="C50" s="44">
        <f t="shared" si="28"/>
        <v>900</v>
      </c>
      <c r="D50" s="3">
        <v>2.5</v>
      </c>
      <c r="E50" s="5">
        <f>+INTERPOLATE(C50,C49,E49,C51,E51)</f>
        <v>0.7361672907285608</v>
      </c>
      <c r="F50" s="31">
        <f>+INTERPOLATE(D50,D49,F49,D51,F51)</f>
        <v>0.73250000000000004</v>
      </c>
      <c r="G50" s="6">
        <f t="shared" si="24"/>
        <v>0.98192841055775737</v>
      </c>
      <c r="H50" s="6">
        <f t="shared" si="30"/>
        <v>0.98918674207494184</v>
      </c>
      <c r="I50" s="6">
        <f t="shared" si="31"/>
        <v>0.98999662758858098</v>
      </c>
      <c r="J50" s="6">
        <f t="shared" si="32"/>
        <v>0.99038989919002773</v>
      </c>
      <c r="K50" s="6">
        <f t="shared" si="33"/>
        <v>0.99006381488687556</v>
      </c>
      <c r="L50" s="6">
        <f t="shared" ref="L50:L64" si="34">+$G50/$G$49</f>
        <v>0.99532265359446381</v>
      </c>
      <c r="M50" s="6"/>
      <c r="N50" s="6"/>
      <c r="O50" s="6"/>
      <c r="AG50" s="3">
        <v>2.5</v>
      </c>
      <c r="AH50" s="13">
        <f t="shared" si="25"/>
        <v>930</v>
      </c>
      <c r="AI50" s="14">
        <f t="shared" si="26"/>
        <v>0.9811128774206368</v>
      </c>
      <c r="AJ50" s="14">
        <f t="shared" si="29"/>
        <v>0.98381894341473641</v>
      </c>
      <c r="AK50" s="14"/>
      <c r="AM50" s="25" t="str">
        <f>+UF_dates!A10</f>
        <v>6m</v>
      </c>
      <c r="AN50" s="25">
        <f>+UF_dates!E10</f>
        <v>193</v>
      </c>
      <c r="AP50" s="56">
        <f>+UF_dates!J10</f>
        <v>1.5407636348688971</v>
      </c>
      <c r="AR50" s="26"/>
    </row>
    <row r="51" spans="2:44" x14ac:dyDescent="0.25">
      <c r="B51" s="1">
        <f t="shared" si="27"/>
        <v>44542</v>
      </c>
      <c r="C51" s="44">
        <f t="shared" si="28"/>
        <v>1080</v>
      </c>
      <c r="D51" s="3">
        <v>3</v>
      </c>
      <c r="E51" s="5">
        <f>+AP64</f>
        <v>0.79029692511218574</v>
      </c>
      <c r="F51" s="31">
        <f>+AQ64</f>
        <v>0.78500000000000003</v>
      </c>
      <c r="G51" s="6">
        <f t="shared" si="24"/>
        <v>0.97684018613709511</v>
      </c>
      <c r="H51" s="6">
        <f t="shared" si="30"/>
        <v>0.98406090593097895</v>
      </c>
      <c r="I51" s="6">
        <f t="shared" si="31"/>
        <v>0.98486659472395677</v>
      </c>
      <c r="J51" s="6">
        <f t="shared" si="32"/>
        <v>0.98525782844347143</v>
      </c>
      <c r="K51" s="6">
        <f t="shared" si="33"/>
        <v>0.98493343386647114</v>
      </c>
      <c r="L51" s="6">
        <f t="shared" si="34"/>
        <v>0.99016502196062506</v>
      </c>
      <c r="M51" s="6"/>
      <c r="N51" s="6"/>
      <c r="O51" s="6"/>
      <c r="AG51" s="3">
        <v>3</v>
      </c>
      <c r="AH51" s="13">
        <f t="shared" si="25"/>
        <v>1110</v>
      </c>
      <c r="AI51" s="14">
        <f t="shared" si="26"/>
        <v>0.97608079347697696</v>
      </c>
      <c r="AJ51" s="14">
        <f t="shared" si="29"/>
        <v>0.97877298017996461</v>
      </c>
      <c r="AK51" s="14"/>
      <c r="AM51" s="25" t="str">
        <f>+UF_dates!A11</f>
        <v>7m</v>
      </c>
      <c r="AN51" s="25">
        <f>+UF_dates!E11</f>
        <v>224</v>
      </c>
      <c r="AP51" s="56">
        <f>+UF_dates!J11</f>
        <v>1.3572574151816317</v>
      </c>
      <c r="AR51" s="26"/>
    </row>
    <row r="52" spans="2:44" x14ac:dyDescent="0.25">
      <c r="B52" s="1">
        <f t="shared" si="27"/>
        <v>44722</v>
      </c>
      <c r="C52" s="44">
        <f t="shared" si="28"/>
        <v>1260</v>
      </c>
      <c r="D52" s="3">
        <v>3.5</v>
      </c>
      <c r="E52" s="5">
        <f>+INTERPOLATE(C52,C51,E51,C53,E53)</f>
        <v>0.81712502998993553</v>
      </c>
      <c r="F52" s="31">
        <f>+INTERPOLATE(D52,D51,F51,D53,F53)</f>
        <v>0.81</v>
      </c>
      <c r="G52" s="6">
        <f t="shared" si="24"/>
        <v>0.97219580653501458</v>
      </c>
      <c r="H52" s="6">
        <f t="shared" si="30"/>
        <v>0.97938219546884675</v>
      </c>
      <c r="I52" s="6">
        <f t="shared" si="31"/>
        <v>0.98018405362028382</v>
      </c>
      <c r="J52" s="6">
        <f t="shared" si="32"/>
        <v>0.98057342722190788</v>
      </c>
      <c r="K52" s="6">
        <f t="shared" si="33"/>
        <v>0.98025057497657841</v>
      </c>
      <c r="L52" s="6">
        <f t="shared" si="34"/>
        <v>0.98545728952296485</v>
      </c>
      <c r="M52" s="6">
        <f t="shared" ref="M52:M64" si="35">+$G52/$G$51</f>
        <v>0.99524550723036209</v>
      </c>
      <c r="N52" s="6"/>
      <c r="O52" s="6"/>
      <c r="AG52" s="3">
        <v>3.5</v>
      </c>
      <c r="AH52" s="13">
        <f t="shared" si="25"/>
        <v>1290</v>
      </c>
      <c r="AI52" s="14">
        <f t="shared" si="26"/>
        <v>0.9714014205568654</v>
      </c>
      <c r="AJ52" s="14">
        <f t="shared" si="29"/>
        <v>0.97408070080206999</v>
      </c>
      <c r="AK52" s="14"/>
      <c r="AM52" s="25" t="str">
        <f>+UF_dates!A12</f>
        <v>8m</v>
      </c>
      <c r="AN52" s="25">
        <f>+UF_dates!E12</f>
        <v>255</v>
      </c>
      <c r="AP52" s="56">
        <f>+UF_dates!J12</f>
        <v>1.1901447668667358</v>
      </c>
    </row>
    <row r="53" spans="2:44" x14ac:dyDescent="0.25">
      <c r="B53" s="1">
        <f t="shared" si="27"/>
        <v>44902</v>
      </c>
      <c r="C53" s="44">
        <f t="shared" si="28"/>
        <v>1440</v>
      </c>
      <c r="D53" s="3">
        <v>4</v>
      </c>
      <c r="E53" s="5">
        <f>+AP65</f>
        <v>0.84395313486768531</v>
      </c>
      <c r="F53" s="31">
        <f>+AQ65</f>
        <v>0.83499999999999996</v>
      </c>
      <c r="G53" s="6">
        <f t="shared" si="24"/>
        <v>0.96734427080627006</v>
      </c>
      <c r="H53" s="6">
        <f t="shared" si="30"/>
        <v>0.97449479759953472</v>
      </c>
      <c r="I53" s="6">
        <f t="shared" si="31"/>
        <v>0.97529265424896472</v>
      </c>
      <c r="J53" s="6">
        <f t="shared" si="32"/>
        <v>0.97568008476471302</v>
      </c>
      <c r="K53" s="6">
        <f t="shared" si="33"/>
        <v>0.97535884364462477</v>
      </c>
      <c r="L53" s="6">
        <f t="shared" si="34"/>
        <v>0.98053957519305823</v>
      </c>
      <c r="M53" s="6">
        <f t="shared" si="35"/>
        <v>0.99027894688856266</v>
      </c>
      <c r="N53" s="6"/>
      <c r="O53" s="6"/>
      <c r="AG53" s="3">
        <v>4</v>
      </c>
      <c r="AH53" s="13">
        <f t="shared" si="25"/>
        <v>1470</v>
      </c>
      <c r="AI53" s="14">
        <f t="shared" si="26"/>
        <v>0.96646554377888949</v>
      </c>
      <c r="AJ53" s="14">
        <f t="shared" si="29"/>
        <v>0.96913121008770886</v>
      </c>
      <c r="AK53" s="14"/>
      <c r="AM53" s="25" t="str">
        <f>+UF_dates!A13</f>
        <v>9m</v>
      </c>
      <c r="AN53" s="25">
        <f>+UF_dates!E13</f>
        <v>285</v>
      </c>
      <c r="AP53" s="56">
        <f>+UF_dates!J13</f>
        <v>1.1077793428183451</v>
      </c>
    </row>
    <row r="54" spans="2:44" x14ac:dyDescent="0.25">
      <c r="B54" s="1">
        <f t="shared" si="27"/>
        <v>45082</v>
      </c>
      <c r="C54" s="44">
        <f t="shared" si="28"/>
        <v>1620</v>
      </c>
      <c r="D54" s="3">
        <v>4.5</v>
      </c>
      <c r="E54" s="5">
        <f>+INTERPOLATE(C54,C53,E53,C55,E55)</f>
        <v>0.87872124663748186</v>
      </c>
      <c r="F54" s="31">
        <f>+INTERPOLATE(D54,D53,F53,D55,F55)</f>
        <v>0.86749999999999994</v>
      </c>
      <c r="G54" s="6">
        <f t="shared" si="24"/>
        <v>0.96196167278526923</v>
      </c>
      <c r="H54" s="6">
        <f t="shared" si="30"/>
        <v>0.96907241187055015</v>
      </c>
      <c r="I54" s="6">
        <f t="shared" si="31"/>
        <v>0.96986582900268337</v>
      </c>
      <c r="J54" s="6">
        <f t="shared" si="32"/>
        <v>0.97025110373709267</v>
      </c>
      <c r="K54" s="6">
        <f t="shared" si="33"/>
        <v>0.96993165010039528</v>
      </c>
      <c r="L54" s="6">
        <f t="shared" si="34"/>
        <v>0.9750835544812716</v>
      </c>
      <c r="M54" s="6">
        <f t="shared" si="35"/>
        <v>0.9847687333476085</v>
      </c>
      <c r="N54" s="6">
        <f t="shared" ref="N54:N64" si="36">+$G54/$G$53</f>
        <v>0.99443569556005695</v>
      </c>
      <c r="O54" s="6"/>
      <c r="AG54" s="3">
        <v>4.5</v>
      </c>
      <c r="AH54" s="13">
        <f t="shared" si="25"/>
        <v>1650</v>
      </c>
      <c r="AI54" s="14">
        <f t="shared" si="26"/>
        <v>0.96103917068939548</v>
      </c>
      <c r="AJ54" s="14">
        <f t="shared" si="29"/>
        <v>0.96368987019467289</v>
      </c>
      <c r="AK54" s="14"/>
      <c r="AM54" s="25" t="str">
        <f>+UF_dates!A14</f>
        <v>10m</v>
      </c>
      <c r="AN54" s="25">
        <f>+UF_dates!E14</f>
        <v>315</v>
      </c>
      <c r="AP54" s="56">
        <f>+UF_dates!J14</f>
        <v>0.93928230444207472</v>
      </c>
    </row>
    <row r="55" spans="2:44" x14ac:dyDescent="0.25">
      <c r="B55" s="1">
        <f t="shared" si="27"/>
        <v>45262</v>
      </c>
      <c r="C55" s="44">
        <f t="shared" si="28"/>
        <v>1800</v>
      </c>
      <c r="D55" s="3">
        <v>5</v>
      </c>
      <c r="E55" s="5">
        <f>+AP66</f>
        <v>0.9134893584072783</v>
      </c>
      <c r="F55" s="31">
        <f>+AQ66</f>
        <v>0.9</v>
      </c>
      <c r="G55" s="6">
        <f t="shared" si="24"/>
        <v>0.95632056694355239</v>
      </c>
      <c r="H55" s="6">
        <f t="shared" si="30"/>
        <v>0.96338960745296731</v>
      </c>
      <c r="I55" s="6">
        <f t="shared" si="31"/>
        <v>0.96417837185293276</v>
      </c>
      <c r="J55" s="6">
        <f t="shared" si="32"/>
        <v>0.96456138727117968</v>
      </c>
      <c r="K55" s="6">
        <f t="shared" si="33"/>
        <v>0.96424380696460255</v>
      </c>
      <c r="L55" s="6">
        <f t="shared" si="34"/>
        <v>0.96936549970740515</v>
      </c>
      <c r="M55" s="6">
        <f t="shared" si="35"/>
        <v>0.97899388304786339</v>
      </c>
      <c r="N55" s="6">
        <f t="shared" si="36"/>
        <v>0.98860415655997058</v>
      </c>
      <c r="O55" s="6"/>
      <c r="AG55" s="3">
        <v>5</v>
      </c>
      <c r="AH55" s="13">
        <f t="shared" si="25"/>
        <v>1830</v>
      </c>
      <c r="AI55" s="14">
        <f t="shared" si="26"/>
        <v>0.95535209473141292</v>
      </c>
      <c r="AJ55" s="14">
        <f t="shared" si="29"/>
        <v>0.95798710837300438</v>
      </c>
      <c r="AK55" s="14"/>
      <c r="AM55" s="25" t="str">
        <f>+UF_dates!A15</f>
        <v>11m</v>
      </c>
      <c r="AN55" s="25">
        <f>+UF_dates!E15</f>
        <v>346</v>
      </c>
      <c r="AP55" s="56">
        <f>+UF_dates!J15</f>
        <v>0.77947058506781042</v>
      </c>
    </row>
    <row r="56" spans="2:44" x14ac:dyDescent="0.25">
      <c r="B56" s="1">
        <f t="shared" si="27"/>
        <v>45442</v>
      </c>
      <c r="C56" s="44">
        <f t="shared" si="28"/>
        <v>1980</v>
      </c>
      <c r="D56" s="3">
        <v>5.5</v>
      </c>
      <c r="E56" s="5">
        <f>+INTERPOLATE(C56,C55,E55,C57,E57)</f>
        <v>1.0968558772306725</v>
      </c>
      <c r="F56" s="31">
        <f>+INTERPOLATE(D56,D55,F55,D57,F57)</f>
        <v>0.9325</v>
      </c>
      <c r="G56" s="6">
        <f t="shared" si="24"/>
        <v>0.94310522218119863</v>
      </c>
      <c r="H56" s="6">
        <f t="shared" si="30"/>
        <v>0.9500765759831431</v>
      </c>
      <c r="I56" s="6">
        <f t="shared" si="31"/>
        <v>0.95085444048840573</v>
      </c>
      <c r="J56" s="6">
        <f t="shared" si="32"/>
        <v>0.95123216303627389</v>
      </c>
      <c r="K56" s="6">
        <f t="shared" si="33"/>
        <v>0.95091897135563053</v>
      </c>
      <c r="L56" s="6">
        <f t="shared" si="34"/>
        <v>0.95596988768966129</v>
      </c>
      <c r="M56" s="6">
        <f t="shared" si="35"/>
        <v>0.96546521689561005</v>
      </c>
      <c r="N56" s="6">
        <f t="shared" si="36"/>
        <v>0.97494268653199501</v>
      </c>
      <c r="O56" s="6">
        <f t="shared" ref="O56:O64" si="37">+$G56/$G$55</f>
        <v>0.98618105139724155</v>
      </c>
      <c r="AG56" s="3">
        <v>5.5</v>
      </c>
      <c r="AH56" s="13">
        <f t="shared" si="25"/>
        <v>2010</v>
      </c>
      <c r="AI56" s="14">
        <f t="shared" si="26"/>
        <v>0.94939673631001076</v>
      </c>
      <c r="AJ56" s="14">
        <f t="shared" si="29"/>
        <v>0.95201532412203904</v>
      </c>
      <c r="AK56" s="14"/>
      <c r="AM56" s="25" t="str">
        <f>+UF_dates!A16</f>
        <v>12m</v>
      </c>
      <c r="AN56" s="25">
        <f>+UF_dates!E16</f>
        <v>377</v>
      </c>
      <c r="AP56" s="56">
        <f>+UF_dates!J16</f>
        <v>0.88806445805856105</v>
      </c>
    </row>
    <row r="57" spans="2:44" x14ac:dyDescent="0.25">
      <c r="B57" s="1">
        <f t="shared" si="27"/>
        <v>45622</v>
      </c>
      <c r="C57" s="44">
        <f t="shared" si="28"/>
        <v>2160</v>
      </c>
      <c r="D57" s="3">
        <v>6</v>
      </c>
      <c r="E57" s="5">
        <f>+AP71</f>
        <v>1.2802223960540666</v>
      </c>
      <c r="F57" s="31">
        <f>+AQ67</f>
        <v>0.96499999999999997</v>
      </c>
      <c r="G57" s="6">
        <f t="shared" si="24"/>
        <v>0.92866605507060596</v>
      </c>
      <c r="H57" s="6">
        <f t="shared" si="30"/>
        <v>0.93553067577409454</v>
      </c>
      <c r="I57" s="6">
        <f t="shared" si="31"/>
        <v>0.9362966309872478</v>
      </c>
      <c r="J57" s="6">
        <f t="shared" si="32"/>
        <v>0.93666857051232921</v>
      </c>
      <c r="K57" s="6">
        <f t="shared" si="33"/>
        <v>0.93636017387142068</v>
      </c>
      <c r="L57" s="6">
        <f t="shared" si="34"/>
        <v>0.94133375946515496</v>
      </c>
      <c r="M57" s="6">
        <f t="shared" si="35"/>
        <v>0.95068371290395692</v>
      </c>
      <c r="N57" s="6">
        <f t="shared" si="36"/>
        <v>0.96001608020748785</v>
      </c>
      <c r="O57" s="6">
        <f t="shared" si="37"/>
        <v>0.97108238301165939</v>
      </c>
      <c r="AG57" s="3">
        <v>6</v>
      </c>
      <c r="AH57" s="13">
        <f t="shared" si="25"/>
        <v>2190</v>
      </c>
      <c r="AI57" s="14">
        <f t="shared" si="26"/>
        <v>0.94321946966516179</v>
      </c>
      <c r="AJ57" s="14">
        <f t="shared" si="29"/>
        <v>0.94582101958930898</v>
      </c>
      <c r="AK57" s="14"/>
      <c r="AM57" s="25" t="str">
        <f>+UF_dates!A17</f>
        <v>13m</v>
      </c>
      <c r="AN57" s="25">
        <f>+UF_dates!E17</f>
        <v>406</v>
      </c>
      <c r="AP57" s="56">
        <f>+UF_dates!J17</f>
        <v>0.96120122530091201</v>
      </c>
    </row>
    <row r="58" spans="2:44" x14ac:dyDescent="0.25">
      <c r="B58" s="1">
        <f t="shared" si="27"/>
        <v>45802</v>
      </c>
      <c r="C58" s="44">
        <f t="shared" si="28"/>
        <v>2340</v>
      </c>
      <c r="D58" s="3">
        <v>6.5</v>
      </c>
      <c r="E58" s="5">
        <f>+INTERPOLATE(C58,C57,E57,C59,E59)</f>
        <v>0.64011119802703331</v>
      </c>
      <c r="F58" s="31">
        <f>+INTERPOLATE(D58,D57,F57,D59,F59)</f>
        <v>0.99499999999999988</v>
      </c>
      <c r="G58" s="6">
        <f t="shared" si="24"/>
        <v>0.96005478191931304</v>
      </c>
      <c r="H58" s="6">
        <f t="shared" si="30"/>
        <v>0.96715142542906796</v>
      </c>
      <c r="I58" s="6">
        <f t="shared" si="31"/>
        <v>0.9679432697751692</v>
      </c>
      <c r="J58" s="6">
        <f t="shared" si="32"/>
        <v>0.96832778078177872</v>
      </c>
      <c r="K58" s="6">
        <f t="shared" si="33"/>
        <v>0.96800896039611317</v>
      </c>
      <c r="L58" s="6">
        <f t="shared" si="34"/>
        <v>0.97315065218777297</v>
      </c>
      <c r="M58" s="6">
        <f t="shared" si="35"/>
        <v>0.98281663218201554</v>
      </c>
      <c r="N58" s="6">
        <f t="shared" si="36"/>
        <v>0.9924644316331338</v>
      </c>
      <c r="O58" s="6">
        <f t="shared" si="37"/>
        <v>1.0039047732578787</v>
      </c>
      <c r="AG58" s="3">
        <v>6.5</v>
      </c>
      <c r="AH58" s="13">
        <f t="shared" si="25"/>
        <v>2370</v>
      </c>
      <c r="AI58" s="14">
        <f t="shared" si="26"/>
        <v>0.93691233221797043</v>
      </c>
      <c r="AJ58" s="14">
        <f t="shared" si="29"/>
        <v>0.93949648604982416</v>
      </c>
      <c r="AK58" s="14"/>
      <c r="AM58" s="25" t="str">
        <f>+UF_dates!A18</f>
        <v>14m</v>
      </c>
      <c r="AN58" s="25">
        <f>+UF_dates!E18</f>
        <v>437</v>
      </c>
      <c r="AP58" s="56">
        <f>+UF_dates!J18</f>
        <v>0.92566810834691682</v>
      </c>
    </row>
    <row r="59" spans="2:44" x14ac:dyDescent="0.25">
      <c r="B59" s="1">
        <f t="shared" si="27"/>
        <v>45982</v>
      </c>
      <c r="C59" s="44">
        <f t="shared" si="28"/>
        <v>2520</v>
      </c>
      <c r="D59" s="3">
        <v>7</v>
      </c>
      <c r="E59" s="5">
        <f>+AP72</f>
        <v>0</v>
      </c>
      <c r="F59" s="31">
        <f>+AQ68</f>
        <v>1.0249999999999999</v>
      </c>
      <c r="G59" s="6">
        <f t="shared" si="24"/>
        <v>1</v>
      </c>
      <c r="H59" s="6">
        <f t="shared" si="30"/>
        <v>1.0073919151733899</v>
      </c>
      <c r="I59" s="6">
        <f t="shared" si="31"/>
        <v>1.0082167059676383</v>
      </c>
      <c r="J59" s="6">
        <f t="shared" si="32"/>
        <v>1.0086172154113191</v>
      </c>
      <c r="K59" s="6">
        <f t="shared" si="33"/>
        <v>1.0082851297932169</v>
      </c>
      <c r="L59" s="6">
        <f t="shared" si="34"/>
        <v>1.0136407531268987</v>
      </c>
      <c r="M59" s="6">
        <f t="shared" si="35"/>
        <v>1.0237089077533656</v>
      </c>
      <c r="N59" s="6">
        <f t="shared" si="36"/>
        <v>1.0337581253947075</v>
      </c>
      <c r="O59" s="6">
        <f t="shared" si="37"/>
        <v>1.045674467920364</v>
      </c>
      <c r="AG59" s="3">
        <v>7</v>
      </c>
      <c r="AH59" s="13">
        <f t="shared" si="25"/>
        <v>2550</v>
      </c>
      <c r="AI59" s="14">
        <f t="shared" si="26"/>
        <v>0.9302123372444363</v>
      </c>
      <c r="AJ59" s="14">
        <f t="shared" si="29"/>
        <v>0.93277801142020178</v>
      </c>
      <c r="AK59" s="14"/>
      <c r="AM59" s="25" t="str">
        <f>+UF_dates!A19</f>
        <v>15m</v>
      </c>
      <c r="AN59" s="25">
        <f>+UF_dates!E19</f>
        <v>468</v>
      </c>
      <c r="AP59" s="56">
        <f>+UF_dates!J19</f>
        <v>0.90834241159729256</v>
      </c>
    </row>
    <row r="60" spans="2:44" x14ac:dyDescent="0.25">
      <c r="B60" s="1">
        <f t="shared" si="27"/>
        <v>46162</v>
      </c>
      <c r="C60" s="44">
        <f t="shared" si="28"/>
        <v>2700</v>
      </c>
      <c r="D60" s="3">
        <v>7.5</v>
      </c>
      <c r="E60" s="5">
        <f>+INTERPOLATE(C60,C59,E59,C61,E61)</f>
        <v>0</v>
      </c>
      <c r="F60" s="31">
        <f>+INTERPOLATE(D60,D59,F59,D61,F61)</f>
        <v>1.0714999999999999</v>
      </c>
      <c r="G60" s="6">
        <f t="shared" si="24"/>
        <v>1</v>
      </c>
      <c r="H60" s="6">
        <f t="shared" si="30"/>
        <v>1.0073919151733899</v>
      </c>
      <c r="I60" s="6">
        <f t="shared" si="31"/>
        <v>1.0082167059676383</v>
      </c>
      <c r="J60" s="6">
        <f t="shared" si="32"/>
        <v>1.0086172154113191</v>
      </c>
      <c r="K60" s="6">
        <f t="shared" si="33"/>
        <v>1.0082851297932169</v>
      </c>
      <c r="L60" s="6">
        <f t="shared" si="34"/>
        <v>1.0136407531268987</v>
      </c>
      <c r="M60" s="6">
        <f t="shared" si="35"/>
        <v>1.0237089077533656</v>
      </c>
      <c r="N60" s="6">
        <f t="shared" si="36"/>
        <v>1.0337581253947075</v>
      </c>
      <c r="O60" s="6">
        <f t="shared" si="37"/>
        <v>1.045674467920364</v>
      </c>
      <c r="AG60" s="3">
        <v>7.5</v>
      </c>
      <c r="AH60" s="13">
        <f t="shared" si="25"/>
        <v>2730</v>
      </c>
      <c r="AI60" s="14">
        <f t="shared" si="26"/>
        <v>0.92230383240452529</v>
      </c>
      <c r="AJ60" s="14">
        <f t="shared" si="29"/>
        <v>0.92484769366099884</v>
      </c>
      <c r="AK60" s="14"/>
      <c r="AM60" s="25" t="str">
        <f>+UF_dates!A20</f>
        <v>16m</v>
      </c>
      <c r="AN60" s="25">
        <f>+UF_dates!E20</f>
        <v>497</v>
      </c>
      <c r="AP60" s="56">
        <f>+UF_dates!J20</f>
        <v>0.85172598466604266</v>
      </c>
    </row>
    <row r="61" spans="2:44" x14ac:dyDescent="0.25">
      <c r="B61" s="1">
        <f t="shared" si="27"/>
        <v>46342</v>
      </c>
      <c r="C61" s="44">
        <f t="shared" si="28"/>
        <v>2880</v>
      </c>
      <c r="D61" s="3">
        <v>8</v>
      </c>
      <c r="E61" s="5">
        <f>+AP73</f>
        <v>0</v>
      </c>
      <c r="F61" s="31">
        <f>+AQ69</f>
        <v>1.1180000000000001</v>
      </c>
      <c r="G61" s="6">
        <f t="shared" si="24"/>
        <v>1</v>
      </c>
      <c r="H61" s="6">
        <f t="shared" si="30"/>
        <v>1.0073919151733899</v>
      </c>
      <c r="I61" s="6">
        <f t="shared" si="31"/>
        <v>1.0082167059676383</v>
      </c>
      <c r="J61" s="6">
        <f t="shared" si="32"/>
        <v>1.0086172154113191</v>
      </c>
      <c r="K61" s="6">
        <f t="shared" si="33"/>
        <v>1.0082851297932169</v>
      </c>
      <c r="L61" s="6">
        <f t="shared" si="34"/>
        <v>1.0136407531268987</v>
      </c>
      <c r="M61" s="6">
        <f t="shared" si="35"/>
        <v>1.0237089077533656</v>
      </c>
      <c r="N61" s="6">
        <f t="shared" si="36"/>
        <v>1.0337581253947075</v>
      </c>
      <c r="O61" s="6">
        <f t="shared" si="37"/>
        <v>1.045674467920364</v>
      </c>
      <c r="AG61" s="3">
        <v>8</v>
      </c>
      <c r="AH61" s="13">
        <f t="shared" si="25"/>
        <v>2910</v>
      </c>
      <c r="AI61" s="14">
        <f t="shared" si="26"/>
        <v>0.91427436783791449</v>
      </c>
      <c r="AJ61" s="14">
        <f t="shared" si="29"/>
        <v>0.91679608254885325</v>
      </c>
      <c r="AK61" s="14"/>
      <c r="AM61" s="25" t="str">
        <f>+UF_dates!A21</f>
        <v>17m</v>
      </c>
      <c r="AN61" s="25">
        <f>+UF_dates!E21</f>
        <v>529</v>
      </c>
      <c r="AP61" s="56">
        <f>+UF_dates!J21</f>
        <v>0.80893969189662807</v>
      </c>
    </row>
    <row r="62" spans="2:44" x14ac:dyDescent="0.25">
      <c r="B62" s="1">
        <f t="shared" si="27"/>
        <v>46522</v>
      </c>
      <c r="C62" s="44">
        <f t="shared" si="28"/>
        <v>3060</v>
      </c>
      <c r="D62" s="3">
        <v>8.5</v>
      </c>
      <c r="E62" s="5">
        <f>+INTERPOLATE(C62,C61,E61,C63,E63)</f>
        <v>0</v>
      </c>
      <c r="F62" s="31">
        <f>+INTERPOLATE(D62,D61,F61,D63,F63)</f>
        <v>1.149</v>
      </c>
      <c r="G62" s="6">
        <f t="shared" si="24"/>
        <v>1</v>
      </c>
      <c r="H62" s="6">
        <f t="shared" si="30"/>
        <v>1.0073919151733899</v>
      </c>
      <c r="I62" s="6">
        <f t="shared" si="31"/>
        <v>1.0082167059676383</v>
      </c>
      <c r="J62" s="6">
        <f t="shared" si="32"/>
        <v>1.0086172154113191</v>
      </c>
      <c r="K62" s="6">
        <f t="shared" si="33"/>
        <v>1.0082851297932169</v>
      </c>
      <c r="L62" s="6">
        <f t="shared" si="34"/>
        <v>1.0136407531268987</v>
      </c>
      <c r="M62" s="6">
        <f t="shared" si="35"/>
        <v>1.0237089077533656</v>
      </c>
      <c r="N62" s="6">
        <f t="shared" si="36"/>
        <v>1.0337581253947075</v>
      </c>
      <c r="O62" s="6">
        <f t="shared" si="37"/>
        <v>1.045674467920364</v>
      </c>
      <c r="AG62" s="3">
        <v>8.5</v>
      </c>
      <c r="AH62" s="13">
        <f t="shared" si="25"/>
        <v>3090</v>
      </c>
      <c r="AI62" s="14">
        <f t="shared" si="26"/>
        <v>0.90690996434612459</v>
      </c>
      <c r="AJ62" s="14">
        <f t="shared" si="29"/>
        <v>0.9094113668561794</v>
      </c>
      <c r="AK62" s="14"/>
      <c r="AM62" s="13" t="s">
        <v>113</v>
      </c>
      <c r="AN62" s="25">
        <f>+UF_dates!E22</f>
        <v>559</v>
      </c>
      <c r="AP62" s="56">
        <f>+UF_dates!J22</f>
        <v>0.84456479364135484</v>
      </c>
    </row>
    <row r="63" spans="2:44" x14ac:dyDescent="0.25">
      <c r="B63" s="1">
        <f t="shared" si="27"/>
        <v>46702</v>
      </c>
      <c r="C63" s="44">
        <f t="shared" si="28"/>
        <v>3240</v>
      </c>
      <c r="D63" s="3">
        <v>9</v>
      </c>
      <c r="E63" s="5">
        <f>+AP74</f>
        <v>0</v>
      </c>
      <c r="F63" s="31">
        <f>+AQ70</f>
        <v>1.18</v>
      </c>
      <c r="G63" s="6">
        <f t="shared" si="24"/>
        <v>1</v>
      </c>
      <c r="H63" s="6">
        <f t="shared" si="30"/>
        <v>1.0073919151733899</v>
      </c>
      <c r="I63" s="6">
        <f t="shared" si="31"/>
        <v>1.0082167059676383</v>
      </c>
      <c r="J63" s="6">
        <f t="shared" si="32"/>
        <v>1.0086172154113191</v>
      </c>
      <c r="K63" s="6">
        <f t="shared" si="33"/>
        <v>1.0082851297932169</v>
      </c>
      <c r="L63" s="6">
        <f t="shared" si="34"/>
        <v>1.0136407531268987</v>
      </c>
      <c r="M63" s="6">
        <f t="shared" si="35"/>
        <v>1.0237089077533656</v>
      </c>
      <c r="N63" s="6">
        <f t="shared" si="36"/>
        <v>1.0337581253947075</v>
      </c>
      <c r="O63" s="6">
        <f t="shared" si="37"/>
        <v>1.045674467920364</v>
      </c>
      <c r="AG63" s="3">
        <v>9</v>
      </c>
      <c r="AH63" s="13">
        <f t="shared" si="25"/>
        <v>3270</v>
      </c>
      <c r="AI63" s="14">
        <f t="shared" si="26"/>
        <v>0.89947913971906235</v>
      </c>
      <c r="AJ63" s="14">
        <f t="shared" si="29"/>
        <v>0.90196004682813513</v>
      </c>
      <c r="AK63" s="14"/>
      <c r="AM63" s="13" t="s">
        <v>38</v>
      </c>
      <c r="AN63" s="25">
        <f t="shared" ref="AN63:AN70" si="38">+AN19</f>
        <v>720</v>
      </c>
      <c r="AO63" s="3">
        <v>2</v>
      </c>
      <c r="AP63" s="56">
        <f>find_zero_rate($C$44:E49,COUNT($C$44:C49),AQ63)</f>
        <v>0.68203765634493596</v>
      </c>
      <c r="AQ63" s="26">
        <f>+_xll.BDP($AM63,AR$12)</f>
        <v>0.68</v>
      </c>
    </row>
    <row r="64" spans="2:44" x14ac:dyDescent="0.25">
      <c r="B64" s="1">
        <f t="shared" si="27"/>
        <v>46882</v>
      </c>
      <c r="C64" s="44">
        <f t="shared" si="28"/>
        <v>3420</v>
      </c>
      <c r="D64" s="3">
        <v>9.5</v>
      </c>
      <c r="E64" s="5">
        <f>+INTERPOLATE(C64,C63,E63,C65,E65)</f>
        <v>0</v>
      </c>
      <c r="F64" s="31">
        <f>+INTERPOLATE(D64,D63,F63,D65,F65)</f>
        <v>1.2025000000000001</v>
      </c>
      <c r="G64" s="6">
        <f t="shared" si="24"/>
        <v>1</v>
      </c>
      <c r="H64" s="6">
        <f t="shared" si="30"/>
        <v>1.0073919151733899</v>
      </c>
      <c r="I64" s="6">
        <f t="shared" si="31"/>
        <v>1.0082167059676383</v>
      </c>
      <c r="J64" s="6">
        <f t="shared" si="32"/>
        <v>1.0086172154113191</v>
      </c>
      <c r="K64" s="6">
        <f t="shared" si="33"/>
        <v>1.0082851297932169</v>
      </c>
      <c r="L64" s="6">
        <f t="shared" si="34"/>
        <v>1.0136407531268987</v>
      </c>
      <c r="M64" s="6">
        <f t="shared" si="35"/>
        <v>1.0237089077533656</v>
      </c>
      <c r="N64" s="6">
        <f t="shared" si="36"/>
        <v>1.0337581253947075</v>
      </c>
      <c r="O64" s="6">
        <f t="shared" si="37"/>
        <v>1.045674467920364</v>
      </c>
      <c r="AG64" s="3"/>
      <c r="AI64" s="14"/>
      <c r="AJ64" s="14"/>
      <c r="AK64" s="14"/>
      <c r="AM64" s="13" t="s">
        <v>39</v>
      </c>
      <c r="AN64" s="25">
        <f t="shared" si="38"/>
        <v>1080</v>
      </c>
      <c r="AO64" s="3">
        <v>3</v>
      </c>
      <c r="AP64" s="56">
        <f>find_zero_rate($C$44:E50,COUNT($C$44:C50),AQ64)</f>
        <v>0.79029692511218574</v>
      </c>
      <c r="AQ64" s="26">
        <f>+_xll.BDP($AM64,AR$12)</f>
        <v>0.78500000000000003</v>
      </c>
    </row>
    <row r="65" spans="2:45" x14ac:dyDescent="0.25">
      <c r="B65" s="1">
        <f t="shared" si="27"/>
        <v>47062</v>
      </c>
      <c r="C65" s="44">
        <f t="shared" si="28"/>
        <v>3600</v>
      </c>
      <c r="D65" s="3">
        <v>10</v>
      </c>
      <c r="E65" s="5">
        <f>+AP75</f>
        <v>0</v>
      </c>
      <c r="F65" s="31">
        <f>+AQ71</f>
        <v>1.2250000000000001</v>
      </c>
      <c r="G65" s="6">
        <f t="shared" si="24"/>
        <v>1</v>
      </c>
      <c r="H65" s="6">
        <f t="shared" si="30"/>
        <v>1.0073919151733899</v>
      </c>
      <c r="I65" s="6">
        <f t="shared" si="31"/>
        <v>1.0082167059676383</v>
      </c>
      <c r="J65" s="6">
        <f>+$G65/$G$46</f>
        <v>1.0086172154113191</v>
      </c>
      <c r="K65" s="6">
        <f>+$G65/$G$47</f>
        <v>1.0082851297932169</v>
      </c>
      <c r="L65" s="6">
        <f>+$G65/$G$49</f>
        <v>1.0136407531268987</v>
      </c>
      <c r="M65" s="6">
        <f>+$G65/$G$51</f>
        <v>1.0237089077533656</v>
      </c>
      <c r="N65" s="6">
        <f>+$G65/$G$53</f>
        <v>1.0337581253947075</v>
      </c>
      <c r="O65" s="6">
        <f>+$G65/$G$55</f>
        <v>1.045674467920364</v>
      </c>
      <c r="AM65" s="13" t="s">
        <v>40</v>
      </c>
      <c r="AN65" s="25">
        <f t="shared" si="38"/>
        <v>1440</v>
      </c>
      <c r="AO65" s="3">
        <v>4</v>
      </c>
      <c r="AP65" s="56">
        <f>find_zero_rate($C$44:E51,COUNT($C$44:C51),AQ65)</f>
        <v>0.84395313486768531</v>
      </c>
      <c r="AQ65" s="26">
        <f>+_xll.BDP($AM65,AR$12)</f>
        <v>0.83499999999999996</v>
      </c>
    </row>
    <row r="66" spans="2:45" x14ac:dyDescent="0.25">
      <c r="E66" s="5"/>
      <c r="G66" s="6"/>
      <c r="H66" s="6"/>
      <c r="I66" s="6"/>
      <c r="J66" s="6"/>
      <c r="K66" s="6"/>
      <c r="L66" s="6"/>
      <c r="M66" s="6"/>
      <c r="N66" s="6"/>
      <c r="O66" s="6"/>
      <c r="AM66" s="13" t="s">
        <v>41</v>
      </c>
      <c r="AN66" s="25">
        <f t="shared" si="38"/>
        <v>1800</v>
      </c>
      <c r="AO66" s="3">
        <v>5</v>
      </c>
      <c r="AP66" s="56">
        <f>find_zero_rate($C$44:E52,COUNT($C$44:C52),AQ66)</f>
        <v>0.9134893584072783</v>
      </c>
      <c r="AQ66" s="26">
        <f>+_xll.BDP($AM66,AR$12)</f>
        <v>0.9</v>
      </c>
    </row>
    <row r="67" spans="2:45" x14ac:dyDescent="0.25">
      <c r="E67" s="5"/>
      <c r="G67" s="6"/>
      <c r="H67" s="6"/>
      <c r="I67" s="6"/>
      <c r="J67" s="6"/>
      <c r="K67" s="6"/>
      <c r="L67" s="6"/>
      <c r="M67" s="6"/>
      <c r="N67" s="6"/>
      <c r="O67" s="6"/>
      <c r="AM67" s="13" t="s">
        <v>42</v>
      </c>
      <c r="AN67" s="25">
        <f t="shared" si="38"/>
        <v>2160</v>
      </c>
      <c r="AO67" s="3">
        <v>6</v>
      </c>
      <c r="AP67" s="56">
        <f>find_zero_rate($C$44:E53,COUNT($C$44:C53),AQ67)</f>
        <v>0.98402430611945757</v>
      </c>
      <c r="AQ67" s="26">
        <f>+_xll.BDP($AM67,AR$12)</f>
        <v>0.96499999999999997</v>
      </c>
      <c r="AR67" s="26"/>
    </row>
    <row r="68" spans="2:45" x14ac:dyDescent="0.25">
      <c r="E68" s="5"/>
      <c r="G68" s="6"/>
      <c r="H68" s="6"/>
      <c r="I68" s="6"/>
      <c r="J68" s="6"/>
      <c r="K68" s="6"/>
      <c r="L68" s="6"/>
      <c r="M68" s="6"/>
      <c r="N68" s="6"/>
      <c r="O68" s="6"/>
      <c r="AM68" s="13" t="s">
        <v>43</v>
      </c>
      <c r="AN68" s="25">
        <f t="shared" si="38"/>
        <v>2520</v>
      </c>
      <c r="AO68" s="3">
        <v>7</v>
      </c>
      <c r="AP68" s="56">
        <f>find_zero_rate($C$44:E54,COUNT($C$44:C54),AQ68)</f>
        <v>1.0505330692545682</v>
      </c>
      <c r="AQ68" s="26">
        <f>+_xll.BDP($AM68,AR$12)</f>
        <v>1.0249999999999999</v>
      </c>
      <c r="AR68" s="26"/>
    </row>
    <row r="69" spans="2:45" x14ac:dyDescent="0.25">
      <c r="E69" s="5"/>
      <c r="G69" s="6"/>
      <c r="H69" s="6"/>
      <c r="I69" s="6"/>
      <c r="J69" s="6"/>
      <c r="K69" s="6"/>
      <c r="L69" s="6"/>
      <c r="M69" s="6"/>
      <c r="N69" s="6"/>
      <c r="O69" s="6"/>
      <c r="AM69" s="13" t="s">
        <v>44</v>
      </c>
      <c r="AN69" s="25">
        <f t="shared" si="38"/>
        <v>2880</v>
      </c>
      <c r="AO69" s="3">
        <v>8</v>
      </c>
      <c r="AP69" s="56">
        <f>find_zero_rate($C$44:E55,COUNT($C$44:C55),AQ69)</f>
        <v>1.1539774526710374</v>
      </c>
      <c r="AQ69" s="26">
        <f>+_xll.BDP($AM69,AR$12)</f>
        <v>1.1180000000000001</v>
      </c>
      <c r="AR69" s="26"/>
    </row>
    <row r="70" spans="2:45" x14ac:dyDescent="0.25">
      <c r="E70" s="5"/>
      <c r="G70" s="6"/>
      <c r="H70" s="6"/>
      <c r="I70" s="6"/>
      <c r="J70" s="6"/>
      <c r="K70" s="6"/>
      <c r="L70" s="6"/>
      <c r="M70" s="6"/>
      <c r="N70" s="6"/>
      <c r="O70" s="6"/>
      <c r="AM70" s="13" t="s">
        <v>45</v>
      </c>
      <c r="AN70" s="25">
        <f t="shared" si="38"/>
        <v>3240</v>
      </c>
      <c r="AO70" s="3">
        <v>9</v>
      </c>
      <c r="AP70" s="56">
        <f>find_zero_rate($C$44:E56,COUNT($C$44:C56),AQ70)</f>
        <v>1.2257888733804745</v>
      </c>
      <c r="AQ70" s="26">
        <f>+_xll.BDP($AM70,AR$12)</f>
        <v>1.18</v>
      </c>
      <c r="AR70" s="26"/>
    </row>
    <row r="71" spans="2:45" x14ac:dyDescent="0.25">
      <c r="AM71" s="13" t="s">
        <v>46</v>
      </c>
      <c r="AN71" s="25">
        <f>+AN27</f>
        <v>3600</v>
      </c>
      <c r="AO71" s="3">
        <v>10</v>
      </c>
      <c r="AP71" s="56">
        <f>find_zero_rate($C$44:E57,COUNT($C$44:C57),AQ71)</f>
        <v>1.2802223960540666</v>
      </c>
      <c r="AQ71" s="26">
        <f>+_xll.BDP($AM71,AR$12)</f>
        <v>1.2250000000000001</v>
      </c>
      <c r="AR71" s="26"/>
      <c r="AS71" s="55">
        <f>+((1+$AP71/100*$AN71/360)/(1+$AJ$41/100*$AH$41/360)-1)*360/($AN71-$AH$41)</f>
        <v>1.2596927585865182E-2</v>
      </c>
    </row>
    <row r="72" spans="2:45" ht="26.25" x14ac:dyDescent="0.4">
      <c r="B72" s="11" t="s">
        <v>59</v>
      </c>
      <c r="AN72" s="25"/>
      <c r="AO72" s="3"/>
      <c r="AP72" s="26"/>
      <c r="AQ72" s="26"/>
      <c r="AR72" s="26"/>
    </row>
    <row r="73" spans="2:45" ht="15.75" x14ac:dyDescent="0.25">
      <c r="C73" s="20"/>
      <c r="D73" s="20" t="s">
        <v>23</v>
      </c>
      <c r="E73" s="20" t="s">
        <v>51</v>
      </c>
      <c r="F73" s="20" t="s">
        <v>53</v>
      </c>
      <c r="G73" s="21" t="s">
        <v>55</v>
      </c>
      <c r="H73" s="22" t="s">
        <v>54</v>
      </c>
      <c r="I73" s="22" t="s">
        <v>60</v>
      </c>
      <c r="J73" s="22" t="s">
        <v>61</v>
      </c>
      <c r="K73" s="22" t="s">
        <v>50</v>
      </c>
      <c r="AN73" s="25"/>
      <c r="AO73" s="3"/>
      <c r="AP73" s="26"/>
      <c r="AQ73" s="26"/>
      <c r="AR73" s="26"/>
    </row>
    <row r="74" spans="2:45" x14ac:dyDescent="0.25">
      <c r="C74" s="12">
        <f t="shared" ref="C74" si="39">+AN13</f>
        <v>1</v>
      </c>
      <c r="D74" s="3">
        <f>1/360</f>
        <v>2.7777777777777779E-3</v>
      </c>
      <c r="E74" s="6">
        <f t="shared" ref="E74:E79" si="40">100*(1/AJ13-1)*(360/(AH13-$C$8))</f>
        <v>2.8243344145018057</v>
      </c>
      <c r="F74" s="9">
        <f t="shared" ref="F74:F87" si="41">+AQ13</f>
        <v>2.75</v>
      </c>
      <c r="G74" s="5" t="e">
        <f>+IF($C74-$C$8&gt;0,get_interpolated_rate($C74-$C$8,$C$74:$C$94,E$74:E$94,COUNT(E$74:E$94)),NA())</f>
        <v>#N/A</v>
      </c>
      <c r="H74" s="5" t="e">
        <f>+IF($C74-$C$8&gt;0,get_interpolated_rate($C74-$C$8,$C$74:$C$94,F$74:F$94,COUNT(F$74:F$94)),NA())</f>
        <v>#N/A</v>
      </c>
      <c r="I74" s="29" t="e">
        <f>100*(G74-$F74)</f>
        <v>#N/A</v>
      </c>
      <c r="J74" s="29" t="e">
        <f>100*(H74-$F74)</f>
        <v>#N/A</v>
      </c>
      <c r="K74" s="32" t="e">
        <f>+I74+J74</f>
        <v>#N/A</v>
      </c>
      <c r="AN74" s="25"/>
      <c r="AO74" s="3"/>
      <c r="AP74" s="26"/>
      <c r="AQ74" s="26"/>
      <c r="AR74" s="26"/>
    </row>
    <row r="75" spans="2:45" x14ac:dyDescent="0.25">
      <c r="C75" s="12">
        <f t="shared" ref="C75:C87" si="42">+AN14</f>
        <v>90</v>
      </c>
      <c r="D75" s="3">
        <v>0.25</v>
      </c>
      <c r="E75" s="6">
        <f t="shared" si="40"/>
        <v>2.92483490852673</v>
      </c>
      <c r="F75" s="9">
        <f t="shared" si="41"/>
        <v>2.87</v>
      </c>
      <c r="G75" s="5">
        <f>+IF($C75-$C$8&gt;0,get_interpolated_rate($C75-$C$8,$C$74:$C$94,E$74:E$94,COUNT(E$74:E$94)),NA())</f>
        <v>2.8909583375070924</v>
      </c>
      <c r="H75" s="5">
        <f>+IF($C75-$C$8&gt;0,get_interpolated_rate($C75-$C$8,$C$74:$C$94,F$74:F$94,COUNT(F$74:F$94)),NA())</f>
        <v>2.829550561797753</v>
      </c>
      <c r="I75" s="29">
        <f t="shared" ref="I75:I87" si="43">100*(G75-F75)</f>
        <v>2.0958337507092306</v>
      </c>
      <c r="J75" s="29">
        <f t="shared" ref="J75" si="44">100*(H75-$F75)</f>
        <v>-4.0449438202247112</v>
      </c>
      <c r="K75" s="32">
        <f t="shared" ref="K75:K87" si="45">+I75+J75</f>
        <v>-1.9491100695154806</v>
      </c>
      <c r="AN75" s="25"/>
      <c r="AO75" s="3"/>
      <c r="AP75" s="26"/>
      <c r="AQ75" s="26"/>
      <c r="AR75" s="26"/>
    </row>
    <row r="76" spans="2:45" x14ac:dyDescent="0.25">
      <c r="C76" s="12">
        <f t="shared" si="42"/>
        <v>180</v>
      </c>
      <c r="D76" s="3">
        <v>0.5</v>
      </c>
      <c r="E76" s="6">
        <f t="shared" si="40"/>
        <v>3.0032805462235856</v>
      </c>
      <c r="F76" s="9">
        <f t="shared" si="41"/>
        <v>2.948</v>
      </c>
      <c r="G76" s="5">
        <f t="shared" ref="G76:G87" si="46">+IF($C76-$C$8&gt;0,get_interpolated_rate($C76-$C$8,$C$74:$C$87,E$74:E$87,COUNT(E$74:E$87)),NA())</f>
        <v>2.9771320003246338</v>
      </c>
      <c r="H76" s="5">
        <f t="shared" ref="H76:H87" si="47">+IF($C76-$C$8&gt;0,get_interpolated_rate($C76-$C$8,$C$74:$C$87,F$74:F$87,COUNT(F$74:F$87)),NA())</f>
        <v>2.9220000000000002</v>
      </c>
      <c r="I76" s="29">
        <f>100*(G76-F76)</f>
        <v>2.9132000324633811</v>
      </c>
      <c r="J76" s="29">
        <f>100*($F76-H76)</f>
        <v>2.5999999999999801</v>
      </c>
      <c r="K76" s="32">
        <f t="shared" si="45"/>
        <v>5.5132000324633612</v>
      </c>
      <c r="AR76" s="26"/>
    </row>
    <row r="77" spans="2:45" x14ac:dyDescent="0.25">
      <c r="C77" s="12">
        <f t="shared" si="42"/>
        <v>270</v>
      </c>
      <c r="D77" s="3">
        <v>0.75</v>
      </c>
      <c r="E77" s="6">
        <f t="shared" si="40"/>
        <v>3.0936501965308354</v>
      </c>
      <c r="F77" s="9">
        <f t="shared" si="41"/>
        <v>3.04</v>
      </c>
      <c r="G77" s="5">
        <f t="shared" si="46"/>
        <v>3.0635269797617521</v>
      </c>
      <c r="H77" s="5">
        <f t="shared" si="47"/>
        <v>3.0093333333333332</v>
      </c>
      <c r="I77" s="29">
        <f t="shared" si="43"/>
        <v>2.3526979761752109</v>
      </c>
      <c r="J77" s="29">
        <f t="shared" ref="J77:J87" si="48">100*($F77-H77)</f>
        <v>3.0666666666666842</v>
      </c>
      <c r="K77" s="32">
        <f t="shared" si="45"/>
        <v>5.4193646428418951</v>
      </c>
      <c r="AR77" s="26"/>
    </row>
    <row r="78" spans="2:45" x14ac:dyDescent="0.25">
      <c r="C78" s="12">
        <f t="shared" si="42"/>
        <v>360</v>
      </c>
      <c r="D78" s="3">
        <v>1</v>
      </c>
      <c r="E78" s="6">
        <f t="shared" si="40"/>
        <v>3.1718000693083281</v>
      </c>
      <c r="F78" s="9">
        <f t="shared" si="41"/>
        <v>3.129</v>
      </c>
      <c r="G78" s="5">
        <f t="shared" si="46"/>
        <v>3.1457501117158304</v>
      </c>
      <c r="H78" s="5">
        <f t="shared" si="47"/>
        <v>3.0993333333333335</v>
      </c>
      <c r="I78" s="29">
        <f t="shared" si="43"/>
        <v>1.6750111715830407</v>
      </c>
      <c r="J78" s="29">
        <f t="shared" si="48"/>
        <v>2.9666666666666508</v>
      </c>
      <c r="K78" s="32">
        <f t="shared" si="45"/>
        <v>4.6416778382496915</v>
      </c>
      <c r="AH78" s="3"/>
      <c r="AR78" s="26"/>
    </row>
    <row r="79" spans="2:45" x14ac:dyDescent="0.25">
      <c r="C79" s="12">
        <f t="shared" si="42"/>
        <v>540</v>
      </c>
      <c r="D79" s="3">
        <v>1.5</v>
      </c>
      <c r="E79" s="6">
        <f t="shared" si="40"/>
        <v>3.2913333939916058</v>
      </c>
      <c r="F79" s="9">
        <f t="shared" si="41"/>
        <v>3.25</v>
      </c>
      <c r="G79" s="5">
        <f t="shared" si="46"/>
        <v>3.2714111732110593</v>
      </c>
      <c r="H79" s="5">
        <f t="shared" si="47"/>
        <v>3.2298333333333336</v>
      </c>
      <c r="I79" s="29">
        <f t="shared" si="43"/>
        <v>2.1411173211059342</v>
      </c>
      <c r="J79" s="29">
        <f t="shared" si="48"/>
        <v>2.0166666666666444</v>
      </c>
      <c r="K79" s="32">
        <f t="shared" si="45"/>
        <v>4.1577839877725786</v>
      </c>
      <c r="AH79" s="3"/>
    </row>
    <row r="80" spans="2:45" x14ac:dyDescent="0.25">
      <c r="C80" s="12">
        <f t="shared" si="42"/>
        <v>720</v>
      </c>
      <c r="D80" s="3">
        <v>2</v>
      </c>
      <c r="E80" s="14">
        <f>100*(1-VLOOKUP(D80,$AG$13:$AJ$35,4,FALSE))/SUMPRODUCT((MOD($AG$13:$AG$35,0.5)=0)*($AG$13:$AG$35&lt;=D80)*($AK$13:$AK$35))</f>
        <v>3.3305961705186924</v>
      </c>
      <c r="F80" s="9">
        <f t="shared" si="41"/>
        <v>3.2959999999999998</v>
      </c>
      <c r="G80" s="30">
        <f t="shared" si="46"/>
        <v>3.3240523744308446</v>
      </c>
      <c r="H80" s="5">
        <f t="shared" si="47"/>
        <v>3.2883333333333331</v>
      </c>
      <c r="I80" s="29">
        <f t="shared" si="43"/>
        <v>2.805237443084474</v>
      </c>
      <c r="J80" s="29">
        <f t="shared" si="48"/>
        <v>0.76666666666667105</v>
      </c>
      <c r="K80" s="32">
        <f t="shared" si="45"/>
        <v>3.571904109751145</v>
      </c>
      <c r="AH80" s="3"/>
      <c r="AM80" s="14"/>
    </row>
    <row r="81" spans="2:43" x14ac:dyDescent="0.25">
      <c r="C81" s="12">
        <f t="shared" si="42"/>
        <v>1080</v>
      </c>
      <c r="D81" s="3">
        <v>3</v>
      </c>
      <c r="E81" s="14">
        <f t="shared" ref="E81:E87" si="49">100*(1-VLOOKUP(D81,$AG$13:$AJ$35,4,FALSE))/SUMPRODUCT((MOD($AG$13:$AG$35,0.5)=0)*($AG$13:$AG$35&lt;=D81)*($AK$13:$AK$35))</f>
        <v>3.471884214556971</v>
      </c>
      <c r="F81" s="9">
        <f t="shared" si="41"/>
        <v>3.4449999999999998</v>
      </c>
      <c r="G81" s="5">
        <f t="shared" si="46"/>
        <v>3.4601102108871147</v>
      </c>
      <c r="H81" s="5">
        <f t="shared" si="47"/>
        <v>3.4325833333333331</v>
      </c>
      <c r="I81" s="29">
        <f>100*(G81-F81)</f>
        <v>1.5110210887114839</v>
      </c>
      <c r="J81" s="29">
        <f t="shared" si="48"/>
        <v>1.2416666666666742</v>
      </c>
      <c r="K81" s="32">
        <f t="shared" si="45"/>
        <v>2.7526877553781581</v>
      </c>
      <c r="O81" s="14"/>
      <c r="AH81" s="3"/>
      <c r="AM81" s="14"/>
      <c r="AO81" s="62"/>
      <c r="AQ81" s="33"/>
    </row>
    <row r="82" spans="2:43" x14ac:dyDescent="0.25">
      <c r="C82" s="12">
        <f t="shared" si="42"/>
        <v>1440</v>
      </c>
      <c r="D82" s="3">
        <v>4</v>
      </c>
      <c r="E82" s="14">
        <f t="shared" si="49"/>
        <v>3.5609180507211313</v>
      </c>
      <c r="F82" s="9">
        <f t="shared" si="41"/>
        <v>3.5649999999999999</v>
      </c>
      <c r="G82" s="5">
        <f t="shared" si="46"/>
        <v>3.5534985643741179</v>
      </c>
      <c r="H82" s="5">
        <f t="shared" si="47"/>
        <v>3.5549999999999997</v>
      </c>
      <c r="I82" s="29">
        <f t="shared" si="43"/>
        <v>-1.1501435625882017</v>
      </c>
      <c r="J82" s="29">
        <f t="shared" si="48"/>
        <v>1.0000000000000231</v>
      </c>
      <c r="K82" s="32">
        <f t="shared" si="45"/>
        <v>-0.15014356258817863</v>
      </c>
      <c r="O82" s="14"/>
      <c r="AH82" s="3"/>
      <c r="AM82" s="14"/>
      <c r="AQ82" s="60"/>
    </row>
    <row r="83" spans="2:43" x14ac:dyDescent="0.25">
      <c r="C83" s="12">
        <f t="shared" si="42"/>
        <v>1800</v>
      </c>
      <c r="D83" s="3">
        <v>5</v>
      </c>
      <c r="E83" s="14">
        <f t="shared" si="49"/>
        <v>3.6439946984603822</v>
      </c>
      <c r="F83" s="9">
        <f t="shared" si="41"/>
        <v>3.6850000000000001</v>
      </c>
      <c r="G83" s="5">
        <f t="shared" si="46"/>
        <v>3.6370716444821114</v>
      </c>
      <c r="H83" s="5">
        <f t="shared" si="47"/>
        <v>3.6749999999999998</v>
      </c>
      <c r="I83" s="29">
        <f t="shared" si="43"/>
        <v>-4.7928355517888654</v>
      </c>
      <c r="J83" s="29">
        <f t="shared" si="48"/>
        <v>1.0000000000000231</v>
      </c>
      <c r="K83" s="32">
        <f t="shared" si="45"/>
        <v>-3.7928355517888424</v>
      </c>
      <c r="O83" s="14"/>
      <c r="AH83" s="3"/>
      <c r="AM83" s="14"/>
    </row>
    <row r="84" spans="2:43" x14ac:dyDescent="0.25">
      <c r="C84" s="12">
        <f t="shared" si="42"/>
        <v>2160</v>
      </c>
      <c r="D84" s="3">
        <v>6</v>
      </c>
      <c r="E84" s="14">
        <f t="shared" si="49"/>
        <v>3.6825951415353795</v>
      </c>
      <c r="F84" s="9">
        <f t="shared" si="41"/>
        <v>3.7549999999999999</v>
      </c>
      <c r="G84" s="5">
        <f t="shared" si="46"/>
        <v>3.6793784379457963</v>
      </c>
      <c r="H84" s="5">
        <f t="shared" si="47"/>
        <v>3.7491666666666665</v>
      </c>
      <c r="I84" s="29">
        <f t="shared" si="43"/>
        <v>-7.5621562054203562</v>
      </c>
      <c r="J84" s="29">
        <f t="shared" si="48"/>
        <v>0.5833333333333357</v>
      </c>
      <c r="K84" s="32">
        <f t="shared" si="45"/>
        <v>-6.9788228720870205</v>
      </c>
      <c r="O84" s="14"/>
      <c r="AH84" s="3"/>
      <c r="AM84" s="14"/>
    </row>
    <row r="85" spans="2:43" x14ac:dyDescent="0.25">
      <c r="C85" s="12">
        <f t="shared" si="42"/>
        <v>2520</v>
      </c>
      <c r="D85" s="3">
        <v>7</v>
      </c>
      <c r="E85" s="14">
        <f t="shared" si="49"/>
        <v>3.7216921164049528</v>
      </c>
      <c r="F85" s="9">
        <f t="shared" si="41"/>
        <v>3.8250000000000002</v>
      </c>
      <c r="G85" s="5">
        <f t="shared" si="46"/>
        <v>3.7184340351658216</v>
      </c>
      <c r="H85" s="5">
        <f t="shared" si="47"/>
        <v>3.8191666666666668</v>
      </c>
      <c r="I85" s="29">
        <f t="shared" si="43"/>
        <v>-10.656596483417857</v>
      </c>
      <c r="J85" s="29">
        <f t="shared" si="48"/>
        <v>0.5833333333333357</v>
      </c>
      <c r="K85" s="32">
        <f t="shared" si="45"/>
        <v>-10.073263150084522</v>
      </c>
      <c r="O85" s="14"/>
      <c r="AH85" s="3"/>
    </row>
    <row r="86" spans="2:43" x14ac:dyDescent="0.25">
      <c r="C86" s="12">
        <f t="shared" si="42"/>
        <v>2880</v>
      </c>
      <c r="D86" s="3">
        <v>8</v>
      </c>
      <c r="E86" s="14">
        <f t="shared" si="49"/>
        <v>3.7694915261563646</v>
      </c>
      <c r="F86" s="9">
        <f t="shared" si="41"/>
        <v>3.91</v>
      </c>
      <c r="G86" s="5">
        <f t="shared" si="46"/>
        <v>3.7655082420104136</v>
      </c>
      <c r="H86" s="5">
        <f t="shared" si="47"/>
        <v>3.902916666666667</v>
      </c>
      <c r="I86" s="29">
        <f t="shared" si="43"/>
        <v>-14.449175798958658</v>
      </c>
      <c r="J86" s="29">
        <f t="shared" si="48"/>
        <v>0.70833333333331083</v>
      </c>
      <c r="K86" s="32">
        <f t="shared" si="45"/>
        <v>-13.740842465625347</v>
      </c>
      <c r="O86" s="14"/>
      <c r="AH86" s="3"/>
    </row>
    <row r="87" spans="2:43" x14ac:dyDescent="0.25">
      <c r="C87" s="12">
        <f t="shared" si="42"/>
        <v>3240</v>
      </c>
      <c r="D87" s="3">
        <v>9</v>
      </c>
      <c r="E87" s="14">
        <f t="shared" si="49"/>
        <v>3.7889399113562545</v>
      </c>
      <c r="F87" s="9">
        <f t="shared" si="41"/>
        <v>3.9580000000000002</v>
      </c>
      <c r="G87" s="5">
        <f t="shared" si="46"/>
        <v>3.7873192125895971</v>
      </c>
      <c r="H87" s="5">
        <f t="shared" si="47"/>
        <v>3.9540000000000002</v>
      </c>
      <c r="I87" s="29">
        <f t="shared" si="43"/>
        <v>-17.068078741040303</v>
      </c>
      <c r="J87" s="29">
        <f t="shared" si="48"/>
        <v>0.40000000000000036</v>
      </c>
      <c r="K87" s="32">
        <f t="shared" si="45"/>
        <v>-16.668078741040304</v>
      </c>
      <c r="AH87" s="3"/>
      <c r="AM87" s="36">
        <f>+SUM(AM81:AM84)</f>
        <v>0</v>
      </c>
      <c r="AN87" s="61"/>
    </row>
    <row r="88" spans="2:43" x14ac:dyDescent="0.25">
      <c r="D88" s="3"/>
      <c r="E88" s="28"/>
      <c r="F88" s="9"/>
      <c r="G88" s="5"/>
      <c r="H88" s="5"/>
      <c r="I88" s="29"/>
      <c r="J88" s="29"/>
      <c r="K88" s="32"/>
      <c r="AH88" s="3"/>
    </row>
    <row r="89" spans="2:43" x14ac:dyDescent="0.25">
      <c r="D89" s="3"/>
      <c r="E89" s="28"/>
      <c r="F89" s="9"/>
      <c r="G89" s="5"/>
      <c r="H89" s="5"/>
      <c r="I89" s="29"/>
      <c r="J89" s="29"/>
      <c r="K89" s="32"/>
      <c r="AH89" s="3"/>
    </row>
    <row r="90" spans="2:43" ht="26.25" x14ac:dyDescent="0.4">
      <c r="B90" s="11" t="s">
        <v>65</v>
      </c>
      <c r="AG90" s="33"/>
      <c r="AH90" s="3"/>
    </row>
    <row r="91" spans="2:43" ht="15.75" x14ac:dyDescent="0.25">
      <c r="C91" s="20"/>
      <c r="D91" s="20" t="s">
        <v>23</v>
      </c>
      <c r="E91" s="20" t="s">
        <v>51</v>
      </c>
      <c r="F91" s="20" t="s">
        <v>53</v>
      </c>
      <c r="G91" s="21" t="s">
        <v>55</v>
      </c>
      <c r="H91" s="22" t="s">
        <v>54</v>
      </c>
      <c r="I91" s="22" t="s">
        <v>60</v>
      </c>
      <c r="J91" s="22" t="s">
        <v>61</v>
      </c>
      <c r="K91" s="22" t="s">
        <v>50</v>
      </c>
      <c r="AH91" s="3"/>
    </row>
    <row r="92" spans="2:43" x14ac:dyDescent="0.25">
      <c r="C92" s="12">
        <f>+C74</f>
        <v>1</v>
      </c>
      <c r="D92" s="3">
        <f>+D74</f>
        <v>2.7777777777777779E-3</v>
      </c>
      <c r="E92" s="6">
        <f>100*(1/AJ43-1)*(360/(AH43-$C$8))</f>
        <v>19.822975870719795</v>
      </c>
      <c r="F92" s="9">
        <f>+F43</f>
        <v>2.7499999999980318</v>
      </c>
      <c r="G92" s="5" t="e">
        <f>+IF($C92-$C$8&gt;0,get_interpolated_rate($C92-$C$8,$C$92:$C$105,E$92:E$105,COUNT(E$92:E$105)),NA())</f>
        <v>#N/A</v>
      </c>
      <c r="H92" s="5" t="e">
        <f>+IF($C92-$C$8&gt;0,get_interpolated_rate($C92-$C$8,$C$92:$C$105,F$92:F$105,COUNT(F$92:F$105)),NA())</f>
        <v>#N/A</v>
      </c>
      <c r="I92" s="29" t="e">
        <f>100*(G92-$F92)</f>
        <v>#N/A</v>
      </c>
      <c r="J92" s="29" t="e">
        <f>100*(H92-$F92)</f>
        <v>#N/A</v>
      </c>
      <c r="K92" s="32" t="e">
        <f>+I92+J92</f>
        <v>#N/A</v>
      </c>
      <c r="AH92" s="3"/>
    </row>
    <row r="93" spans="2:43" x14ac:dyDescent="0.25">
      <c r="C93" s="12">
        <f t="shared" ref="C93:C105" si="50">+C75</f>
        <v>90</v>
      </c>
      <c r="D93" s="3">
        <f t="shared" ref="D93:D105" si="51">+D75</f>
        <v>0.25</v>
      </c>
      <c r="E93" s="6">
        <f>100*(1/AJ44-1)*(360/(AH44-$C$8))</f>
        <v>2.1089096760092296</v>
      </c>
      <c r="F93" s="9">
        <f t="shared" ref="F93:F97" si="52">+F44</f>
        <v>2.9567660693559494</v>
      </c>
      <c r="G93" s="5">
        <f t="shared" ref="G93:G105" si="53">+IF($C93-$C$8&gt;0,get_interpolated_rate($C93-$C$8,$C$92:$C$105,E$92:E$105,COUNT(E$92:E$105)),NA())</f>
        <v>8.0799432247880727</v>
      </c>
      <c r="H93" s="5">
        <f t="shared" ref="H93:H105" si="54">+IF($C93-$C$8&gt;0,get_interpolated_rate($C93-$C$8,$C$92:$C$105,F$92:F$105,COUNT(F$92:F$105)),NA())</f>
        <v>2.8870696414824941</v>
      </c>
      <c r="I93" s="29">
        <f t="shared" ref="I93:I105" si="55">100*(G93-$F93)</f>
        <v>512.31771554321233</v>
      </c>
      <c r="J93" s="29">
        <f t="shared" ref="J93:J105" si="56">100*(H93-$F93)</f>
        <v>-6.9696427873455313</v>
      </c>
      <c r="K93" s="32">
        <f t="shared" ref="K93:K105" si="57">+I93+J93</f>
        <v>505.34807275586678</v>
      </c>
      <c r="AH93" s="3"/>
    </row>
    <row r="94" spans="2:43" x14ac:dyDescent="0.25">
      <c r="C94" s="12">
        <f t="shared" si="50"/>
        <v>180</v>
      </c>
      <c r="D94" s="3">
        <f t="shared" si="51"/>
        <v>0.5</v>
      </c>
      <c r="E94" s="6">
        <f t="shared" ref="E94:E105" si="58">100*(1/AJ45-1)*(360/(AH45-$C$8))</f>
        <v>1.1254170383345752</v>
      </c>
      <c r="F94" s="9">
        <f t="shared" si="52"/>
        <v>1.6433411935276667</v>
      </c>
      <c r="G94" s="5">
        <f t="shared" si="53"/>
        <v>1.4532479175594599</v>
      </c>
      <c r="H94" s="5">
        <f t="shared" si="54"/>
        <v>2.0811494854704278</v>
      </c>
      <c r="I94" s="29">
        <f t="shared" si="55"/>
        <v>-19.009327596820679</v>
      </c>
      <c r="J94" s="29">
        <f t="shared" si="56"/>
        <v>43.780829194276109</v>
      </c>
      <c r="K94" s="32">
        <f t="shared" si="57"/>
        <v>24.77150159745543</v>
      </c>
      <c r="AH94" s="3"/>
    </row>
    <row r="95" spans="2:43" x14ac:dyDescent="0.25">
      <c r="C95" s="12">
        <f t="shared" si="50"/>
        <v>270</v>
      </c>
      <c r="D95" s="3">
        <f t="shared" si="51"/>
        <v>0.75</v>
      </c>
      <c r="E95" s="6">
        <f t="shared" si="58"/>
        <v>0.76738527365639198</v>
      </c>
      <c r="F95" s="9">
        <f t="shared" si="52"/>
        <v>1.1489620548425403</v>
      </c>
      <c r="G95" s="5">
        <f t="shared" si="53"/>
        <v>0.88672919521578641</v>
      </c>
      <c r="H95" s="6">
        <f t="shared" si="54"/>
        <v>1.3137551010709156</v>
      </c>
      <c r="I95" s="29">
        <f t="shared" si="55"/>
        <v>-26.223285962675391</v>
      </c>
      <c r="J95" s="29">
        <f t="shared" si="56"/>
        <v>16.479304622837532</v>
      </c>
      <c r="K95" s="32">
        <f t="shared" si="57"/>
        <v>-9.743981339837859</v>
      </c>
      <c r="AH95" s="3"/>
    </row>
    <row r="96" spans="2:43" x14ac:dyDescent="0.25">
      <c r="C96" s="12">
        <f t="shared" si="50"/>
        <v>360</v>
      </c>
      <c r="D96" s="3">
        <f t="shared" si="51"/>
        <v>1</v>
      </c>
      <c r="E96" s="6">
        <f t="shared" si="58"/>
        <v>0.7197861430011443</v>
      </c>
      <c r="F96" s="9">
        <f t="shared" si="52"/>
        <v>0.82851297932169776</v>
      </c>
      <c r="G96" s="5">
        <f t="shared" si="53"/>
        <v>0.73565251988622682</v>
      </c>
      <c r="H96" s="6">
        <f t="shared" si="54"/>
        <v>0.93532933782864536</v>
      </c>
      <c r="I96" s="29">
        <f t="shared" si="55"/>
        <v>-9.2860459435470943</v>
      </c>
      <c r="J96" s="29">
        <f t="shared" si="56"/>
        <v>10.681635850694759</v>
      </c>
      <c r="K96" s="32">
        <f t="shared" si="57"/>
        <v>1.3955899071476647</v>
      </c>
      <c r="AH96" s="3"/>
    </row>
    <row r="97" spans="3:11" x14ac:dyDescent="0.25">
      <c r="C97" s="12">
        <f t="shared" si="50"/>
        <v>540</v>
      </c>
      <c r="D97" s="3">
        <f t="shared" si="51"/>
        <v>1.5</v>
      </c>
      <c r="E97" s="6">
        <f t="shared" si="58"/>
        <v>0.69397241398598075</v>
      </c>
      <c r="F97" s="9">
        <f t="shared" si="52"/>
        <v>0.8220022292030279</v>
      </c>
      <c r="G97" s="5">
        <f t="shared" si="53"/>
        <v>0.69827470215517473</v>
      </c>
      <c r="H97" s="6">
        <f t="shared" si="54"/>
        <v>0.82308735422280621</v>
      </c>
      <c r="I97" s="29">
        <f t="shared" si="55"/>
        <v>-12.372752704785317</v>
      </c>
      <c r="J97" s="29">
        <f t="shared" si="56"/>
        <v>0.10851250197783102</v>
      </c>
      <c r="K97" s="32">
        <f t="shared" si="57"/>
        <v>-12.264240202807486</v>
      </c>
    </row>
    <row r="98" spans="3:11" x14ac:dyDescent="0.25">
      <c r="C98" s="12">
        <f t="shared" si="50"/>
        <v>720</v>
      </c>
      <c r="D98" s="3">
        <f t="shared" si="51"/>
        <v>2</v>
      </c>
      <c r="E98" s="6">
        <f t="shared" si="58"/>
        <v>0.58034472983570229</v>
      </c>
      <c r="F98" s="9">
        <f>+F49</f>
        <v>0.68</v>
      </c>
      <c r="G98" s="5">
        <f t="shared" si="53"/>
        <v>0.59928267719408201</v>
      </c>
      <c r="H98" s="6">
        <f t="shared" si="54"/>
        <v>0.70366703820050469</v>
      </c>
      <c r="I98" s="29">
        <f t="shared" si="55"/>
        <v>-8.071732280591803</v>
      </c>
      <c r="J98" s="29">
        <f t="shared" si="56"/>
        <v>2.3667038200504642</v>
      </c>
      <c r="K98" s="32">
        <f t="shared" si="57"/>
        <v>-5.7050284605413388</v>
      </c>
    </row>
    <row r="99" spans="3:11" x14ac:dyDescent="0.25">
      <c r="C99" s="12">
        <f t="shared" si="50"/>
        <v>1080</v>
      </c>
      <c r="D99" s="3">
        <f t="shared" si="51"/>
        <v>3</v>
      </c>
      <c r="E99" s="6">
        <f t="shared" si="58"/>
        <v>0.65788757956218191</v>
      </c>
      <c r="F99" s="9">
        <f>+F51</f>
        <v>0.78500000000000003</v>
      </c>
      <c r="G99" s="5">
        <f t="shared" si="53"/>
        <v>0.65142567541830865</v>
      </c>
      <c r="H99" s="6">
        <f t="shared" si="54"/>
        <v>0.77625</v>
      </c>
      <c r="I99" s="29">
        <f t="shared" si="55"/>
        <v>-13.357432458169139</v>
      </c>
      <c r="J99" s="29">
        <f t="shared" si="56"/>
        <v>-0.87500000000000355</v>
      </c>
      <c r="K99" s="32">
        <f t="shared" si="57"/>
        <v>-14.232432458169143</v>
      </c>
    </row>
    <row r="100" spans="3:11" x14ac:dyDescent="0.25">
      <c r="C100" s="12">
        <f t="shared" si="50"/>
        <v>1440</v>
      </c>
      <c r="D100" s="3">
        <f t="shared" si="51"/>
        <v>4</v>
      </c>
      <c r="E100" s="6">
        <f t="shared" si="58"/>
        <v>0.72291260758385134</v>
      </c>
      <c r="F100" s="9">
        <f>+F53</f>
        <v>0.83499999999999996</v>
      </c>
      <c r="G100" s="5">
        <f t="shared" si="53"/>
        <v>0.71749385524871223</v>
      </c>
      <c r="H100" s="6">
        <f t="shared" si="54"/>
        <v>0.83083333333333331</v>
      </c>
      <c r="I100" s="29">
        <f t="shared" si="55"/>
        <v>-11.750614475128774</v>
      </c>
      <c r="J100" s="29">
        <f t="shared" si="56"/>
        <v>-0.41666666666666519</v>
      </c>
      <c r="K100" s="32">
        <f t="shared" si="57"/>
        <v>-12.167281141795439</v>
      </c>
    </row>
    <row r="101" spans="3:11" x14ac:dyDescent="0.25">
      <c r="C101" s="12">
        <f t="shared" si="50"/>
        <v>1800</v>
      </c>
      <c r="D101" s="3">
        <f t="shared" si="51"/>
        <v>5</v>
      </c>
      <c r="E101" s="6">
        <f t="shared" si="58"/>
        <v>0.76025672723560223</v>
      </c>
      <c r="F101" s="9">
        <f>+F55</f>
        <v>0.9</v>
      </c>
      <c r="G101" s="5">
        <f t="shared" si="53"/>
        <v>0.75714471726462296</v>
      </c>
      <c r="H101" s="6">
        <f t="shared" si="54"/>
        <v>0.8945833333333334</v>
      </c>
      <c r="I101" s="29">
        <f t="shared" si="55"/>
        <v>-14.285528273537707</v>
      </c>
      <c r="J101" s="29">
        <f t="shared" si="56"/>
        <v>-0.54166666666666252</v>
      </c>
      <c r="K101" s="32">
        <f t="shared" si="57"/>
        <v>-14.82719494020437</v>
      </c>
    </row>
    <row r="102" spans="3:11" x14ac:dyDescent="0.25">
      <c r="C102" s="12">
        <f t="shared" si="50"/>
        <v>2160</v>
      </c>
      <c r="D102" s="3">
        <f t="shared" si="51"/>
        <v>6</v>
      </c>
      <c r="E102" s="6">
        <f t="shared" si="58"/>
        <v>0.79630058321765729</v>
      </c>
      <c r="F102" s="9">
        <f>+F57</f>
        <v>0.96499999999999997</v>
      </c>
      <c r="G102" s="5">
        <f t="shared" si="53"/>
        <v>0.79329692855248601</v>
      </c>
      <c r="H102" s="6">
        <f t="shared" si="54"/>
        <v>0.95958333333333334</v>
      </c>
      <c r="I102" s="29">
        <f t="shared" si="55"/>
        <v>-17.170307144751394</v>
      </c>
      <c r="J102" s="29">
        <f t="shared" si="56"/>
        <v>-0.54166666666666252</v>
      </c>
      <c r="K102" s="32">
        <f t="shared" si="57"/>
        <v>-17.711973811418055</v>
      </c>
    </row>
    <row r="103" spans="3:11" x14ac:dyDescent="0.25">
      <c r="C103" s="12">
        <f t="shared" si="50"/>
        <v>2520</v>
      </c>
      <c r="D103" s="3">
        <f t="shared" si="51"/>
        <v>7</v>
      </c>
      <c r="E103" s="6">
        <f t="shared" si="58"/>
        <v>0.8372940283046828</v>
      </c>
      <c r="F103" s="9">
        <f>+F59</f>
        <v>1.0249999999999999</v>
      </c>
      <c r="G103" s="5">
        <f t="shared" si="53"/>
        <v>0.83387790788076399</v>
      </c>
      <c r="H103" s="6">
        <f t="shared" si="54"/>
        <v>1.02</v>
      </c>
      <c r="I103" s="29">
        <f t="shared" si="55"/>
        <v>-19.112209211923592</v>
      </c>
      <c r="J103" s="29">
        <f t="shared" si="56"/>
        <v>-0.49999999999998934</v>
      </c>
      <c r="K103" s="32">
        <f t="shared" si="57"/>
        <v>-19.612209211923581</v>
      </c>
    </row>
    <row r="104" spans="3:11" x14ac:dyDescent="0.25">
      <c r="C104" s="12">
        <f t="shared" si="50"/>
        <v>2880</v>
      </c>
      <c r="D104" s="3">
        <f t="shared" si="51"/>
        <v>8</v>
      </c>
      <c r="E104" s="6">
        <f t="shared" si="58"/>
        <v>0.87710766167507614</v>
      </c>
      <c r="F104" s="9">
        <f>+F61</f>
        <v>1.1180000000000001</v>
      </c>
      <c r="G104" s="5">
        <f t="shared" si="53"/>
        <v>0.87378985889421001</v>
      </c>
      <c r="H104" s="6">
        <f t="shared" si="54"/>
        <v>1.1102500000000002</v>
      </c>
      <c r="I104" s="29">
        <f t="shared" si="55"/>
        <v>-24.421014110579009</v>
      </c>
      <c r="J104" s="29">
        <f t="shared" si="56"/>
        <v>-0.77499999999999236</v>
      </c>
      <c r="K104" s="32">
        <f t="shared" si="57"/>
        <v>-25.196014110579</v>
      </c>
    </row>
    <row r="105" spans="3:11" x14ac:dyDescent="0.25">
      <c r="C105" s="12">
        <f t="shared" si="50"/>
        <v>3240</v>
      </c>
      <c r="D105" s="3">
        <f t="shared" si="51"/>
        <v>9</v>
      </c>
      <c r="E105" s="6">
        <f t="shared" si="58"/>
        <v>0.91642290856100073</v>
      </c>
      <c r="F105" s="9">
        <f>+F63</f>
        <v>1.18</v>
      </c>
      <c r="G105" s="5">
        <f t="shared" si="53"/>
        <v>0.91314663798717366</v>
      </c>
      <c r="H105" s="6">
        <f t="shared" si="54"/>
        <v>1.1748333333333334</v>
      </c>
      <c r="I105" s="29">
        <f t="shared" si="55"/>
        <v>-26.685336201282627</v>
      </c>
      <c r="J105" s="29">
        <f t="shared" si="56"/>
        <v>-0.51666666666665417</v>
      </c>
      <c r="K105" s="32">
        <f t="shared" si="57"/>
        <v>-27.202002867949282</v>
      </c>
    </row>
  </sheetData>
  <mergeCells count="8">
    <mergeCell ref="AB12:AC12"/>
    <mergeCell ref="AD12:AE12"/>
    <mergeCell ref="P12:Q12"/>
    <mergeCell ref="R12:S12"/>
    <mergeCell ref="T12:U12"/>
    <mergeCell ref="V12:W12"/>
    <mergeCell ref="X12:Y12"/>
    <mergeCell ref="Z12:AA12"/>
  </mergeCells>
  <dataValidations count="1">
    <dataValidation type="list" allowBlank="1" showInputMessage="1" showErrorMessage="1" sqref="C7" xr:uid="{4BDC2C9A-96FE-4AB2-ACF7-7BD0BEAA08F2}">
      <formula1>"360,365"</formula1>
    </dataValidation>
  </dataValidations>
  <pageMargins left="0.7" right="0.7" top="0.75" bottom="0.75" header="0.3" footer="0.3"/>
  <pageSetup orientation="portrait" r:id="rId1"/>
  <ignoredErrors>
    <ignoredError sqref="E33:F33 E31:F31 E29:F29 E27:F27 E25:F25 E23:F23 E21:F21 E63 E61 E59 E57 E55:F55 E53:F53 E51:F51 E92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AE88DB-FE51-4B83-8713-1BD74B3AA4BA}">
          <x14:formula1>
            <xm:f>Holidays!G1:G2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ED4E1-86B2-4607-9E16-5C9AF165B372}">
  <sheetPr codeName="Hoja3"/>
  <dimension ref="A1:G3701"/>
  <sheetViews>
    <sheetView workbookViewId="0">
      <selection activeCell="G16" sqref="G16"/>
    </sheetView>
  </sheetViews>
  <sheetFormatPr baseColWidth="10" defaultRowHeight="15" x14ac:dyDescent="0.25"/>
  <cols>
    <col min="1" max="1" width="11.42578125" style="19"/>
    <col min="2" max="2" width="11.85546875" style="19" bestFit="1" customWidth="1"/>
    <col min="3" max="3" width="11.42578125" style="19"/>
    <col min="4" max="4" width="11.85546875" bestFit="1" customWidth="1"/>
  </cols>
  <sheetData>
    <row r="1" spans="1:7" x14ac:dyDescent="0.25">
      <c r="A1" s="19" t="s">
        <v>72</v>
      </c>
      <c r="B1" s="19" t="s">
        <v>69</v>
      </c>
      <c r="C1" s="19" t="s">
        <v>70</v>
      </c>
      <c r="D1" s="1"/>
      <c r="F1" s="19"/>
      <c r="G1" s="19" t="b">
        <f>+TRUE()</f>
        <v>1</v>
      </c>
    </row>
    <row r="2" spans="1:7" x14ac:dyDescent="0.25">
      <c r="A2" s="52">
        <f t="shared" ref="A2:A65" si="0">+$G$4+B2</f>
        <v>43461</v>
      </c>
      <c r="B2" s="53">
        <v>1</v>
      </c>
      <c r="C2" s="53">
        <v>27565.79</v>
      </c>
      <c r="D2" s="1"/>
      <c r="F2" s="19"/>
      <c r="G2" s="19" t="b">
        <f>+FALSE()</f>
        <v>0</v>
      </c>
    </row>
    <row r="3" spans="1:7" x14ac:dyDescent="0.25">
      <c r="A3" s="52">
        <f t="shared" si="0"/>
        <v>43462</v>
      </c>
      <c r="B3" s="53">
        <v>2</v>
      </c>
      <c r="C3" s="53">
        <v>27565.79</v>
      </c>
      <c r="F3" s="19"/>
      <c r="G3" s="19"/>
    </row>
    <row r="4" spans="1:7" x14ac:dyDescent="0.25">
      <c r="A4" s="52">
        <f t="shared" si="0"/>
        <v>43463</v>
      </c>
      <c r="B4" s="53">
        <v>3</v>
      </c>
      <c r="C4" s="53">
        <v>27565.79</v>
      </c>
      <c r="F4" s="19" t="s">
        <v>71</v>
      </c>
      <c r="G4" s="52">
        <v>43460</v>
      </c>
    </row>
    <row r="5" spans="1:7" x14ac:dyDescent="0.25">
      <c r="A5" s="52">
        <f t="shared" si="0"/>
        <v>43464</v>
      </c>
      <c r="B5" s="53">
        <v>4</v>
      </c>
      <c r="C5" s="53">
        <v>27565.79</v>
      </c>
      <c r="F5" s="19" t="s">
        <v>53</v>
      </c>
      <c r="G5" s="19">
        <v>27565.79</v>
      </c>
    </row>
    <row r="6" spans="1:7" x14ac:dyDescent="0.25">
      <c r="A6" s="52">
        <f t="shared" si="0"/>
        <v>43465</v>
      </c>
      <c r="B6" s="53">
        <v>5</v>
      </c>
      <c r="C6" s="53">
        <v>27565.79</v>
      </c>
    </row>
    <row r="7" spans="1:7" x14ac:dyDescent="0.25">
      <c r="A7" s="52">
        <f t="shared" si="0"/>
        <v>43466</v>
      </c>
      <c r="B7" s="53">
        <v>6</v>
      </c>
      <c r="C7" s="53">
        <v>27565.79</v>
      </c>
    </row>
    <row r="8" spans="1:7" x14ac:dyDescent="0.25">
      <c r="A8" s="52">
        <f t="shared" si="0"/>
        <v>43467</v>
      </c>
      <c r="B8" s="53">
        <v>7</v>
      </c>
      <c r="C8" s="53">
        <v>27565.79</v>
      </c>
    </row>
    <row r="9" spans="1:7" x14ac:dyDescent="0.25">
      <c r="A9" s="52">
        <f t="shared" si="0"/>
        <v>43468</v>
      </c>
      <c r="B9" s="53">
        <v>8</v>
      </c>
      <c r="C9" s="53">
        <v>27565.79</v>
      </c>
    </row>
    <row r="10" spans="1:7" x14ac:dyDescent="0.25">
      <c r="A10" s="52">
        <f t="shared" si="0"/>
        <v>43469</v>
      </c>
      <c r="B10" s="53">
        <v>9</v>
      </c>
      <c r="C10" s="53">
        <v>27565.79</v>
      </c>
    </row>
    <row r="11" spans="1:7" x14ac:dyDescent="0.25">
      <c r="A11" s="52">
        <f t="shared" si="0"/>
        <v>43470</v>
      </c>
      <c r="B11" s="53">
        <v>10</v>
      </c>
      <c r="C11" s="53">
        <v>27565.79</v>
      </c>
    </row>
    <row r="12" spans="1:7" x14ac:dyDescent="0.25">
      <c r="A12" s="52">
        <f t="shared" si="0"/>
        <v>43471</v>
      </c>
      <c r="B12" s="53">
        <v>11</v>
      </c>
      <c r="C12" s="53">
        <v>27565.79</v>
      </c>
    </row>
    <row r="13" spans="1:7" x14ac:dyDescent="0.25">
      <c r="A13" s="52">
        <f t="shared" si="0"/>
        <v>43472</v>
      </c>
      <c r="B13" s="53">
        <v>12</v>
      </c>
      <c r="C13" s="53">
        <v>27565.79</v>
      </c>
    </row>
    <row r="14" spans="1:7" x14ac:dyDescent="0.25">
      <c r="A14" s="52">
        <f t="shared" si="0"/>
        <v>43473</v>
      </c>
      <c r="B14" s="53">
        <v>13</v>
      </c>
      <c r="C14" s="53">
        <v>27565.79</v>
      </c>
    </row>
    <row r="15" spans="1:7" x14ac:dyDescent="0.25">
      <c r="A15" s="52">
        <f t="shared" si="0"/>
        <v>43474</v>
      </c>
      <c r="B15" s="53">
        <v>14</v>
      </c>
      <c r="C15" s="53">
        <v>27565.79</v>
      </c>
    </row>
    <row r="16" spans="1:7" x14ac:dyDescent="0.25">
      <c r="A16" s="52">
        <f t="shared" si="0"/>
        <v>43475</v>
      </c>
      <c r="B16" s="53">
        <v>15</v>
      </c>
      <c r="C16" s="53">
        <v>27564.8632</v>
      </c>
    </row>
    <row r="17" spans="1:3" x14ac:dyDescent="0.25">
      <c r="A17" s="52">
        <f t="shared" si="0"/>
        <v>43476</v>
      </c>
      <c r="B17" s="53">
        <v>16</v>
      </c>
      <c r="C17" s="53">
        <v>27563.9365</v>
      </c>
    </row>
    <row r="18" spans="1:3" x14ac:dyDescent="0.25">
      <c r="A18" s="52">
        <f t="shared" si="0"/>
        <v>43477</v>
      </c>
      <c r="B18" s="53">
        <v>17</v>
      </c>
      <c r="C18" s="53">
        <v>27563.009699999999</v>
      </c>
    </row>
    <row r="19" spans="1:3" x14ac:dyDescent="0.25">
      <c r="A19" s="52">
        <f t="shared" si="0"/>
        <v>43478</v>
      </c>
      <c r="B19" s="53">
        <v>18</v>
      </c>
      <c r="C19" s="53">
        <v>27562.082999999999</v>
      </c>
    </row>
    <row r="20" spans="1:3" x14ac:dyDescent="0.25">
      <c r="A20" s="52">
        <f t="shared" si="0"/>
        <v>43479</v>
      </c>
      <c r="B20" s="53">
        <v>19</v>
      </c>
      <c r="C20" s="53">
        <v>27561.1564</v>
      </c>
    </row>
    <row r="21" spans="1:3" x14ac:dyDescent="0.25">
      <c r="A21" s="52">
        <f t="shared" si="0"/>
        <v>43480</v>
      </c>
      <c r="B21" s="53">
        <v>20</v>
      </c>
      <c r="C21" s="53">
        <v>27560.229800000001</v>
      </c>
    </row>
    <row r="22" spans="1:3" x14ac:dyDescent="0.25">
      <c r="A22" s="52">
        <f t="shared" si="0"/>
        <v>43481</v>
      </c>
      <c r="B22" s="53">
        <v>21</v>
      </c>
      <c r="C22" s="53">
        <v>27559.303199999998</v>
      </c>
    </row>
    <row r="23" spans="1:3" x14ac:dyDescent="0.25">
      <c r="A23" s="52">
        <f t="shared" si="0"/>
        <v>43482</v>
      </c>
      <c r="B23" s="53">
        <v>22</v>
      </c>
      <c r="C23" s="53">
        <v>27558.3766</v>
      </c>
    </row>
    <row r="24" spans="1:3" x14ac:dyDescent="0.25">
      <c r="A24" s="52">
        <f t="shared" si="0"/>
        <v>43483</v>
      </c>
      <c r="B24" s="53">
        <v>23</v>
      </c>
      <c r="C24" s="53">
        <v>27557.450099999998</v>
      </c>
    </row>
    <row r="25" spans="1:3" x14ac:dyDescent="0.25">
      <c r="A25" s="52">
        <f t="shared" si="0"/>
        <v>43484</v>
      </c>
      <c r="B25" s="53">
        <v>24</v>
      </c>
      <c r="C25" s="53">
        <v>27556.5236</v>
      </c>
    </row>
    <row r="26" spans="1:3" x14ac:dyDescent="0.25">
      <c r="A26" s="52">
        <f t="shared" si="0"/>
        <v>43485</v>
      </c>
      <c r="B26" s="53">
        <v>25</v>
      </c>
      <c r="C26" s="53">
        <v>27555.597099999999</v>
      </c>
    </row>
    <row r="27" spans="1:3" x14ac:dyDescent="0.25">
      <c r="A27" s="52">
        <f t="shared" si="0"/>
        <v>43486</v>
      </c>
      <c r="B27" s="53">
        <v>26</v>
      </c>
      <c r="C27" s="53">
        <v>27554.670600000001</v>
      </c>
    </row>
    <row r="28" spans="1:3" x14ac:dyDescent="0.25">
      <c r="A28" s="52">
        <f t="shared" si="0"/>
        <v>43487</v>
      </c>
      <c r="B28" s="53">
        <v>27</v>
      </c>
      <c r="C28" s="53">
        <v>27553.744200000001</v>
      </c>
    </row>
    <row r="29" spans="1:3" x14ac:dyDescent="0.25">
      <c r="A29" s="52">
        <f t="shared" si="0"/>
        <v>43488</v>
      </c>
      <c r="B29" s="53">
        <v>28</v>
      </c>
      <c r="C29" s="53">
        <v>27552.817800000001</v>
      </c>
    </row>
    <row r="30" spans="1:3" x14ac:dyDescent="0.25">
      <c r="A30" s="52">
        <f t="shared" si="0"/>
        <v>43489</v>
      </c>
      <c r="B30" s="53">
        <v>29</v>
      </c>
      <c r="C30" s="53">
        <v>27551.891500000002</v>
      </c>
    </row>
    <row r="31" spans="1:3" x14ac:dyDescent="0.25">
      <c r="A31" s="52">
        <f t="shared" si="0"/>
        <v>43490</v>
      </c>
      <c r="B31" s="53">
        <v>30</v>
      </c>
      <c r="C31" s="53">
        <v>27550.965199999999</v>
      </c>
    </row>
    <row r="32" spans="1:3" x14ac:dyDescent="0.25">
      <c r="A32" s="52">
        <f t="shared" si="0"/>
        <v>43491</v>
      </c>
      <c r="B32" s="53">
        <v>31</v>
      </c>
      <c r="C32" s="53">
        <v>27550.0389</v>
      </c>
    </row>
    <row r="33" spans="1:3" x14ac:dyDescent="0.25">
      <c r="A33" s="52">
        <f t="shared" si="0"/>
        <v>43492</v>
      </c>
      <c r="B33" s="53">
        <v>32</v>
      </c>
      <c r="C33" s="53">
        <v>27549.1126</v>
      </c>
    </row>
    <row r="34" spans="1:3" x14ac:dyDescent="0.25">
      <c r="A34" s="52">
        <f t="shared" si="0"/>
        <v>43493</v>
      </c>
      <c r="B34" s="53">
        <v>33</v>
      </c>
      <c r="C34" s="53">
        <v>27548.186399999999</v>
      </c>
    </row>
    <row r="35" spans="1:3" x14ac:dyDescent="0.25">
      <c r="A35" s="52">
        <f t="shared" si="0"/>
        <v>43494</v>
      </c>
      <c r="B35" s="53">
        <v>34</v>
      </c>
      <c r="C35" s="53">
        <v>27547.260200000001</v>
      </c>
    </row>
    <row r="36" spans="1:3" x14ac:dyDescent="0.25">
      <c r="A36" s="52">
        <f t="shared" si="0"/>
        <v>43495</v>
      </c>
      <c r="B36" s="53">
        <v>35</v>
      </c>
      <c r="C36" s="53">
        <v>27546.3341</v>
      </c>
    </row>
    <row r="37" spans="1:3" x14ac:dyDescent="0.25">
      <c r="A37" s="52">
        <f t="shared" si="0"/>
        <v>43496</v>
      </c>
      <c r="B37" s="53">
        <v>36</v>
      </c>
      <c r="C37" s="53">
        <v>27545.407899999998</v>
      </c>
    </row>
    <row r="38" spans="1:3" x14ac:dyDescent="0.25">
      <c r="A38" s="52">
        <f t="shared" si="0"/>
        <v>43497</v>
      </c>
      <c r="B38" s="53">
        <v>37</v>
      </c>
      <c r="C38" s="53">
        <v>27544.481800000001</v>
      </c>
    </row>
    <row r="39" spans="1:3" x14ac:dyDescent="0.25">
      <c r="A39" s="52">
        <f t="shared" si="0"/>
        <v>43498</v>
      </c>
      <c r="B39" s="53">
        <v>38</v>
      </c>
      <c r="C39" s="53">
        <v>27543.555799999998</v>
      </c>
    </row>
    <row r="40" spans="1:3" x14ac:dyDescent="0.25">
      <c r="A40" s="52">
        <f t="shared" si="0"/>
        <v>43499</v>
      </c>
      <c r="B40" s="53">
        <v>39</v>
      </c>
      <c r="C40" s="53">
        <v>27542.629700000001</v>
      </c>
    </row>
    <row r="41" spans="1:3" x14ac:dyDescent="0.25">
      <c r="A41" s="52">
        <f t="shared" si="0"/>
        <v>43500</v>
      </c>
      <c r="B41" s="53">
        <v>40</v>
      </c>
      <c r="C41" s="53">
        <v>27541.703699999998</v>
      </c>
    </row>
    <row r="42" spans="1:3" x14ac:dyDescent="0.25">
      <c r="A42" s="52">
        <f t="shared" si="0"/>
        <v>43501</v>
      </c>
      <c r="B42" s="53">
        <v>41</v>
      </c>
      <c r="C42" s="53">
        <v>27540.777699999999</v>
      </c>
    </row>
    <row r="43" spans="1:3" x14ac:dyDescent="0.25">
      <c r="A43" s="52">
        <f t="shared" si="0"/>
        <v>43502</v>
      </c>
      <c r="B43" s="53">
        <v>42</v>
      </c>
      <c r="C43" s="53">
        <v>27539.8518</v>
      </c>
    </row>
    <row r="44" spans="1:3" x14ac:dyDescent="0.25">
      <c r="A44" s="52">
        <f t="shared" si="0"/>
        <v>43503</v>
      </c>
      <c r="B44" s="53">
        <v>43</v>
      </c>
      <c r="C44" s="53">
        <v>27538.925899999998</v>
      </c>
    </row>
    <row r="45" spans="1:3" x14ac:dyDescent="0.25">
      <c r="A45" s="52">
        <f t="shared" si="0"/>
        <v>43504</v>
      </c>
      <c r="B45" s="53">
        <v>44</v>
      </c>
      <c r="C45" s="53">
        <v>27538</v>
      </c>
    </row>
    <row r="46" spans="1:3" x14ac:dyDescent="0.25">
      <c r="A46" s="52">
        <f t="shared" si="0"/>
        <v>43505</v>
      </c>
      <c r="B46" s="53">
        <v>45</v>
      </c>
      <c r="C46" s="53">
        <v>27538.607</v>
      </c>
    </row>
    <row r="47" spans="1:3" x14ac:dyDescent="0.25">
      <c r="A47" s="52">
        <f t="shared" si="0"/>
        <v>43506</v>
      </c>
      <c r="B47" s="53">
        <v>46</v>
      </c>
      <c r="C47" s="53">
        <v>27539.213899999999</v>
      </c>
    </row>
    <row r="48" spans="1:3" x14ac:dyDescent="0.25">
      <c r="A48" s="52">
        <f t="shared" si="0"/>
        <v>43507</v>
      </c>
      <c r="B48" s="53">
        <v>47</v>
      </c>
      <c r="C48" s="53">
        <v>27539.820899999999</v>
      </c>
    </row>
    <row r="49" spans="1:3" x14ac:dyDescent="0.25">
      <c r="A49" s="52">
        <f t="shared" si="0"/>
        <v>43508</v>
      </c>
      <c r="B49" s="53">
        <v>48</v>
      </c>
      <c r="C49" s="53">
        <v>27540.427899999999</v>
      </c>
    </row>
    <row r="50" spans="1:3" x14ac:dyDescent="0.25">
      <c r="A50" s="52">
        <f t="shared" si="0"/>
        <v>43509</v>
      </c>
      <c r="B50" s="53">
        <v>49</v>
      </c>
      <c r="C50" s="53">
        <v>27541.034899999999</v>
      </c>
    </row>
    <row r="51" spans="1:3" x14ac:dyDescent="0.25">
      <c r="A51" s="52">
        <f t="shared" si="0"/>
        <v>43510</v>
      </c>
      <c r="B51" s="53">
        <v>50</v>
      </c>
      <c r="C51" s="53">
        <v>27541.642</v>
      </c>
    </row>
    <row r="52" spans="1:3" x14ac:dyDescent="0.25">
      <c r="A52" s="52">
        <f t="shared" si="0"/>
        <v>43511</v>
      </c>
      <c r="B52" s="53">
        <v>51</v>
      </c>
      <c r="C52" s="53">
        <v>27542.249</v>
      </c>
    </row>
    <row r="53" spans="1:3" x14ac:dyDescent="0.25">
      <c r="A53" s="52">
        <f t="shared" si="0"/>
        <v>43512</v>
      </c>
      <c r="B53" s="53">
        <v>52</v>
      </c>
      <c r="C53" s="53">
        <v>27542.856100000001</v>
      </c>
    </row>
    <row r="54" spans="1:3" x14ac:dyDescent="0.25">
      <c r="A54" s="52">
        <f t="shared" si="0"/>
        <v>43513</v>
      </c>
      <c r="B54" s="53">
        <v>53</v>
      </c>
      <c r="C54" s="53">
        <v>27543.463100000001</v>
      </c>
    </row>
    <row r="55" spans="1:3" x14ac:dyDescent="0.25">
      <c r="A55" s="52">
        <f t="shared" si="0"/>
        <v>43514</v>
      </c>
      <c r="B55" s="53">
        <v>54</v>
      </c>
      <c r="C55" s="53">
        <v>27544.070199999998</v>
      </c>
    </row>
    <row r="56" spans="1:3" x14ac:dyDescent="0.25">
      <c r="A56" s="52">
        <f t="shared" si="0"/>
        <v>43515</v>
      </c>
      <c r="B56" s="53">
        <v>55</v>
      </c>
      <c r="C56" s="53">
        <v>27544.677299999999</v>
      </c>
    </row>
    <row r="57" spans="1:3" x14ac:dyDescent="0.25">
      <c r="A57" s="52">
        <f t="shared" si="0"/>
        <v>43516</v>
      </c>
      <c r="B57" s="53">
        <v>56</v>
      </c>
      <c r="C57" s="53">
        <v>27545.2844</v>
      </c>
    </row>
    <row r="58" spans="1:3" x14ac:dyDescent="0.25">
      <c r="A58" s="52">
        <f t="shared" si="0"/>
        <v>43517</v>
      </c>
      <c r="B58" s="53">
        <v>57</v>
      </c>
      <c r="C58" s="53">
        <v>27545.891599999999</v>
      </c>
    </row>
    <row r="59" spans="1:3" x14ac:dyDescent="0.25">
      <c r="A59" s="52">
        <f t="shared" si="0"/>
        <v>43518</v>
      </c>
      <c r="B59" s="53">
        <v>58</v>
      </c>
      <c r="C59" s="53">
        <v>27546.4987</v>
      </c>
    </row>
    <row r="60" spans="1:3" x14ac:dyDescent="0.25">
      <c r="A60" s="52">
        <f t="shared" si="0"/>
        <v>43519</v>
      </c>
      <c r="B60" s="53">
        <v>59</v>
      </c>
      <c r="C60" s="53">
        <v>27547.105800000001</v>
      </c>
    </row>
    <row r="61" spans="1:3" x14ac:dyDescent="0.25">
      <c r="A61" s="52">
        <f t="shared" si="0"/>
        <v>43520</v>
      </c>
      <c r="B61" s="53">
        <v>60</v>
      </c>
      <c r="C61" s="53">
        <v>27547.713</v>
      </c>
    </row>
    <row r="62" spans="1:3" x14ac:dyDescent="0.25">
      <c r="A62" s="52">
        <f t="shared" si="0"/>
        <v>43521</v>
      </c>
      <c r="B62" s="53">
        <v>61</v>
      </c>
      <c r="C62" s="53">
        <v>27548.320199999998</v>
      </c>
    </row>
    <row r="63" spans="1:3" x14ac:dyDescent="0.25">
      <c r="A63" s="52">
        <f t="shared" si="0"/>
        <v>43522</v>
      </c>
      <c r="B63" s="53">
        <v>62</v>
      </c>
      <c r="C63" s="53">
        <v>27548.9274</v>
      </c>
    </row>
    <row r="64" spans="1:3" x14ac:dyDescent="0.25">
      <c r="A64" s="52">
        <f t="shared" si="0"/>
        <v>43523</v>
      </c>
      <c r="B64" s="53">
        <v>63</v>
      </c>
      <c r="C64" s="53">
        <v>27549.534599999999</v>
      </c>
    </row>
    <row r="65" spans="1:3" x14ac:dyDescent="0.25">
      <c r="A65" s="52">
        <f t="shared" si="0"/>
        <v>43524</v>
      </c>
      <c r="B65" s="53">
        <v>64</v>
      </c>
      <c r="C65" s="53">
        <v>27550.141800000001</v>
      </c>
    </row>
    <row r="66" spans="1:3" x14ac:dyDescent="0.25">
      <c r="A66" s="52">
        <f t="shared" ref="A66:A129" si="1">+$G$4+B66</f>
        <v>43525</v>
      </c>
      <c r="B66" s="53">
        <v>65</v>
      </c>
      <c r="C66" s="53">
        <v>27550.749</v>
      </c>
    </row>
    <row r="67" spans="1:3" x14ac:dyDescent="0.25">
      <c r="A67" s="52">
        <f t="shared" si="1"/>
        <v>43526</v>
      </c>
      <c r="B67" s="53">
        <v>66</v>
      </c>
      <c r="C67" s="53">
        <v>27551.356299999999</v>
      </c>
    </row>
    <row r="68" spans="1:3" x14ac:dyDescent="0.25">
      <c r="A68" s="52">
        <f t="shared" si="1"/>
        <v>43527</v>
      </c>
      <c r="B68" s="53">
        <v>67</v>
      </c>
      <c r="C68" s="53">
        <v>27551.963500000002</v>
      </c>
    </row>
    <row r="69" spans="1:3" x14ac:dyDescent="0.25">
      <c r="A69" s="52">
        <f t="shared" si="1"/>
        <v>43528</v>
      </c>
      <c r="B69" s="53">
        <v>68</v>
      </c>
      <c r="C69" s="53">
        <v>27552.570800000001</v>
      </c>
    </row>
    <row r="70" spans="1:3" x14ac:dyDescent="0.25">
      <c r="A70" s="52">
        <f t="shared" si="1"/>
        <v>43529</v>
      </c>
      <c r="B70" s="53">
        <v>69</v>
      </c>
      <c r="C70" s="53">
        <v>27553.178100000001</v>
      </c>
    </row>
    <row r="71" spans="1:3" x14ac:dyDescent="0.25">
      <c r="A71" s="52">
        <f t="shared" si="1"/>
        <v>43530</v>
      </c>
      <c r="B71" s="53">
        <v>70</v>
      </c>
      <c r="C71" s="53">
        <v>27553.785400000001</v>
      </c>
    </row>
    <row r="72" spans="1:3" x14ac:dyDescent="0.25">
      <c r="A72" s="52">
        <f t="shared" si="1"/>
        <v>43531</v>
      </c>
      <c r="B72" s="53">
        <v>71</v>
      </c>
      <c r="C72" s="53">
        <v>27554.3927</v>
      </c>
    </row>
    <row r="73" spans="1:3" x14ac:dyDescent="0.25">
      <c r="A73" s="52">
        <f t="shared" si="1"/>
        <v>43532</v>
      </c>
      <c r="B73" s="53">
        <v>72</v>
      </c>
      <c r="C73" s="53">
        <v>27555</v>
      </c>
    </row>
    <row r="74" spans="1:3" x14ac:dyDescent="0.25">
      <c r="A74" s="52">
        <f t="shared" si="1"/>
        <v>43533</v>
      </c>
      <c r="B74" s="53">
        <v>73</v>
      </c>
      <c r="C74" s="53">
        <v>27555.281200000001</v>
      </c>
    </row>
    <row r="75" spans="1:3" x14ac:dyDescent="0.25">
      <c r="A75" s="52">
        <f t="shared" si="1"/>
        <v>43534</v>
      </c>
      <c r="B75" s="53">
        <v>74</v>
      </c>
      <c r="C75" s="53">
        <v>27555.562399999999</v>
      </c>
    </row>
    <row r="76" spans="1:3" x14ac:dyDescent="0.25">
      <c r="A76" s="52">
        <f t="shared" si="1"/>
        <v>43535</v>
      </c>
      <c r="B76" s="53">
        <v>75</v>
      </c>
      <c r="C76" s="53">
        <v>27555.8436</v>
      </c>
    </row>
    <row r="77" spans="1:3" x14ac:dyDescent="0.25">
      <c r="A77" s="52">
        <f t="shared" si="1"/>
        <v>43536</v>
      </c>
      <c r="B77" s="53">
        <v>76</v>
      </c>
      <c r="C77" s="53">
        <v>27556.124800000001</v>
      </c>
    </row>
    <row r="78" spans="1:3" x14ac:dyDescent="0.25">
      <c r="A78" s="52">
        <f t="shared" si="1"/>
        <v>43537</v>
      </c>
      <c r="B78" s="53">
        <v>77</v>
      </c>
      <c r="C78" s="53">
        <v>27556.4061</v>
      </c>
    </row>
    <row r="79" spans="1:3" x14ac:dyDescent="0.25">
      <c r="A79" s="52">
        <f t="shared" si="1"/>
        <v>43538</v>
      </c>
      <c r="B79" s="53">
        <v>78</v>
      </c>
      <c r="C79" s="53">
        <v>27556.687300000001</v>
      </c>
    </row>
    <row r="80" spans="1:3" x14ac:dyDescent="0.25">
      <c r="A80" s="52">
        <f t="shared" si="1"/>
        <v>43539</v>
      </c>
      <c r="B80" s="53">
        <v>79</v>
      </c>
      <c r="C80" s="53">
        <v>27556.968499999999</v>
      </c>
    </row>
    <row r="81" spans="1:3" x14ac:dyDescent="0.25">
      <c r="A81" s="52">
        <f t="shared" si="1"/>
        <v>43540</v>
      </c>
      <c r="B81" s="53">
        <v>80</v>
      </c>
      <c r="C81" s="53">
        <v>27557.2497</v>
      </c>
    </row>
    <row r="82" spans="1:3" x14ac:dyDescent="0.25">
      <c r="A82" s="52">
        <f t="shared" si="1"/>
        <v>43541</v>
      </c>
      <c r="B82" s="53">
        <v>81</v>
      </c>
      <c r="C82" s="53">
        <v>27557.530999999999</v>
      </c>
    </row>
    <row r="83" spans="1:3" x14ac:dyDescent="0.25">
      <c r="A83" s="52">
        <f t="shared" si="1"/>
        <v>43542</v>
      </c>
      <c r="B83" s="53">
        <v>82</v>
      </c>
      <c r="C83" s="53">
        <v>27557.8122</v>
      </c>
    </row>
    <row r="84" spans="1:3" x14ac:dyDescent="0.25">
      <c r="A84" s="52">
        <f t="shared" si="1"/>
        <v>43543</v>
      </c>
      <c r="B84" s="53">
        <v>83</v>
      </c>
      <c r="C84" s="53">
        <v>27558.093400000002</v>
      </c>
    </row>
    <row r="85" spans="1:3" x14ac:dyDescent="0.25">
      <c r="A85" s="52">
        <f t="shared" si="1"/>
        <v>43544</v>
      </c>
      <c r="B85" s="53">
        <v>84</v>
      </c>
      <c r="C85" s="53">
        <v>27558.3747</v>
      </c>
    </row>
    <row r="86" spans="1:3" x14ac:dyDescent="0.25">
      <c r="A86" s="52">
        <f t="shared" si="1"/>
        <v>43545</v>
      </c>
      <c r="B86" s="53">
        <v>85</v>
      </c>
      <c r="C86" s="53">
        <v>27558.655900000002</v>
      </c>
    </row>
    <row r="87" spans="1:3" x14ac:dyDescent="0.25">
      <c r="A87" s="52">
        <f t="shared" si="1"/>
        <v>43546</v>
      </c>
      <c r="B87" s="53">
        <v>86</v>
      </c>
      <c r="C87" s="53">
        <v>27558.937099999999</v>
      </c>
    </row>
    <row r="88" spans="1:3" x14ac:dyDescent="0.25">
      <c r="A88" s="52">
        <f t="shared" si="1"/>
        <v>43547</v>
      </c>
      <c r="B88" s="53">
        <v>87</v>
      </c>
      <c r="C88" s="53">
        <v>27559.218400000002</v>
      </c>
    </row>
    <row r="89" spans="1:3" x14ac:dyDescent="0.25">
      <c r="A89" s="52">
        <f t="shared" si="1"/>
        <v>43548</v>
      </c>
      <c r="B89" s="53">
        <v>88</v>
      </c>
      <c r="C89" s="53">
        <v>27559.499599999999</v>
      </c>
    </row>
    <row r="90" spans="1:3" x14ac:dyDescent="0.25">
      <c r="A90" s="52">
        <f t="shared" si="1"/>
        <v>43549</v>
      </c>
      <c r="B90" s="53">
        <v>89</v>
      </c>
      <c r="C90" s="53">
        <v>27559.780900000002</v>
      </c>
    </row>
    <row r="91" spans="1:3" x14ac:dyDescent="0.25">
      <c r="A91" s="52">
        <f t="shared" si="1"/>
        <v>43550</v>
      </c>
      <c r="B91" s="53">
        <v>90</v>
      </c>
      <c r="C91" s="53">
        <v>27560.062099999999</v>
      </c>
    </row>
    <row r="92" spans="1:3" x14ac:dyDescent="0.25">
      <c r="A92" s="52">
        <f t="shared" si="1"/>
        <v>43551</v>
      </c>
      <c r="B92" s="53">
        <v>91</v>
      </c>
      <c r="C92" s="53">
        <v>27560.343400000002</v>
      </c>
    </row>
    <row r="93" spans="1:3" x14ac:dyDescent="0.25">
      <c r="A93" s="52">
        <f t="shared" si="1"/>
        <v>43552</v>
      </c>
      <c r="B93" s="53">
        <v>92</v>
      </c>
      <c r="C93" s="53">
        <v>27560.6247</v>
      </c>
    </row>
    <row r="94" spans="1:3" x14ac:dyDescent="0.25">
      <c r="A94" s="52">
        <f t="shared" si="1"/>
        <v>43553</v>
      </c>
      <c r="B94" s="53">
        <v>93</v>
      </c>
      <c r="C94" s="53">
        <v>27560.905900000002</v>
      </c>
    </row>
    <row r="95" spans="1:3" x14ac:dyDescent="0.25">
      <c r="A95" s="52">
        <f t="shared" si="1"/>
        <v>43554</v>
      </c>
      <c r="B95" s="53">
        <v>94</v>
      </c>
      <c r="C95" s="53">
        <v>27561.1872</v>
      </c>
    </row>
    <row r="96" spans="1:3" x14ac:dyDescent="0.25">
      <c r="A96" s="52">
        <f t="shared" si="1"/>
        <v>43555</v>
      </c>
      <c r="B96" s="53">
        <v>95</v>
      </c>
      <c r="C96" s="53">
        <v>27561.468499999999</v>
      </c>
    </row>
    <row r="97" spans="1:3" x14ac:dyDescent="0.25">
      <c r="A97" s="52">
        <f t="shared" si="1"/>
        <v>43556</v>
      </c>
      <c r="B97" s="53">
        <v>96</v>
      </c>
      <c r="C97" s="53">
        <v>27561.7497</v>
      </c>
    </row>
    <row r="98" spans="1:3" x14ac:dyDescent="0.25">
      <c r="A98" s="52">
        <f t="shared" si="1"/>
        <v>43557</v>
      </c>
      <c r="B98" s="53">
        <v>97</v>
      </c>
      <c r="C98" s="53">
        <v>27562.030999999999</v>
      </c>
    </row>
    <row r="99" spans="1:3" x14ac:dyDescent="0.25">
      <c r="A99" s="52">
        <f t="shared" si="1"/>
        <v>43558</v>
      </c>
      <c r="B99" s="53">
        <v>98</v>
      </c>
      <c r="C99" s="53">
        <v>27562.312300000001</v>
      </c>
    </row>
    <row r="100" spans="1:3" x14ac:dyDescent="0.25">
      <c r="A100" s="52">
        <f t="shared" si="1"/>
        <v>43559</v>
      </c>
      <c r="B100" s="53">
        <v>99</v>
      </c>
      <c r="C100" s="53">
        <v>27562.5936</v>
      </c>
    </row>
    <row r="101" spans="1:3" x14ac:dyDescent="0.25">
      <c r="A101" s="52">
        <f t="shared" si="1"/>
        <v>43560</v>
      </c>
      <c r="B101" s="53">
        <v>100</v>
      </c>
      <c r="C101" s="53">
        <v>27562.874800000001</v>
      </c>
    </row>
    <row r="102" spans="1:3" x14ac:dyDescent="0.25">
      <c r="A102" s="52">
        <f t="shared" si="1"/>
        <v>43561</v>
      </c>
      <c r="B102" s="53">
        <v>101</v>
      </c>
      <c r="C102" s="53">
        <v>27563.1561</v>
      </c>
    </row>
    <row r="103" spans="1:3" x14ac:dyDescent="0.25">
      <c r="A103" s="52">
        <f t="shared" si="1"/>
        <v>43562</v>
      </c>
      <c r="B103" s="53">
        <v>102</v>
      </c>
      <c r="C103" s="53">
        <v>27563.437399999999</v>
      </c>
    </row>
    <row r="104" spans="1:3" x14ac:dyDescent="0.25">
      <c r="A104" s="52">
        <f t="shared" si="1"/>
        <v>43563</v>
      </c>
      <c r="B104" s="53">
        <v>103</v>
      </c>
      <c r="C104" s="53">
        <v>27563.718700000001</v>
      </c>
    </row>
    <row r="105" spans="1:3" x14ac:dyDescent="0.25">
      <c r="A105" s="52">
        <f t="shared" si="1"/>
        <v>43564</v>
      </c>
      <c r="B105" s="53">
        <v>104</v>
      </c>
      <c r="C105" s="53">
        <v>27564</v>
      </c>
    </row>
    <row r="106" spans="1:3" x14ac:dyDescent="0.25">
      <c r="A106" s="52">
        <f t="shared" si="1"/>
        <v>43565</v>
      </c>
      <c r="B106" s="53">
        <v>105</v>
      </c>
      <c r="C106" s="53">
        <v>27566.795900000001</v>
      </c>
    </row>
    <row r="107" spans="1:3" x14ac:dyDescent="0.25">
      <c r="A107" s="52">
        <f t="shared" si="1"/>
        <v>43566</v>
      </c>
      <c r="B107" s="53">
        <v>106</v>
      </c>
      <c r="C107" s="53">
        <v>27569.592100000002</v>
      </c>
    </row>
    <row r="108" spans="1:3" x14ac:dyDescent="0.25">
      <c r="A108" s="52">
        <f t="shared" si="1"/>
        <v>43567</v>
      </c>
      <c r="B108" s="53">
        <v>107</v>
      </c>
      <c r="C108" s="53">
        <v>27572.388500000001</v>
      </c>
    </row>
    <row r="109" spans="1:3" x14ac:dyDescent="0.25">
      <c r="A109" s="52">
        <f t="shared" si="1"/>
        <v>43568</v>
      </c>
      <c r="B109" s="53">
        <v>108</v>
      </c>
      <c r="C109" s="53">
        <v>27575.1852</v>
      </c>
    </row>
    <row r="110" spans="1:3" x14ac:dyDescent="0.25">
      <c r="A110" s="52">
        <f t="shared" si="1"/>
        <v>43569</v>
      </c>
      <c r="B110" s="53">
        <v>109</v>
      </c>
      <c r="C110" s="53">
        <v>27577.9823</v>
      </c>
    </row>
    <row r="111" spans="1:3" x14ac:dyDescent="0.25">
      <c r="A111" s="52">
        <f t="shared" si="1"/>
        <v>43570</v>
      </c>
      <c r="B111" s="53">
        <v>110</v>
      </c>
      <c r="C111" s="53">
        <v>27580.779600000002</v>
      </c>
    </row>
    <row r="112" spans="1:3" x14ac:dyDescent="0.25">
      <c r="A112" s="52">
        <f t="shared" si="1"/>
        <v>43571</v>
      </c>
      <c r="B112" s="53">
        <v>111</v>
      </c>
      <c r="C112" s="53">
        <v>27583.577099999999</v>
      </c>
    </row>
    <row r="113" spans="1:3" x14ac:dyDescent="0.25">
      <c r="A113" s="52">
        <f t="shared" si="1"/>
        <v>43572</v>
      </c>
      <c r="B113" s="53">
        <v>112</v>
      </c>
      <c r="C113" s="53">
        <v>27586.375</v>
      </c>
    </row>
    <row r="114" spans="1:3" x14ac:dyDescent="0.25">
      <c r="A114" s="52">
        <f t="shared" si="1"/>
        <v>43573</v>
      </c>
      <c r="B114" s="53">
        <v>113</v>
      </c>
      <c r="C114" s="53">
        <v>27589.173200000001</v>
      </c>
    </row>
    <row r="115" spans="1:3" x14ac:dyDescent="0.25">
      <c r="A115" s="52">
        <f t="shared" si="1"/>
        <v>43574</v>
      </c>
      <c r="B115" s="53">
        <v>114</v>
      </c>
      <c r="C115" s="53">
        <v>27591.971600000001</v>
      </c>
    </row>
    <row r="116" spans="1:3" x14ac:dyDescent="0.25">
      <c r="A116" s="52">
        <f t="shared" si="1"/>
        <v>43575</v>
      </c>
      <c r="B116" s="53">
        <v>115</v>
      </c>
      <c r="C116" s="53">
        <v>27594.7703</v>
      </c>
    </row>
    <row r="117" spans="1:3" x14ac:dyDescent="0.25">
      <c r="A117" s="52">
        <f t="shared" si="1"/>
        <v>43576</v>
      </c>
      <c r="B117" s="53">
        <v>116</v>
      </c>
      <c r="C117" s="53">
        <v>27597.569299999999</v>
      </c>
    </row>
    <row r="118" spans="1:3" x14ac:dyDescent="0.25">
      <c r="A118" s="52">
        <f t="shared" si="1"/>
        <v>43577</v>
      </c>
      <c r="B118" s="53">
        <v>117</v>
      </c>
      <c r="C118" s="53">
        <v>27600.368600000002</v>
      </c>
    </row>
    <row r="119" spans="1:3" x14ac:dyDescent="0.25">
      <c r="A119" s="52">
        <f t="shared" si="1"/>
        <v>43578</v>
      </c>
      <c r="B119" s="53">
        <v>118</v>
      </c>
      <c r="C119" s="53">
        <v>27603.1682</v>
      </c>
    </row>
    <row r="120" spans="1:3" x14ac:dyDescent="0.25">
      <c r="A120" s="52">
        <f t="shared" si="1"/>
        <v>43579</v>
      </c>
      <c r="B120" s="53">
        <v>119</v>
      </c>
      <c r="C120" s="53">
        <v>27605.968099999998</v>
      </c>
    </row>
    <row r="121" spans="1:3" x14ac:dyDescent="0.25">
      <c r="A121" s="52">
        <f t="shared" si="1"/>
        <v>43580</v>
      </c>
      <c r="B121" s="53">
        <v>120</v>
      </c>
      <c r="C121" s="53">
        <v>27608.768199999999</v>
      </c>
    </row>
    <row r="122" spans="1:3" x14ac:dyDescent="0.25">
      <c r="A122" s="52">
        <f t="shared" si="1"/>
        <v>43581</v>
      </c>
      <c r="B122" s="53">
        <v>121</v>
      </c>
      <c r="C122" s="53">
        <v>27611.568599999999</v>
      </c>
    </row>
    <row r="123" spans="1:3" x14ac:dyDescent="0.25">
      <c r="A123" s="52">
        <f t="shared" si="1"/>
        <v>43582</v>
      </c>
      <c r="B123" s="53">
        <v>122</v>
      </c>
      <c r="C123" s="53">
        <v>27614.369299999998</v>
      </c>
    </row>
    <row r="124" spans="1:3" x14ac:dyDescent="0.25">
      <c r="A124" s="52">
        <f t="shared" si="1"/>
        <v>43583</v>
      </c>
      <c r="B124" s="53">
        <v>123</v>
      </c>
      <c r="C124" s="53">
        <v>27617.170300000002</v>
      </c>
    </row>
    <row r="125" spans="1:3" x14ac:dyDescent="0.25">
      <c r="A125" s="52">
        <f t="shared" si="1"/>
        <v>43584</v>
      </c>
      <c r="B125" s="53">
        <v>124</v>
      </c>
      <c r="C125" s="53">
        <v>27619.971600000001</v>
      </c>
    </row>
    <row r="126" spans="1:3" x14ac:dyDescent="0.25">
      <c r="A126" s="52">
        <f t="shared" si="1"/>
        <v>43585</v>
      </c>
      <c r="B126" s="53">
        <v>125</v>
      </c>
      <c r="C126" s="53">
        <v>27622.7732</v>
      </c>
    </row>
    <row r="127" spans="1:3" x14ac:dyDescent="0.25">
      <c r="A127" s="52">
        <f t="shared" si="1"/>
        <v>43586</v>
      </c>
      <c r="B127" s="53">
        <v>126</v>
      </c>
      <c r="C127" s="53">
        <v>27625.575000000001</v>
      </c>
    </row>
    <row r="128" spans="1:3" x14ac:dyDescent="0.25">
      <c r="A128" s="52">
        <f t="shared" si="1"/>
        <v>43587</v>
      </c>
      <c r="B128" s="53">
        <v>127</v>
      </c>
      <c r="C128" s="53">
        <v>27628.377100000002</v>
      </c>
    </row>
    <row r="129" spans="1:3" x14ac:dyDescent="0.25">
      <c r="A129" s="52">
        <f t="shared" si="1"/>
        <v>43588</v>
      </c>
      <c r="B129" s="53">
        <v>128</v>
      </c>
      <c r="C129" s="53">
        <v>27631.179499999998</v>
      </c>
    </row>
    <row r="130" spans="1:3" x14ac:dyDescent="0.25">
      <c r="A130" s="52">
        <f t="shared" ref="A130:A193" si="2">+$G$4+B130</f>
        <v>43589</v>
      </c>
      <c r="B130" s="53">
        <v>129</v>
      </c>
      <c r="C130" s="53">
        <v>27633.982199999999</v>
      </c>
    </row>
    <row r="131" spans="1:3" x14ac:dyDescent="0.25">
      <c r="A131" s="52">
        <f t="shared" si="2"/>
        <v>43590</v>
      </c>
      <c r="B131" s="53">
        <v>130</v>
      </c>
      <c r="C131" s="53">
        <v>27636.785199999998</v>
      </c>
    </row>
    <row r="132" spans="1:3" x14ac:dyDescent="0.25">
      <c r="A132" s="52">
        <f t="shared" si="2"/>
        <v>43591</v>
      </c>
      <c r="B132" s="53">
        <v>131</v>
      </c>
      <c r="C132" s="53">
        <v>27639.588500000002</v>
      </c>
    </row>
    <row r="133" spans="1:3" x14ac:dyDescent="0.25">
      <c r="A133" s="52">
        <f t="shared" si="2"/>
        <v>43592</v>
      </c>
      <c r="B133" s="53">
        <v>132</v>
      </c>
      <c r="C133" s="53">
        <v>27642.392</v>
      </c>
    </row>
    <row r="134" spans="1:3" x14ac:dyDescent="0.25">
      <c r="A134" s="52">
        <f t="shared" si="2"/>
        <v>43593</v>
      </c>
      <c r="B134" s="53">
        <v>133</v>
      </c>
      <c r="C134" s="53">
        <v>27645.195899999999</v>
      </c>
    </row>
    <row r="135" spans="1:3" x14ac:dyDescent="0.25">
      <c r="A135" s="52">
        <f t="shared" si="2"/>
        <v>43594</v>
      </c>
      <c r="B135" s="53">
        <v>134</v>
      </c>
      <c r="C135" s="53">
        <v>27648</v>
      </c>
    </row>
    <row r="136" spans="1:3" x14ac:dyDescent="0.25">
      <c r="A136" s="52">
        <f t="shared" si="2"/>
        <v>43595</v>
      </c>
      <c r="B136" s="53">
        <v>135</v>
      </c>
      <c r="C136" s="53">
        <v>27649.963599999999</v>
      </c>
    </row>
    <row r="137" spans="1:3" x14ac:dyDescent="0.25">
      <c r="A137" s="52">
        <f t="shared" si="2"/>
        <v>43596</v>
      </c>
      <c r="B137" s="53">
        <v>136</v>
      </c>
      <c r="C137" s="53">
        <v>27651.927299999999</v>
      </c>
    </row>
    <row r="138" spans="1:3" x14ac:dyDescent="0.25">
      <c r="A138" s="52">
        <f t="shared" si="2"/>
        <v>43597</v>
      </c>
      <c r="B138" s="53">
        <v>137</v>
      </c>
      <c r="C138" s="53">
        <v>27653.891100000001</v>
      </c>
    </row>
    <row r="139" spans="1:3" x14ac:dyDescent="0.25">
      <c r="A139" s="52">
        <f t="shared" si="2"/>
        <v>43598</v>
      </c>
      <c r="B139" s="53">
        <v>138</v>
      </c>
      <c r="C139" s="53">
        <v>27655.855100000001</v>
      </c>
    </row>
    <row r="140" spans="1:3" x14ac:dyDescent="0.25">
      <c r="A140" s="52">
        <f t="shared" si="2"/>
        <v>43599</v>
      </c>
      <c r="B140" s="53">
        <v>139</v>
      </c>
      <c r="C140" s="53">
        <v>27657.819200000002</v>
      </c>
    </row>
    <row r="141" spans="1:3" x14ac:dyDescent="0.25">
      <c r="A141" s="52">
        <f t="shared" si="2"/>
        <v>43600</v>
      </c>
      <c r="B141" s="53">
        <v>140</v>
      </c>
      <c r="C141" s="53">
        <v>27659.783500000001</v>
      </c>
    </row>
    <row r="142" spans="1:3" x14ac:dyDescent="0.25">
      <c r="A142" s="52">
        <f t="shared" si="2"/>
        <v>43601</v>
      </c>
      <c r="B142" s="53">
        <v>141</v>
      </c>
      <c r="C142" s="53">
        <v>27661.747899999998</v>
      </c>
    </row>
    <row r="143" spans="1:3" x14ac:dyDescent="0.25">
      <c r="A143" s="52">
        <f t="shared" si="2"/>
        <v>43602</v>
      </c>
      <c r="B143" s="53">
        <v>142</v>
      </c>
      <c r="C143" s="53">
        <v>27663.7124</v>
      </c>
    </row>
    <row r="144" spans="1:3" x14ac:dyDescent="0.25">
      <c r="A144" s="52">
        <f t="shared" si="2"/>
        <v>43603</v>
      </c>
      <c r="B144" s="53">
        <v>143</v>
      </c>
      <c r="C144" s="53">
        <v>27665.677100000001</v>
      </c>
    </row>
    <row r="145" spans="1:3" x14ac:dyDescent="0.25">
      <c r="A145" s="52">
        <f t="shared" si="2"/>
        <v>43604</v>
      </c>
      <c r="B145" s="53">
        <v>144</v>
      </c>
      <c r="C145" s="53">
        <v>27667.641899999999</v>
      </c>
    </row>
    <row r="146" spans="1:3" x14ac:dyDescent="0.25">
      <c r="A146" s="52">
        <f t="shared" si="2"/>
        <v>43605</v>
      </c>
      <c r="B146" s="53">
        <v>145</v>
      </c>
      <c r="C146" s="53">
        <v>27669.606899999999</v>
      </c>
    </row>
    <row r="147" spans="1:3" x14ac:dyDescent="0.25">
      <c r="A147" s="52">
        <f t="shared" si="2"/>
        <v>43606</v>
      </c>
      <c r="B147" s="53">
        <v>146</v>
      </c>
      <c r="C147" s="53">
        <v>27671.572</v>
      </c>
    </row>
    <row r="148" spans="1:3" x14ac:dyDescent="0.25">
      <c r="A148" s="52">
        <f t="shared" si="2"/>
        <v>43607</v>
      </c>
      <c r="B148" s="53">
        <v>147</v>
      </c>
      <c r="C148" s="53">
        <v>27673.537199999999</v>
      </c>
    </row>
    <row r="149" spans="1:3" x14ac:dyDescent="0.25">
      <c r="A149" s="52">
        <f t="shared" si="2"/>
        <v>43608</v>
      </c>
      <c r="B149" s="53">
        <v>148</v>
      </c>
      <c r="C149" s="53">
        <v>27675.5026</v>
      </c>
    </row>
    <row r="150" spans="1:3" x14ac:dyDescent="0.25">
      <c r="A150" s="52">
        <f t="shared" si="2"/>
        <v>43609</v>
      </c>
      <c r="B150" s="53">
        <v>149</v>
      </c>
      <c r="C150" s="53">
        <v>27677.468099999998</v>
      </c>
    </row>
    <row r="151" spans="1:3" x14ac:dyDescent="0.25">
      <c r="A151" s="52">
        <f t="shared" si="2"/>
        <v>43610</v>
      </c>
      <c r="B151" s="53">
        <v>150</v>
      </c>
      <c r="C151" s="53">
        <v>27679.433799999999</v>
      </c>
    </row>
    <row r="152" spans="1:3" x14ac:dyDescent="0.25">
      <c r="A152" s="52">
        <f t="shared" si="2"/>
        <v>43611</v>
      </c>
      <c r="B152" s="53">
        <v>151</v>
      </c>
      <c r="C152" s="53">
        <v>27681.399600000001</v>
      </c>
    </row>
    <row r="153" spans="1:3" x14ac:dyDescent="0.25">
      <c r="A153" s="52">
        <f t="shared" si="2"/>
        <v>43612</v>
      </c>
      <c r="B153" s="53">
        <v>152</v>
      </c>
      <c r="C153" s="53">
        <v>27683.3655</v>
      </c>
    </row>
    <row r="154" spans="1:3" x14ac:dyDescent="0.25">
      <c r="A154" s="52">
        <f t="shared" si="2"/>
        <v>43613</v>
      </c>
      <c r="B154" s="53">
        <v>153</v>
      </c>
      <c r="C154" s="53">
        <v>27685.331600000001</v>
      </c>
    </row>
    <row r="155" spans="1:3" x14ac:dyDescent="0.25">
      <c r="A155" s="52">
        <f t="shared" si="2"/>
        <v>43614</v>
      </c>
      <c r="B155" s="53">
        <v>154</v>
      </c>
      <c r="C155" s="53">
        <v>27687.2978</v>
      </c>
    </row>
    <row r="156" spans="1:3" x14ac:dyDescent="0.25">
      <c r="A156" s="52">
        <f t="shared" si="2"/>
        <v>43615</v>
      </c>
      <c r="B156" s="53">
        <v>155</v>
      </c>
      <c r="C156" s="53">
        <v>27689.2641</v>
      </c>
    </row>
    <row r="157" spans="1:3" x14ac:dyDescent="0.25">
      <c r="A157" s="52">
        <f t="shared" si="2"/>
        <v>43616</v>
      </c>
      <c r="B157" s="53">
        <v>156</v>
      </c>
      <c r="C157" s="53">
        <v>27691.230599999999</v>
      </c>
    </row>
    <row r="158" spans="1:3" x14ac:dyDescent="0.25">
      <c r="A158" s="52">
        <f t="shared" si="2"/>
        <v>43617</v>
      </c>
      <c r="B158" s="53">
        <v>157</v>
      </c>
      <c r="C158" s="53">
        <v>27693.1973</v>
      </c>
    </row>
    <row r="159" spans="1:3" x14ac:dyDescent="0.25">
      <c r="A159" s="52">
        <f t="shared" si="2"/>
        <v>43618</v>
      </c>
      <c r="B159" s="53">
        <v>158</v>
      </c>
      <c r="C159" s="53">
        <v>27695.164000000001</v>
      </c>
    </row>
    <row r="160" spans="1:3" x14ac:dyDescent="0.25">
      <c r="A160" s="52">
        <f t="shared" si="2"/>
        <v>43619</v>
      </c>
      <c r="B160" s="53">
        <v>159</v>
      </c>
      <c r="C160" s="53">
        <v>27697.1309</v>
      </c>
    </row>
    <row r="161" spans="1:3" x14ac:dyDescent="0.25">
      <c r="A161" s="52">
        <f t="shared" si="2"/>
        <v>43620</v>
      </c>
      <c r="B161" s="53">
        <v>160</v>
      </c>
      <c r="C161" s="53">
        <v>27699.098000000002</v>
      </c>
    </row>
    <row r="162" spans="1:3" x14ac:dyDescent="0.25">
      <c r="A162" s="52">
        <f t="shared" si="2"/>
        <v>43621</v>
      </c>
      <c r="B162" s="53">
        <v>161</v>
      </c>
      <c r="C162" s="53">
        <v>27701.065200000001</v>
      </c>
    </row>
    <row r="163" spans="1:3" x14ac:dyDescent="0.25">
      <c r="A163" s="52">
        <f t="shared" si="2"/>
        <v>43622</v>
      </c>
      <c r="B163" s="53">
        <v>162</v>
      </c>
      <c r="C163" s="53">
        <v>27703.032500000001</v>
      </c>
    </row>
    <row r="164" spans="1:3" x14ac:dyDescent="0.25">
      <c r="A164" s="52">
        <f t="shared" si="2"/>
        <v>43623</v>
      </c>
      <c r="B164" s="53">
        <v>163</v>
      </c>
      <c r="C164" s="53">
        <v>27705</v>
      </c>
    </row>
    <row r="165" spans="1:3" x14ac:dyDescent="0.25">
      <c r="A165" s="52">
        <f t="shared" si="2"/>
        <v>43624</v>
      </c>
      <c r="B165" s="53">
        <v>164</v>
      </c>
      <c r="C165" s="53">
        <v>27707.153699999999</v>
      </c>
    </row>
    <row r="166" spans="1:3" x14ac:dyDescent="0.25">
      <c r="A166" s="52">
        <f t="shared" si="2"/>
        <v>43625</v>
      </c>
      <c r="B166" s="53">
        <v>165</v>
      </c>
      <c r="C166" s="53">
        <v>27709.307499999999</v>
      </c>
    </row>
    <row r="167" spans="1:3" x14ac:dyDescent="0.25">
      <c r="A167" s="52">
        <f t="shared" si="2"/>
        <v>43626</v>
      </c>
      <c r="B167" s="53">
        <v>166</v>
      </c>
      <c r="C167" s="53">
        <v>27711.461500000001</v>
      </c>
    </row>
    <row r="168" spans="1:3" x14ac:dyDescent="0.25">
      <c r="A168" s="52">
        <f t="shared" si="2"/>
        <v>43627</v>
      </c>
      <c r="B168" s="53">
        <v>167</v>
      </c>
      <c r="C168" s="53">
        <v>27713.615600000001</v>
      </c>
    </row>
    <row r="169" spans="1:3" x14ac:dyDescent="0.25">
      <c r="A169" s="52">
        <f t="shared" si="2"/>
        <v>43628</v>
      </c>
      <c r="B169" s="53">
        <v>168</v>
      </c>
      <c r="C169" s="53">
        <v>27715.769899999999</v>
      </c>
    </row>
    <row r="170" spans="1:3" x14ac:dyDescent="0.25">
      <c r="A170" s="52">
        <f t="shared" si="2"/>
        <v>43629</v>
      </c>
      <c r="B170" s="53">
        <v>169</v>
      </c>
      <c r="C170" s="53">
        <v>27717.9244</v>
      </c>
    </row>
    <row r="171" spans="1:3" x14ac:dyDescent="0.25">
      <c r="A171" s="52">
        <f t="shared" si="2"/>
        <v>43630</v>
      </c>
      <c r="B171" s="53">
        <v>170</v>
      </c>
      <c r="C171" s="53">
        <v>27720.079099999999</v>
      </c>
    </row>
    <row r="172" spans="1:3" x14ac:dyDescent="0.25">
      <c r="A172" s="52">
        <f t="shared" si="2"/>
        <v>43631</v>
      </c>
      <c r="B172" s="53">
        <v>171</v>
      </c>
      <c r="C172" s="53">
        <v>27722.233899999999</v>
      </c>
    </row>
    <row r="173" spans="1:3" x14ac:dyDescent="0.25">
      <c r="A173" s="52">
        <f t="shared" si="2"/>
        <v>43632</v>
      </c>
      <c r="B173" s="53">
        <v>172</v>
      </c>
      <c r="C173" s="53">
        <v>27724.388900000002</v>
      </c>
    </row>
    <row r="174" spans="1:3" x14ac:dyDescent="0.25">
      <c r="A174" s="52">
        <f t="shared" si="2"/>
        <v>43633</v>
      </c>
      <c r="B174" s="53">
        <v>173</v>
      </c>
      <c r="C174" s="53">
        <v>27726.544099999999</v>
      </c>
    </row>
    <row r="175" spans="1:3" x14ac:dyDescent="0.25">
      <c r="A175" s="52">
        <f t="shared" si="2"/>
        <v>43634</v>
      </c>
      <c r="B175" s="53">
        <v>174</v>
      </c>
      <c r="C175" s="53">
        <v>27728.699400000001</v>
      </c>
    </row>
    <row r="176" spans="1:3" x14ac:dyDescent="0.25">
      <c r="A176" s="52">
        <f t="shared" si="2"/>
        <v>43635</v>
      </c>
      <c r="B176" s="53">
        <v>175</v>
      </c>
      <c r="C176" s="53">
        <v>27730.854899999998</v>
      </c>
    </row>
    <row r="177" spans="1:3" x14ac:dyDescent="0.25">
      <c r="A177" s="52">
        <f t="shared" si="2"/>
        <v>43636</v>
      </c>
      <c r="B177" s="53">
        <v>176</v>
      </c>
      <c r="C177" s="53">
        <v>27733.010600000001</v>
      </c>
    </row>
    <row r="178" spans="1:3" x14ac:dyDescent="0.25">
      <c r="A178" s="52">
        <f t="shared" si="2"/>
        <v>43637</v>
      </c>
      <c r="B178" s="53">
        <v>177</v>
      </c>
      <c r="C178" s="53">
        <v>27735.166399999998</v>
      </c>
    </row>
    <row r="179" spans="1:3" x14ac:dyDescent="0.25">
      <c r="A179" s="52">
        <f t="shared" si="2"/>
        <v>43638</v>
      </c>
      <c r="B179" s="53">
        <v>178</v>
      </c>
      <c r="C179" s="53">
        <v>27737.322400000001</v>
      </c>
    </row>
    <row r="180" spans="1:3" x14ac:dyDescent="0.25">
      <c r="A180" s="52">
        <f t="shared" si="2"/>
        <v>43639</v>
      </c>
      <c r="B180" s="53">
        <v>179</v>
      </c>
      <c r="C180" s="53">
        <v>27739.478500000001</v>
      </c>
    </row>
    <row r="181" spans="1:3" x14ac:dyDescent="0.25">
      <c r="A181" s="52">
        <f t="shared" si="2"/>
        <v>43640</v>
      </c>
      <c r="B181" s="53">
        <v>180</v>
      </c>
      <c r="C181" s="53">
        <v>27741.634900000001</v>
      </c>
    </row>
    <row r="182" spans="1:3" x14ac:dyDescent="0.25">
      <c r="A182" s="52">
        <f t="shared" si="2"/>
        <v>43641</v>
      </c>
      <c r="B182" s="53">
        <v>181</v>
      </c>
      <c r="C182" s="53">
        <v>27743.791399999998</v>
      </c>
    </row>
    <row r="183" spans="1:3" x14ac:dyDescent="0.25">
      <c r="A183" s="52">
        <f t="shared" si="2"/>
        <v>43642</v>
      </c>
      <c r="B183" s="53">
        <v>182</v>
      </c>
      <c r="C183" s="53">
        <v>27745.948</v>
      </c>
    </row>
    <row r="184" spans="1:3" x14ac:dyDescent="0.25">
      <c r="A184" s="52">
        <f t="shared" si="2"/>
        <v>43643</v>
      </c>
      <c r="B184" s="53">
        <v>183</v>
      </c>
      <c r="C184" s="53">
        <v>27748.104899999998</v>
      </c>
    </row>
    <row r="185" spans="1:3" x14ac:dyDescent="0.25">
      <c r="A185" s="52">
        <f t="shared" si="2"/>
        <v>43644</v>
      </c>
      <c r="B185" s="53">
        <v>184</v>
      </c>
      <c r="C185" s="53">
        <v>27750.261900000001</v>
      </c>
    </row>
    <row r="186" spans="1:3" x14ac:dyDescent="0.25">
      <c r="A186" s="52">
        <f t="shared" si="2"/>
        <v>43645</v>
      </c>
      <c r="B186" s="53">
        <v>185</v>
      </c>
      <c r="C186" s="53">
        <v>27752.419099999999</v>
      </c>
    </row>
    <row r="187" spans="1:3" x14ac:dyDescent="0.25">
      <c r="A187" s="52">
        <f t="shared" si="2"/>
        <v>43646</v>
      </c>
      <c r="B187" s="53">
        <v>186</v>
      </c>
      <c r="C187" s="53">
        <v>27754.576400000002</v>
      </c>
    </row>
    <row r="188" spans="1:3" x14ac:dyDescent="0.25">
      <c r="A188" s="52">
        <f t="shared" si="2"/>
        <v>43647</v>
      </c>
      <c r="B188" s="53">
        <v>187</v>
      </c>
      <c r="C188" s="53">
        <v>27756.733899999999</v>
      </c>
    </row>
    <row r="189" spans="1:3" x14ac:dyDescent="0.25">
      <c r="A189" s="52">
        <f t="shared" si="2"/>
        <v>43648</v>
      </c>
      <c r="B189" s="53">
        <v>188</v>
      </c>
      <c r="C189" s="53">
        <v>27758.891599999999</v>
      </c>
    </row>
    <row r="190" spans="1:3" x14ac:dyDescent="0.25">
      <c r="A190" s="52">
        <f t="shared" si="2"/>
        <v>43649</v>
      </c>
      <c r="B190" s="53">
        <v>189</v>
      </c>
      <c r="C190" s="53">
        <v>27761.0494</v>
      </c>
    </row>
    <row r="191" spans="1:3" x14ac:dyDescent="0.25">
      <c r="A191" s="52">
        <f t="shared" si="2"/>
        <v>43650</v>
      </c>
      <c r="B191" s="53">
        <v>190</v>
      </c>
      <c r="C191" s="53">
        <v>27763.207399999999</v>
      </c>
    </row>
    <row r="192" spans="1:3" x14ac:dyDescent="0.25">
      <c r="A192" s="52">
        <f t="shared" si="2"/>
        <v>43651</v>
      </c>
      <c r="B192" s="53">
        <v>191</v>
      </c>
      <c r="C192" s="53">
        <v>27765.365600000001</v>
      </c>
    </row>
    <row r="193" spans="1:3" x14ac:dyDescent="0.25">
      <c r="A193" s="52">
        <f t="shared" si="2"/>
        <v>43652</v>
      </c>
      <c r="B193" s="53">
        <v>192</v>
      </c>
      <c r="C193" s="53">
        <v>27767.524000000001</v>
      </c>
    </row>
    <row r="194" spans="1:3" x14ac:dyDescent="0.25">
      <c r="A194" s="52">
        <f t="shared" ref="A194:A257" si="3">+$G$4+B194</f>
        <v>43653</v>
      </c>
      <c r="B194" s="53">
        <v>193</v>
      </c>
      <c r="C194" s="53">
        <v>27769.682499999999</v>
      </c>
    </row>
    <row r="195" spans="1:3" x14ac:dyDescent="0.25">
      <c r="A195" s="52">
        <f t="shared" si="3"/>
        <v>43654</v>
      </c>
      <c r="B195" s="53">
        <v>194</v>
      </c>
      <c r="C195" s="53">
        <v>27771.841199999999</v>
      </c>
    </row>
    <row r="196" spans="1:3" x14ac:dyDescent="0.25">
      <c r="A196" s="52">
        <f t="shared" si="3"/>
        <v>43655</v>
      </c>
      <c r="B196" s="53">
        <v>195</v>
      </c>
      <c r="C196" s="53">
        <v>27774</v>
      </c>
    </row>
    <row r="197" spans="1:3" x14ac:dyDescent="0.25">
      <c r="A197" s="52">
        <f t="shared" si="3"/>
        <v>43656</v>
      </c>
      <c r="B197" s="53">
        <v>196</v>
      </c>
      <c r="C197" s="53">
        <v>27776.255300000001</v>
      </c>
    </row>
    <row r="198" spans="1:3" x14ac:dyDescent="0.25">
      <c r="A198" s="52">
        <f t="shared" si="3"/>
        <v>43657</v>
      </c>
      <c r="B198" s="53">
        <v>197</v>
      </c>
      <c r="C198" s="53">
        <v>27778.5108</v>
      </c>
    </row>
    <row r="199" spans="1:3" x14ac:dyDescent="0.25">
      <c r="A199" s="52">
        <f t="shared" si="3"/>
        <v>43658</v>
      </c>
      <c r="B199" s="53">
        <v>198</v>
      </c>
      <c r="C199" s="53">
        <v>27780.766500000002</v>
      </c>
    </row>
    <row r="200" spans="1:3" x14ac:dyDescent="0.25">
      <c r="A200" s="52">
        <f t="shared" si="3"/>
        <v>43659</v>
      </c>
      <c r="B200" s="53">
        <v>199</v>
      </c>
      <c r="C200" s="53">
        <v>27783.022400000002</v>
      </c>
    </row>
    <row r="201" spans="1:3" x14ac:dyDescent="0.25">
      <c r="A201" s="52">
        <f t="shared" si="3"/>
        <v>43660</v>
      </c>
      <c r="B201" s="53">
        <v>200</v>
      </c>
      <c r="C201" s="53">
        <v>27785.278399999999</v>
      </c>
    </row>
    <row r="202" spans="1:3" x14ac:dyDescent="0.25">
      <c r="A202" s="52">
        <f t="shared" si="3"/>
        <v>43661</v>
      </c>
      <c r="B202" s="53">
        <v>201</v>
      </c>
      <c r="C202" s="53">
        <v>27787.534599999999</v>
      </c>
    </row>
    <row r="203" spans="1:3" x14ac:dyDescent="0.25">
      <c r="A203" s="52">
        <f t="shared" si="3"/>
        <v>43662</v>
      </c>
      <c r="B203" s="53">
        <v>202</v>
      </c>
      <c r="C203" s="53">
        <v>27789.791099999999</v>
      </c>
    </row>
    <row r="204" spans="1:3" x14ac:dyDescent="0.25">
      <c r="A204" s="52">
        <f t="shared" si="3"/>
        <v>43663</v>
      </c>
      <c r="B204" s="53">
        <v>203</v>
      </c>
      <c r="C204" s="53">
        <v>27792.047699999999</v>
      </c>
    </row>
    <row r="205" spans="1:3" x14ac:dyDescent="0.25">
      <c r="A205" s="52">
        <f t="shared" si="3"/>
        <v>43664</v>
      </c>
      <c r="B205" s="53">
        <v>204</v>
      </c>
      <c r="C205" s="53">
        <v>27794.304400000001</v>
      </c>
    </row>
    <row r="206" spans="1:3" x14ac:dyDescent="0.25">
      <c r="A206" s="52">
        <f t="shared" si="3"/>
        <v>43665</v>
      </c>
      <c r="B206" s="53">
        <v>205</v>
      </c>
      <c r="C206" s="53">
        <v>27796.561399999999</v>
      </c>
    </row>
    <row r="207" spans="1:3" x14ac:dyDescent="0.25">
      <c r="A207" s="52">
        <f t="shared" si="3"/>
        <v>43666</v>
      </c>
      <c r="B207" s="53">
        <v>206</v>
      </c>
      <c r="C207" s="53">
        <v>27798.818500000001</v>
      </c>
    </row>
    <row r="208" spans="1:3" x14ac:dyDescent="0.25">
      <c r="A208" s="52">
        <f t="shared" si="3"/>
        <v>43667</v>
      </c>
      <c r="B208" s="53">
        <v>207</v>
      </c>
      <c r="C208" s="53">
        <v>27801.0759</v>
      </c>
    </row>
    <row r="209" spans="1:3" x14ac:dyDescent="0.25">
      <c r="A209" s="52">
        <f t="shared" si="3"/>
        <v>43668</v>
      </c>
      <c r="B209" s="53">
        <v>208</v>
      </c>
      <c r="C209" s="53">
        <v>27803.3334</v>
      </c>
    </row>
    <row r="210" spans="1:3" x14ac:dyDescent="0.25">
      <c r="A210" s="52">
        <f t="shared" si="3"/>
        <v>43669</v>
      </c>
      <c r="B210" s="53">
        <v>209</v>
      </c>
      <c r="C210" s="53">
        <v>27805.591100000001</v>
      </c>
    </row>
    <row r="211" spans="1:3" x14ac:dyDescent="0.25">
      <c r="A211" s="52">
        <f t="shared" si="3"/>
        <v>43670</v>
      </c>
      <c r="B211" s="53">
        <v>210</v>
      </c>
      <c r="C211" s="53">
        <v>27807.848999999998</v>
      </c>
    </row>
    <row r="212" spans="1:3" x14ac:dyDescent="0.25">
      <c r="A212" s="52">
        <f t="shared" si="3"/>
        <v>43671</v>
      </c>
      <c r="B212" s="53">
        <v>211</v>
      </c>
      <c r="C212" s="53">
        <v>27810.107</v>
      </c>
    </row>
    <row r="213" spans="1:3" x14ac:dyDescent="0.25">
      <c r="A213" s="52">
        <f t="shared" si="3"/>
        <v>43672</v>
      </c>
      <c r="B213" s="53">
        <v>212</v>
      </c>
      <c r="C213" s="53">
        <v>27812.365300000001</v>
      </c>
    </row>
    <row r="214" spans="1:3" x14ac:dyDescent="0.25">
      <c r="A214" s="52">
        <f t="shared" si="3"/>
        <v>43673</v>
      </c>
      <c r="B214" s="53">
        <v>213</v>
      </c>
      <c r="C214" s="53">
        <v>27814.6237</v>
      </c>
    </row>
    <row r="215" spans="1:3" x14ac:dyDescent="0.25">
      <c r="A215" s="52">
        <f t="shared" si="3"/>
        <v>43674</v>
      </c>
      <c r="B215" s="53">
        <v>214</v>
      </c>
      <c r="C215" s="53">
        <v>27816.882300000001</v>
      </c>
    </row>
    <row r="216" spans="1:3" x14ac:dyDescent="0.25">
      <c r="A216" s="52">
        <f t="shared" si="3"/>
        <v>43675</v>
      </c>
      <c r="B216" s="53">
        <v>215</v>
      </c>
      <c r="C216" s="53">
        <v>27819.141100000001</v>
      </c>
    </row>
    <row r="217" spans="1:3" x14ac:dyDescent="0.25">
      <c r="A217" s="52">
        <f t="shared" si="3"/>
        <v>43676</v>
      </c>
      <c r="B217" s="53">
        <v>216</v>
      </c>
      <c r="C217" s="53">
        <v>27821.400099999999</v>
      </c>
    </row>
    <row r="218" spans="1:3" x14ac:dyDescent="0.25">
      <c r="A218" s="52">
        <f t="shared" si="3"/>
        <v>43677</v>
      </c>
      <c r="B218" s="53">
        <v>217</v>
      </c>
      <c r="C218" s="53">
        <v>27823.659299999999</v>
      </c>
    </row>
    <row r="219" spans="1:3" x14ac:dyDescent="0.25">
      <c r="A219" s="52">
        <f t="shared" si="3"/>
        <v>43678</v>
      </c>
      <c r="B219" s="53">
        <v>218</v>
      </c>
      <c r="C219" s="53">
        <v>27825.918600000001</v>
      </c>
    </row>
    <row r="220" spans="1:3" x14ac:dyDescent="0.25">
      <c r="A220" s="52">
        <f t="shared" si="3"/>
        <v>43679</v>
      </c>
      <c r="B220" s="53">
        <v>219</v>
      </c>
      <c r="C220" s="53">
        <v>27828.178100000001</v>
      </c>
    </row>
    <row r="221" spans="1:3" x14ac:dyDescent="0.25">
      <c r="A221" s="52">
        <f t="shared" si="3"/>
        <v>43680</v>
      </c>
      <c r="B221" s="53">
        <v>220</v>
      </c>
      <c r="C221" s="53">
        <v>27830.437900000001</v>
      </c>
    </row>
    <row r="222" spans="1:3" x14ac:dyDescent="0.25">
      <c r="A222" s="52">
        <f t="shared" si="3"/>
        <v>43681</v>
      </c>
      <c r="B222" s="53">
        <v>221</v>
      </c>
      <c r="C222" s="53">
        <v>27832.697800000002</v>
      </c>
    </row>
    <row r="223" spans="1:3" x14ac:dyDescent="0.25">
      <c r="A223" s="52">
        <f t="shared" si="3"/>
        <v>43682</v>
      </c>
      <c r="B223" s="53">
        <v>222</v>
      </c>
      <c r="C223" s="53">
        <v>27834.9578</v>
      </c>
    </row>
    <row r="224" spans="1:3" x14ac:dyDescent="0.25">
      <c r="A224" s="52">
        <f t="shared" si="3"/>
        <v>43683</v>
      </c>
      <c r="B224" s="53">
        <v>223</v>
      </c>
      <c r="C224" s="53">
        <v>27837.218099999998</v>
      </c>
    </row>
    <row r="225" spans="1:3" x14ac:dyDescent="0.25">
      <c r="A225" s="52">
        <f t="shared" si="3"/>
        <v>43684</v>
      </c>
      <c r="B225" s="53">
        <v>224</v>
      </c>
      <c r="C225" s="53">
        <v>27839.478599999999</v>
      </c>
    </row>
    <row r="226" spans="1:3" x14ac:dyDescent="0.25">
      <c r="A226" s="52">
        <f t="shared" si="3"/>
        <v>43685</v>
      </c>
      <c r="B226" s="53">
        <v>225</v>
      </c>
      <c r="C226" s="53">
        <v>27841.7392</v>
      </c>
    </row>
    <row r="227" spans="1:3" x14ac:dyDescent="0.25">
      <c r="A227" s="52">
        <f t="shared" si="3"/>
        <v>43686</v>
      </c>
      <c r="B227" s="53">
        <v>226</v>
      </c>
      <c r="C227" s="53">
        <v>27844</v>
      </c>
    </row>
    <row r="228" spans="1:3" x14ac:dyDescent="0.25">
      <c r="A228" s="52">
        <f t="shared" si="3"/>
        <v>43687</v>
      </c>
      <c r="B228" s="53">
        <v>227</v>
      </c>
      <c r="C228" s="53">
        <v>27846.480599999999</v>
      </c>
    </row>
    <row r="229" spans="1:3" x14ac:dyDescent="0.25">
      <c r="A229" s="52">
        <f t="shared" si="3"/>
        <v>43688</v>
      </c>
      <c r="B229" s="53">
        <v>228</v>
      </c>
      <c r="C229" s="53">
        <v>27848.961299999999</v>
      </c>
    </row>
    <row r="230" spans="1:3" x14ac:dyDescent="0.25">
      <c r="A230" s="52">
        <f t="shared" si="3"/>
        <v>43689</v>
      </c>
      <c r="B230" s="53">
        <v>229</v>
      </c>
      <c r="C230" s="53">
        <v>27851.442299999999</v>
      </c>
    </row>
    <row r="231" spans="1:3" x14ac:dyDescent="0.25">
      <c r="A231" s="52">
        <f t="shared" si="3"/>
        <v>43690</v>
      </c>
      <c r="B231" s="53">
        <v>230</v>
      </c>
      <c r="C231" s="53">
        <v>27853.923500000001</v>
      </c>
    </row>
    <row r="232" spans="1:3" x14ac:dyDescent="0.25">
      <c r="A232" s="52">
        <f t="shared" si="3"/>
        <v>43691</v>
      </c>
      <c r="B232" s="53">
        <v>231</v>
      </c>
      <c r="C232" s="53">
        <v>27856.404999999999</v>
      </c>
    </row>
    <row r="233" spans="1:3" x14ac:dyDescent="0.25">
      <c r="A233" s="52">
        <f t="shared" si="3"/>
        <v>43692</v>
      </c>
      <c r="B233" s="53">
        <v>232</v>
      </c>
      <c r="C233" s="53">
        <v>27858.886600000002</v>
      </c>
    </row>
    <row r="234" spans="1:3" x14ac:dyDescent="0.25">
      <c r="A234" s="52">
        <f t="shared" si="3"/>
        <v>43693</v>
      </c>
      <c r="B234" s="53">
        <v>233</v>
      </c>
      <c r="C234" s="53">
        <v>27861.3685</v>
      </c>
    </row>
    <row r="235" spans="1:3" x14ac:dyDescent="0.25">
      <c r="A235" s="52">
        <f t="shared" si="3"/>
        <v>43694</v>
      </c>
      <c r="B235" s="53">
        <v>234</v>
      </c>
      <c r="C235" s="53">
        <v>27863.850600000002</v>
      </c>
    </row>
    <row r="236" spans="1:3" x14ac:dyDescent="0.25">
      <c r="A236" s="52">
        <f t="shared" si="3"/>
        <v>43695</v>
      </c>
      <c r="B236" s="53">
        <v>235</v>
      </c>
      <c r="C236" s="53">
        <v>27866.332900000001</v>
      </c>
    </row>
    <row r="237" spans="1:3" x14ac:dyDescent="0.25">
      <c r="A237" s="52">
        <f t="shared" si="3"/>
        <v>43696</v>
      </c>
      <c r="B237" s="53">
        <v>236</v>
      </c>
      <c r="C237" s="53">
        <v>27868.815500000001</v>
      </c>
    </row>
    <row r="238" spans="1:3" x14ac:dyDescent="0.25">
      <c r="A238" s="52">
        <f t="shared" si="3"/>
        <v>43697</v>
      </c>
      <c r="B238" s="53">
        <v>237</v>
      </c>
      <c r="C238" s="53">
        <v>27871.298200000001</v>
      </c>
    </row>
    <row r="239" spans="1:3" x14ac:dyDescent="0.25">
      <c r="A239" s="52">
        <f t="shared" si="3"/>
        <v>43698</v>
      </c>
      <c r="B239" s="53">
        <v>238</v>
      </c>
      <c r="C239" s="53">
        <v>27873.781200000001</v>
      </c>
    </row>
    <row r="240" spans="1:3" x14ac:dyDescent="0.25">
      <c r="A240" s="52">
        <f t="shared" si="3"/>
        <v>43699</v>
      </c>
      <c r="B240" s="53">
        <v>239</v>
      </c>
      <c r="C240" s="53">
        <v>27876.2644</v>
      </c>
    </row>
    <row r="241" spans="1:3" x14ac:dyDescent="0.25">
      <c r="A241" s="52">
        <f t="shared" si="3"/>
        <v>43700</v>
      </c>
      <c r="B241" s="53">
        <v>240</v>
      </c>
      <c r="C241" s="53">
        <v>27878.747899999998</v>
      </c>
    </row>
    <row r="242" spans="1:3" x14ac:dyDescent="0.25">
      <c r="A242" s="52">
        <f t="shared" si="3"/>
        <v>43701</v>
      </c>
      <c r="B242" s="53">
        <v>241</v>
      </c>
      <c r="C242" s="53">
        <v>27881.231500000002</v>
      </c>
    </row>
    <row r="243" spans="1:3" x14ac:dyDescent="0.25">
      <c r="A243" s="52">
        <f t="shared" si="3"/>
        <v>43702</v>
      </c>
      <c r="B243" s="53">
        <v>242</v>
      </c>
      <c r="C243" s="53">
        <v>27883.715400000001</v>
      </c>
    </row>
    <row r="244" spans="1:3" x14ac:dyDescent="0.25">
      <c r="A244" s="52">
        <f t="shared" si="3"/>
        <v>43703</v>
      </c>
      <c r="B244" s="53">
        <v>243</v>
      </c>
      <c r="C244" s="53">
        <v>27886.199499999999</v>
      </c>
    </row>
    <row r="245" spans="1:3" x14ac:dyDescent="0.25">
      <c r="A245" s="52">
        <f t="shared" si="3"/>
        <v>43704</v>
      </c>
      <c r="B245" s="53">
        <v>244</v>
      </c>
      <c r="C245" s="53">
        <v>27888.683799999999</v>
      </c>
    </row>
    <row r="246" spans="1:3" x14ac:dyDescent="0.25">
      <c r="A246" s="52">
        <f t="shared" si="3"/>
        <v>43705</v>
      </c>
      <c r="B246" s="53">
        <v>245</v>
      </c>
      <c r="C246" s="53">
        <v>27891.168300000001</v>
      </c>
    </row>
    <row r="247" spans="1:3" x14ac:dyDescent="0.25">
      <c r="A247" s="52">
        <f t="shared" si="3"/>
        <v>43706</v>
      </c>
      <c r="B247" s="53">
        <v>246</v>
      </c>
      <c r="C247" s="53">
        <v>27893.6531</v>
      </c>
    </row>
    <row r="248" spans="1:3" x14ac:dyDescent="0.25">
      <c r="A248" s="52">
        <f t="shared" si="3"/>
        <v>43707</v>
      </c>
      <c r="B248" s="53">
        <v>247</v>
      </c>
      <c r="C248" s="53">
        <v>27896.1381</v>
      </c>
    </row>
    <row r="249" spans="1:3" x14ac:dyDescent="0.25">
      <c r="A249" s="52">
        <f t="shared" si="3"/>
        <v>43708</v>
      </c>
      <c r="B249" s="53">
        <v>248</v>
      </c>
      <c r="C249" s="53">
        <v>27898.623299999999</v>
      </c>
    </row>
    <row r="250" spans="1:3" x14ac:dyDescent="0.25">
      <c r="A250" s="52">
        <f t="shared" si="3"/>
        <v>43709</v>
      </c>
      <c r="B250" s="53">
        <v>249</v>
      </c>
      <c r="C250" s="53">
        <v>27901.108700000001</v>
      </c>
    </row>
    <row r="251" spans="1:3" x14ac:dyDescent="0.25">
      <c r="A251" s="52">
        <f t="shared" si="3"/>
        <v>43710</v>
      </c>
      <c r="B251" s="53">
        <v>250</v>
      </c>
      <c r="C251" s="53">
        <v>27903.594300000001</v>
      </c>
    </row>
    <row r="252" spans="1:3" x14ac:dyDescent="0.25">
      <c r="A252" s="52">
        <f t="shared" si="3"/>
        <v>43711</v>
      </c>
      <c r="B252" s="53">
        <v>251</v>
      </c>
      <c r="C252" s="53">
        <v>27906.0802</v>
      </c>
    </row>
    <row r="253" spans="1:3" x14ac:dyDescent="0.25">
      <c r="A253" s="52">
        <f t="shared" si="3"/>
        <v>43712</v>
      </c>
      <c r="B253" s="53">
        <v>252</v>
      </c>
      <c r="C253" s="53">
        <v>27908.566299999999</v>
      </c>
    </row>
    <row r="254" spans="1:3" x14ac:dyDescent="0.25">
      <c r="A254" s="52">
        <f t="shared" si="3"/>
        <v>43713</v>
      </c>
      <c r="B254" s="53">
        <v>253</v>
      </c>
      <c r="C254" s="53">
        <v>27911.052599999999</v>
      </c>
    </row>
    <row r="255" spans="1:3" x14ac:dyDescent="0.25">
      <c r="A255" s="52">
        <f t="shared" si="3"/>
        <v>43714</v>
      </c>
      <c r="B255" s="53">
        <v>254</v>
      </c>
      <c r="C255" s="53">
        <v>27913.539100000002</v>
      </c>
    </row>
    <row r="256" spans="1:3" x14ac:dyDescent="0.25">
      <c r="A256" s="52">
        <f t="shared" si="3"/>
        <v>43715</v>
      </c>
      <c r="B256" s="53">
        <v>255</v>
      </c>
      <c r="C256" s="53">
        <v>27916.025799999999</v>
      </c>
    </row>
    <row r="257" spans="1:3" x14ac:dyDescent="0.25">
      <c r="A257" s="52">
        <f t="shared" si="3"/>
        <v>43716</v>
      </c>
      <c r="B257" s="53">
        <v>256</v>
      </c>
      <c r="C257" s="53">
        <v>27918.5128</v>
      </c>
    </row>
    <row r="258" spans="1:3" x14ac:dyDescent="0.25">
      <c r="A258" s="52">
        <f t="shared" ref="A258:A321" si="4">+$G$4+B258</f>
        <v>43717</v>
      </c>
      <c r="B258" s="53">
        <v>257</v>
      </c>
      <c r="C258" s="53">
        <v>27921</v>
      </c>
    </row>
    <row r="259" spans="1:3" x14ac:dyDescent="0.25">
      <c r="A259" s="52">
        <f t="shared" si="4"/>
        <v>43718</v>
      </c>
      <c r="B259" s="53">
        <v>258</v>
      </c>
      <c r="C259" s="53">
        <v>27923.197499999998</v>
      </c>
    </row>
    <row r="260" spans="1:3" x14ac:dyDescent="0.25">
      <c r="A260" s="52">
        <f t="shared" si="4"/>
        <v>43719</v>
      </c>
      <c r="B260" s="53">
        <v>259</v>
      </c>
      <c r="C260" s="53">
        <v>27925.395199999999</v>
      </c>
    </row>
    <row r="261" spans="1:3" x14ac:dyDescent="0.25">
      <c r="A261" s="52">
        <f t="shared" si="4"/>
        <v>43720</v>
      </c>
      <c r="B261" s="53">
        <v>260</v>
      </c>
      <c r="C261" s="53">
        <v>27927.593000000001</v>
      </c>
    </row>
    <row r="262" spans="1:3" x14ac:dyDescent="0.25">
      <c r="A262" s="52">
        <f t="shared" si="4"/>
        <v>43721</v>
      </c>
      <c r="B262" s="53">
        <v>261</v>
      </c>
      <c r="C262" s="53">
        <v>27929.791000000001</v>
      </c>
    </row>
    <row r="263" spans="1:3" x14ac:dyDescent="0.25">
      <c r="A263" s="52">
        <f t="shared" si="4"/>
        <v>43722</v>
      </c>
      <c r="B263" s="53">
        <v>262</v>
      </c>
      <c r="C263" s="53">
        <v>27931.9892</v>
      </c>
    </row>
    <row r="264" spans="1:3" x14ac:dyDescent="0.25">
      <c r="A264" s="52">
        <f t="shared" si="4"/>
        <v>43723</v>
      </c>
      <c r="B264" s="53">
        <v>263</v>
      </c>
      <c r="C264" s="53">
        <v>27934.1875</v>
      </c>
    </row>
    <row r="265" spans="1:3" x14ac:dyDescent="0.25">
      <c r="A265" s="52">
        <f t="shared" si="4"/>
        <v>43724</v>
      </c>
      <c r="B265" s="53">
        <v>264</v>
      </c>
      <c r="C265" s="53">
        <v>27936.3861</v>
      </c>
    </row>
    <row r="266" spans="1:3" x14ac:dyDescent="0.25">
      <c r="A266" s="52">
        <f t="shared" si="4"/>
        <v>43725</v>
      </c>
      <c r="B266" s="53">
        <v>265</v>
      </c>
      <c r="C266" s="53">
        <v>27938.584800000001</v>
      </c>
    </row>
    <row r="267" spans="1:3" x14ac:dyDescent="0.25">
      <c r="A267" s="52">
        <f t="shared" si="4"/>
        <v>43726</v>
      </c>
      <c r="B267" s="53">
        <v>266</v>
      </c>
      <c r="C267" s="53">
        <v>27940.783599999999</v>
      </c>
    </row>
    <row r="268" spans="1:3" x14ac:dyDescent="0.25">
      <c r="A268" s="52">
        <f t="shared" si="4"/>
        <v>43727</v>
      </c>
      <c r="B268" s="53">
        <v>267</v>
      </c>
      <c r="C268" s="53">
        <v>27942.9827</v>
      </c>
    </row>
    <row r="269" spans="1:3" x14ac:dyDescent="0.25">
      <c r="A269" s="52">
        <f t="shared" si="4"/>
        <v>43728</v>
      </c>
      <c r="B269" s="53">
        <v>268</v>
      </c>
      <c r="C269" s="53">
        <v>27945.1819</v>
      </c>
    </row>
    <row r="270" spans="1:3" x14ac:dyDescent="0.25">
      <c r="A270" s="52">
        <f t="shared" si="4"/>
        <v>43729</v>
      </c>
      <c r="B270" s="53">
        <v>269</v>
      </c>
      <c r="C270" s="53">
        <v>27947.381300000001</v>
      </c>
    </row>
    <row r="271" spans="1:3" x14ac:dyDescent="0.25">
      <c r="A271" s="52">
        <f t="shared" si="4"/>
        <v>43730</v>
      </c>
      <c r="B271" s="53">
        <v>270</v>
      </c>
      <c r="C271" s="53">
        <v>27949.580900000001</v>
      </c>
    </row>
    <row r="272" spans="1:3" x14ac:dyDescent="0.25">
      <c r="A272" s="52">
        <f t="shared" si="4"/>
        <v>43731</v>
      </c>
      <c r="B272" s="53">
        <v>271</v>
      </c>
      <c r="C272" s="53">
        <v>27951.780599999998</v>
      </c>
    </row>
    <row r="273" spans="1:3" x14ac:dyDescent="0.25">
      <c r="A273" s="52">
        <f t="shared" si="4"/>
        <v>43732</v>
      </c>
      <c r="B273" s="53">
        <v>272</v>
      </c>
      <c r="C273" s="53">
        <v>27953.980500000001</v>
      </c>
    </row>
    <row r="274" spans="1:3" x14ac:dyDescent="0.25">
      <c r="A274" s="52">
        <f t="shared" si="4"/>
        <v>43733</v>
      </c>
      <c r="B274" s="53">
        <v>273</v>
      </c>
      <c r="C274" s="53">
        <v>27956.1806</v>
      </c>
    </row>
    <row r="275" spans="1:3" x14ac:dyDescent="0.25">
      <c r="A275" s="52">
        <f t="shared" si="4"/>
        <v>43734</v>
      </c>
      <c r="B275" s="53">
        <v>274</v>
      </c>
      <c r="C275" s="53">
        <v>27958.3809</v>
      </c>
    </row>
    <row r="276" spans="1:3" x14ac:dyDescent="0.25">
      <c r="A276" s="52">
        <f t="shared" si="4"/>
        <v>43735</v>
      </c>
      <c r="B276" s="53">
        <v>275</v>
      </c>
      <c r="C276" s="53">
        <v>27960.581300000002</v>
      </c>
    </row>
    <row r="277" spans="1:3" x14ac:dyDescent="0.25">
      <c r="A277" s="52">
        <f t="shared" si="4"/>
        <v>43736</v>
      </c>
      <c r="B277" s="53">
        <v>276</v>
      </c>
      <c r="C277" s="53">
        <v>27962.781900000002</v>
      </c>
    </row>
    <row r="278" spans="1:3" x14ac:dyDescent="0.25">
      <c r="A278" s="52">
        <f t="shared" si="4"/>
        <v>43737</v>
      </c>
      <c r="B278" s="53">
        <v>277</v>
      </c>
      <c r="C278" s="53">
        <v>27964.9827</v>
      </c>
    </row>
    <row r="279" spans="1:3" x14ac:dyDescent="0.25">
      <c r="A279" s="52">
        <f t="shared" si="4"/>
        <v>43738</v>
      </c>
      <c r="B279" s="53">
        <v>278</v>
      </c>
      <c r="C279" s="53">
        <v>27967.1836</v>
      </c>
    </row>
    <row r="280" spans="1:3" x14ac:dyDescent="0.25">
      <c r="A280" s="52">
        <f t="shared" si="4"/>
        <v>43739</v>
      </c>
      <c r="B280" s="53">
        <v>279</v>
      </c>
      <c r="C280" s="53">
        <v>27969.3848</v>
      </c>
    </row>
    <row r="281" spans="1:3" x14ac:dyDescent="0.25">
      <c r="A281" s="52">
        <f t="shared" si="4"/>
        <v>43740</v>
      </c>
      <c r="B281" s="53">
        <v>280</v>
      </c>
      <c r="C281" s="53">
        <v>27971.5861</v>
      </c>
    </row>
    <row r="282" spans="1:3" x14ac:dyDescent="0.25">
      <c r="A282" s="52">
        <f t="shared" si="4"/>
        <v>43741</v>
      </c>
      <c r="B282" s="53">
        <v>281</v>
      </c>
      <c r="C282" s="53">
        <v>27973.787499999999</v>
      </c>
    </row>
    <row r="283" spans="1:3" x14ac:dyDescent="0.25">
      <c r="A283" s="52">
        <f t="shared" si="4"/>
        <v>43742</v>
      </c>
      <c r="B283" s="53">
        <v>282</v>
      </c>
      <c r="C283" s="53">
        <v>27975.9892</v>
      </c>
    </row>
    <row r="284" spans="1:3" x14ac:dyDescent="0.25">
      <c r="A284" s="52">
        <f t="shared" si="4"/>
        <v>43743</v>
      </c>
      <c r="B284" s="53">
        <v>283</v>
      </c>
      <c r="C284" s="53">
        <v>27978.190999999999</v>
      </c>
    </row>
    <row r="285" spans="1:3" x14ac:dyDescent="0.25">
      <c r="A285" s="52">
        <f t="shared" si="4"/>
        <v>43744</v>
      </c>
      <c r="B285" s="53">
        <v>284</v>
      </c>
      <c r="C285" s="53">
        <v>27980.393</v>
      </c>
    </row>
    <row r="286" spans="1:3" x14ac:dyDescent="0.25">
      <c r="A286" s="52">
        <f t="shared" si="4"/>
        <v>43745</v>
      </c>
      <c r="B286" s="53">
        <v>285</v>
      </c>
      <c r="C286" s="53">
        <v>27982.5952</v>
      </c>
    </row>
    <row r="287" spans="1:3" x14ac:dyDescent="0.25">
      <c r="A287" s="52">
        <f t="shared" si="4"/>
        <v>43746</v>
      </c>
      <c r="B287" s="53">
        <v>286</v>
      </c>
      <c r="C287" s="53">
        <v>27984.797500000001</v>
      </c>
    </row>
    <row r="288" spans="1:3" x14ac:dyDescent="0.25">
      <c r="A288" s="52">
        <f t="shared" si="4"/>
        <v>43747</v>
      </c>
      <c r="B288" s="53">
        <v>287</v>
      </c>
      <c r="C288" s="53">
        <v>27987</v>
      </c>
    </row>
    <row r="289" spans="1:3" x14ac:dyDescent="0.25">
      <c r="A289" s="52">
        <f t="shared" si="4"/>
        <v>43748</v>
      </c>
      <c r="B289" s="53">
        <v>288</v>
      </c>
      <c r="C289" s="53">
        <v>27990.061799999999</v>
      </c>
    </row>
    <row r="290" spans="1:3" x14ac:dyDescent="0.25">
      <c r="A290" s="52">
        <f t="shared" si="4"/>
        <v>43749</v>
      </c>
      <c r="B290" s="53">
        <v>289</v>
      </c>
      <c r="C290" s="53">
        <v>27993.123899999999</v>
      </c>
    </row>
    <row r="291" spans="1:3" x14ac:dyDescent="0.25">
      <c r="A291" s="52">
        <f t="shared" si="4"/>
        <v>43750</v>
      </c>
      <c r="B291" s="53">
        <v>290</v>
      </c>
      <c r="C291" s="53">
        <v>27996.186399999999</v>
      </c>
    </row>
    <row r="292" spans="1:3" x14ac:dyDescent="0.25">
      <c r="A292" s="52">
        <f t="shared" si="4"/>
        <v>43751</v>
      </c>
      <c r="B292" s="53">
        <v>291</v>
      </c>
      <c r="C292" s="53">
        <v>27999.249199999998</v>
      </c>
    </row>
    <row r="293" spans="1:3" x14ac:dyDescent="0.25">
      <c r="A293" s="52">
        <f t="shared" si="4"/>
        <v>43752</v>
      </c>
      <c r="B293" s="53">
        <v>292</v>
      </c>
      <c r="C293" s="53">
        <v>28002.312399999999</v>
      </c>
    </row>
    <row r="294" spans="1:3" x14ac:dyDescent="0.25">
      <c r="A294" s="52">
        <f t="shared" si="4"/>
        <v>43753</v>
      </c>
      <c r="B294" s="53">
        <v>293</v>
      </c>
      <c r="C294" s="53">
        <v>28005.375899999999</v>
      </c>
    </row>
    <row r="295" spans="1:3" x14ac:dyDescent="0.25">
      <c r="A295" s="52">
        <f t="shared" si="4"/>
        <v>43754</v>
      </c>
      <c r="B295" s="53">
        <v>294</v>
      </c>
      <c r="C295" s="53">
        <v>28008.439699999999</v>
      </c>
    </row>
    <row r="296" spans="1:3" x14ac:dyDescent="0.25">
      <c r="A296" s="52">
        <f t="shared" si="4"/>
        <v>43755</v>
      </c>
      <c r="B296" s="53">
        <v>295</v>
      </c>
      <c r="C296" s="53">
        <v>28011.503799999999</v>
      </c>
    </row>
    <row r="297" spans="1:3" x14ac:dyDescent="0.25">
      <c r="A297" s="52">
        <f t="shared" si="4"/>
        <v>43756</v>
      </c>
      <c r="B297" s="53">
        <v>296</v>
      </c>
      <c r="C297" s="53">
        <v>28014.568299999999</v>
      </c>
    </row>
    <row r="298" spans="1:3" x14ac:dyDescent="0.25">
      <c r="A298" s="52">
        <f t="shared" si="4"/>
        <v>43757</v>
      </c>
      <c r="B298" s="53">
        <v>297</v>
      </c>
      <c r="C298" s="53">
        <v>28017.633099999999</v>
      </c>
    </row>
    <row r="299" spans="1:3" x14ac:dyDescent="0.25">
      <c r="A299" s="52">
        <f t="shared" si="4"/>
        <v>43758</v>
      </c>
      <c r="B299" s="53">
        <v>298</v>
      </c>
      <c r="C299" s="53">
        <v>28020.6983</v>
      </c>
    </row>
    <row r="300" spans="1:3" x14ac:dyDescent="0.25">
      <c r="A300" s="52">
        <f t="shared" si="4"/>
        <v>43759</v>
      </c>
      <c r="B300" s="53">
        <v>299</v>
      </c>
      <c r="C300" s="53">
        <v>28023.763800000001</v>
      </c>
    </row>
    <row r="301" spans="1:3" x14ac:dyDescent="0.25">
      <c r="A301" s="52">
        <f t="shared" si="4"/>
        <v>43760</v>
      </c>
      <c r="B301" s="53">
        <v>300</v>
      </c>
      <c r="C301" s="53">
        <v>28026.829600000001</v>
      </c>
    </row>
    <row r="302" spans="1:3" x14ac:dyDescent="0.25">
      <c r="A302" s="52">
        <f t="shared" si="4"/>
        <v>43761</v>
      </c>
      <c r="B302" s="53">
        <v>301</v>
      </c>
      <c r="C302" s="53">
        <v>28029.895799999998</v>
      </c>
    </row>
    <row r="303" spans="1:3" x14ac:dyDescent="0.25">
      <c r="A303" s="52">
        <f t="shared" si="4"/>
        <v>43762</v>
      </c>
      <c r="B303" s="53">
        <v>302</v>
      </c>
      <c r="C303" s="53">
        <v>28032.962299999999</v>
      </c>
    </row>
    <row r="304" spans="1:3" x14ac:dyDescent="0.25">
      <c r="A304" s="52">
        <f t="shared" si="4"/>
        <v>43763</v>
      </c>
      <c r="B304" s="53">
        <v>303</v>
      </c>
      <c r="C304" s="53">
        <v>28036.0291</v>
      </c>
    </row>
    <row r="305" spans="1:3" x14ac:dyDescent="0.25">
      <c r="A305" s="52">
        <f t="shared" si="4"/>
        <v>43764</v>
      </c>
      <c r="B305" s="53">
        <v>304</v>
      </c>
      <c r="C305" s="53">
        <v>28039.096300000001</v>
      </c>
    </row>
    <row r="306" spans="1:3" x14ac:dyDescent="0.25">
      <c r="A306" s="52">
        <f t="shared" si="4"/>
        <v>43765</v>
      </c>
      <c r="B306" s="53">
        <v>305</v>
      </c>
      <c r="C306" s="53">
        <v>28042.163799999998</v>
      </c>
    </row>
    <row r="307" spans="1:3" x14ac:dyDescent="0.25">
      <c r="A307" s="52">
        <f t="shared" si="4"/>
        <v>43766</v>
      </c>
      <c r="B307" s="53">
        <v>306</v>
      </c>
      <c r="C307" s="53">
        <v>28045.231599999999</v>
      </c>
    </row>
    <row r="308" spans="1:3" x14ac:dyDescent="0.25">
      <c r="A308" s="52">
        <f t="shared" si="4"/>
        <v>43767</v>
      </c>
      <c r="B308" s="53">
        <v>307</v>
      </c>
      <c r="C308" s="53">
        <v>28048.299800000001</v>
      </c>
    </row>
    <row r="309" spans="1:3" x14ac:dyDescent="0.25">
      <c r="A309" s="52">
        <f t="shared" si="4"/>
        <v>43768</v>
      </c>
      <c r="B309" s="53">
        <v>308</v>
      </c>
      <c r="C309" s="53">
        <v>28051.368299999998</v>
      </c>
    </row>
    <row r="310" spans="1:3" x14ac:dyDescent="0.25">
      <c r="A310" s="52">
        <f t="shared" si="4"/>
        <v>43769</v>
      </c>
      <c r="B310" s="53">
        <v>309</v>
      </c>
      <c r="C310" s="53">
        <v>28054.437099999999</v>
      </c>
    </row>
    <row r="311" spans="1:3" x14ac:dyDescent="0.25">
      <c r="A311" s="52">
        <f t="shared" si="4"/>
        <v>43770</v>
      </c>
      <c r="B311" s="53">
        <v>310</v>
      </c>
      <c r="C311" s="53">
        <v>28057.506300000001</v>
      </c>
    </row>
    <row r="312" spans="1:3" x14ac:dyDescent="0.25">
      <c r="A312" s="52">
        <f t="shared" si="4"/>
        <v>43771</v>
      </c>
      <c r="B312" s="53">
        <v>311</v>
      </c>
      <c r="C312" s="53">
        <v>28060.575799999999</v>
      </c>
    </row>
    <row r="313" spans="1:3" x14ac:dyDescent="0.25">
      <c r="A313" s="52">
        <f t="shared" si="4"/>
        <v>43772</v>
      </c>
      <c r="B313" s="53">
        <v>312</v>
      </c>
      <c r="C313" s="53">
        <v>28063.645700000001</v>
      </c>
    </row>
    <row r="314" spans="1:3" x14ac:dyDescent="0.25">
      <c r="A314" s="52">
        <f t="shared" si="4"/>
        <v>43773</v>
      </c>
      <c r="B314" s="53">
        <v>313</v>
      </c>
      <c r="C314" s="53">
        <v>28066.715899999999</v>
      </c>
    </row>
    <row r="315" spans="1:3" x14ac:dyDescent="0.25">
      <c r="A315" s="52">
        <f t="shared" si="4"/>
        <v>43774</v>
      </c>
      <c r="B315" s="53">
        <v>314</v>
      </c>
      <c r="C315" s="53">
        <v>28069.786400000001</v>
      </c>
    </row>
    <row r="316" spans="1:3" x14ac:dyDescent="0.25">
      <c r="A316" s="52">
        <f t="shared" si="4"/>
        <v>43775</v>
      </c>
      <c r="B316" s="53">
        <v>315</v>
      </c>
      <c r="C316" s="53">
        <v>28072.8573</v>
      </c>
    </row>
    <row r="317" spans="1:3" x14ac:dyDescent="0.25">
      <c r="A317" s="52">
        <f t="shared" si="4"/>
        <v>43776</v>
      </c>
      <c r="B317" s="53">
        <v>316</v>
      </c>
      <c r="C317" s="53">
        <v>28075.928500000002</v>
      </c>
    </row>
    <row r="318" spans="1:3" x14ac:dyDescent="0.25">
      <c r="A318" s="52">
        <f t="shared" si="4"/>
        <v>43777</v>
      </c>
      <c r="B318" s="53">
        <v>317</v>
      </c>
      <c r="C318" s="53">
        <v>28079</v>
      </c>
    </row>
    <row r="319" spans="1:3" x14ac:dyDescent="0.25">
      <c r="A319" s="52">
        <f t="shared" si="4"/>
        <v>43778</v>
      </c>
      <c r="B319" s="53">
        <v>318</v>
      </c>
      <c r="C319" s="53">
        <v>28082.252400000001</v>
      </c>
    </row>
    <row r="320" spans="1:3" x14ac:dyDescent="0.25">
      <c r="A320" s="52">
        <f t="shared" si="4"/>
        <v>43779</v>
      </c>
      <c r="B320" s="53">
        <v>319</v>
      </c>
      <c r="C320" s="53">
        <v>28085.5052</v>
      </c>
    </row>
    <row r="321" spans="1:3" x14ac:dyDescent="0.25">
      <c r="A321" s="52">
        <f t="shared" si="4"/>
        <v>43780</v>
      </c>
      <c r="B321" s="53">
        <v>320</v>
      </c>
      <c r="C321" s="53">
        <v>28088.758399999999</v>
      </c>
    </row>
    <row r="322" spans="1:3" x14ac:dyDescent="0.25">
      <c r="A322" s="52">
        <f t="shared" ref="A322:A385" si="5">+$G$4+B322</f>
        <v>43781</v>
      </c>
      <c r="B322" s="53">
        <v>321</v>
      </c>
      <c r="C322" s="53">
        <v>28092.011900000001</v>
      </c>
    </row>
    <row r="323" spans="1:3" x14ac:dyDescent="0.25">
      <c r="A323" s="52">
        <f t="shared" si="5"/>
        <v>43782</v>
      </c>
      <c r="B323" s="53">
        <v>322</v>
      </c>
      <c r="C323" s="53">
        <v>28095.265800000001</v>
      </c>
    </row>
    <row r="324" spans="1:3" x14ac:dyDescent="0.25">
      <c r="A324" s="52">
        <f t="shared" si="5"/>
        <v>43783</v>
      </c>
      <c r="B324" s="53">
        <v>323</v>
      </c>
      <c r="C324" s="53">
        <v>28098.520100000002</v>
      </c>
    </row>
    <row r="325" spans="1:3" x14ac:dyDescent="0.25">
      <c r="A325" s="52">
        <f t="shared" si="5"/>
        <v>43784</v>
      </c>
      <c r="B325" s="53">
        <v>324</v>
      </c>
      <c r="C325" s="53">
        <v>28101.774799999999</v>
      </c>
    </row>
    <row r="326" spans="1:3" x14ac:dyDescent="0.25">
      <c r="A326" s="52">
        <f t="shared" si="5"/>
        <v>43785</v>
      </c>
      <c r="B326" s="53">
        <v>325</v>
      </c>
      <c r="C326" s="53">
        <v>28105.0298</v>
      </c>
    </row>
    <row r="327" spans="1:3" x14ac:dyDescent="0.25">
      <c r="A327" s="52">
        <f t="shared" si="5"/>
        <v>43786</v>
      </c>
      <c r="B327" s="53">
        <v>326</v>
      </c>
      <c r="C327" s="53">
        <v>28108.285199999998</v>
      </c>
    </row>
    <row r="328" spans="1:3" x14ac:dyDescent="0.25">
      <c r="A328" s="52">
        <f t="shared" si="5"/>
        <v>43787</v>
      </c>
      <c r="B328" s="53">
        <v>327</v>
      </c>
      <c r="C328" s="53">
        <v>28111.541000000001</v>
      </c>
    </row>
    <row r="329" spans="1:3" x14ac:dyDescent="0.25">
      <c r="A329" s="52">
        <f t="shared" si="5"/>
        <v>43788</v>
      </c>
      <c r="B329" s="53">
        <v>328</v>
      </c>
      <c r="C329" s="53">
        <v>28114.797200000001</v>
      </c>
    </row>
    <row r="330" spans="1:3" x14ac:dyDescent="0.25">
      <c r="A330" s="52">
        <f t="shared" si="5"/>
        <v>43789</v>
      </c>
      <c r="B330" s="53">
        <v>329</v>
      </c>
      <c r="C330" s="53">
        <v>28118.053800000002</v>
      </c>
    </row>
    <row r="331" spans="1:3" x14ac:dyDescent="0.25">
      <c r="A331" s="52">
        <f t="shared" si="5"/>
        <v>43790</v>
      </c>
      <c r="B331" s="53">
        <v>330</v>
      </c>
      <c r="C331" s="53">
        <v>28121.310700000002</v>
      </c>
    </row>
    <row r="332" spans="1:3" x14ac:dyDescent="0.25">
      <c r="A332" s="52">
        <f t="shared" si="5"/>
        <v>43791</v>
      </c>
      <c r="B332" s="53">
        <v>331</v>
      </c>
      <c r="C332" s="53">
        <v>28124.567999999999</v>
      </c>
    </row>
    <row r="333" spans="1:3" x14ac:dyDescent="0.25">
      <c r="A333" s="52">
        <f t="shared" si="5"/>
        <v>43792</v>
      </c>
      <c r="B333" s="53">
        <v>332</v>
      </c>
      <c r="C333" s="53">
        <v>28127.825700000001</v>
      </c>
    </row>
    <row r="334" spans="1:3" x14ac:dyDescent="0.25">
      <c r="A334" s="52">
        <f t="shared" si="5"/>
        <v>43793</v>
      </c>
      <c r="B334" s="53">
        <v>333</v>
      </c>
      <c r="C334" s="53">
        <v>28131.083699999999</v>
      </c>
    </row>
    <row r="335" spans="1:3" x14ac:dyDescent="0.25">
      <c r="A335" s="52">
        <f t="shared" si="5"/>
        <v>43794</v>
      </c>
      <c r="B335" s="53">
        <v>334</v>
      </c>
      <c r="C335" s="53">
        <v>28134.342199999999</v>
      </c>
    </row>
    <row r="336" spans="1:3" x14ac:dyDescent="0.25">
      <c r="A336" s="52">
        <f t="shared" si="5"/>
        <v>43795</v>
      </c>
      <c r="B336" s="53">
        <v>335</v>
      </c>
      <c r="C336" s="53">
        <v>28137.600999999999</v>
      </c>
    </row>
    <row r="337" spans="1:3" x14ac:dyDescent="0.25">
      <c r="A337" s="52">
        <f t="shared" si="5"/>
        <v>43796</v>
      </c>
      <c r="B337" s="53">
        <v>336</v>
      </c>
      <c r="C337" s="53">
        <v>28140.860199999999</v>
      </c>
    </row>
    <row r="338" spans="1:3" x14ac:dyDescent="0.25">
      <c r="A338" s="52">
        <f t="shared" si="5"/>
        <v>43797</v>
      </c>
      <c r="B338" s="53">
        <v>337</v>
      </c>
      <c r="C338" s="53">
        <v>28144.1198</v>
      </c>
    </row>
    <row r="339" spans="1:3" x14ac:dyDescent="0.25">
      <c r="A339" s="52">
        <f t="shared" si="5"/>
        <v>43798</v>
      </c>
      <c r="B339" s="53">
        <v>338</v>
      </c>
      <c r="C339" s="53">
        <v>28147.379700000001</v>
      </c>
    </row>
    <row r="340" spans="1:3" x14ac:dyDescent="0.25">
      <c r="A340" s="52">
        <f t="shared" si="5"/>
        <v>43799</v>
      </c>
      <c r="B340" s="53">
        <v>339</v>
      </c>
      <c r="C340" s="53">
        <v>28150.640100000001</v>
      </c>
    </row>
    <row r="341" spans="1:3" x14ac:dyDescent="0.25">
      <c r="A341" s="52">
        <f t="shared" si="5"/>
        <v>43800</v>
      </c>
      <c r="B341" s="53">
        <v>340</v>
      </c>
      <c r="C341" s="53">
        <v>28153.900799999999</v>
      </c>
    </row>
    <row r="342" spans="1:3" x14ac:dyDescent="0.25">
      <c r="A342" s="52">
        <f t="shared" si="5"/>
        <v>43801</v>
      </c>
      <c r="B342" s="53">
        <v>341</v>
      </c>
      <c r="C342" s="53">
        <v>28157.161800000002</v>
      </c>
    </row>
    <row r="343" spans="1:3" x14ac:dyDescent="0.25">
      <c r="A343" s="52">
        <f t="shared" si="5"/>
        <v>43802</v>
      </c>
      <c r="B343" s="53">
        <v>342</v>
      </c>
      <c r="C343" s="53">
        <v>28160.423299999999</v>
      </c>
    </row>
    <row r="344" spans="1:3" x14ac:dyDescent="0.25">
      <c r="A344" s="52">
        <f t="shared" si="5"/>
        <v>43803</v>
      </c>
      <c r="B344" s="53">
        <v>343</v>
      </c>
      <c r="C344" s="53">
        <v>28163.685099999999</v>
      </c>
    </row>
    <row r="345" spans="1:3" x14ac:dyDescent="0.25">
      <c r="A345" s="52">
        <f t="shared" si="5"/>
        <v>43804</v>
      </c>
      <c r="B345" s="53">
        <v>344</v>
      </c>
      <c r="C345" s="53">
        <v>28166.947400000001</v>
      </c>
    </row>
    <row r="346" spans="1:3" x14ac:dyDescent="0.25">
      <c r="A346" s="52">
        <f t="shared" si="5"/>
        <v>43805</v>
      </c>
      <c r="B346" s="53">
        <v>345</v>
      </c>
      <c r="C346" s="53">
        <v>28170.209900000002</v>
      </c>
    </row>
    <row r="347" spans="1:3" x14ac:dyDescent="0.25">
      <c r="A347" s="52">
        <f t="shared" si="5"/>
        <v>43806</v>
      </c>
      <c r="B347" s="53">
        <v>346</v>
      </c>
      <c r="C347" s="53">
        <v>28173.472900000001</v>
      </c>
    </row>
    <row r="348" spans="1:3" x14ac:dyDescent="0.25">
      <c r="A348" s="52">
        <f t="shared" si="5"/>
        <v>43807</v>
      </c>
      <c r="B348" s="53">
        <v>347</v>
      </c>
      <c r="C348" s="53">
        <v>28176.7363</v>
      </c>
    </row>
    <row r="349" spans="1:3" x14ac:dyDescent="0.25">
      <c r="A349" s="52">
        <f t="shared" si="5"/>
        <v>43808</v>
      </c>
      <c r="B349" s="53">
        <v>348</v>
      </c>
      <c r="C349" s="53">
        <v>28180</v>
      </c>
    </row>
    <row r="350" spans="1:3" x14ac:dyDescent="0.25">
      <c r="A350" s="52">
        <f t="shared" si="5"/>
        <v>43809</v>
      </c>
      <c r="B350" s="53">
        <v>349</v>
      </c>
      <c r="C350" s="53">
        <v>28180.967199999999</v>
      </c>
    </row>
    <row r="351" spans="1:3" x14ac:dyDescent="0.25">
      <c r="A351" s="52">
        <f t="shared" si="5"/>
        <v>43810</v>
      </c>
      <c r="B351" s="53">
        <v>350</v>
      </c>
      <c r="C351" s="53">
        <v>28181.934499999999</v>
      </c>
    </row>
    <row r="352" spans="1:3" x14ac:dyDescent="0.25">
      <c r="A352" s="52">
        <f t="shared" si="5"/>
        <v>43811</v>
      </c>
      <c r="B352" s="53">
        <v>351</v>
      </c>
      <c r="C352" s="53">
        <v>28182.9018</v>
      </c>
    </row>
    <row r="353" spans="1:3" x14ac:dyDescent="0.25">
      <c r="A353" s="52">
        <f t="shared" si="5"/>
        <v>43812</v>
      </c>
      <c r="B353" s="53">
        <v>352</v>
      </c>
      <c r="C353" s="53">
        <v>28183.869200000001</v>
      </c>
    </row>
    <row r="354" spans="1:3" x14ac:dyDescent="0.25">
      <c r="A354" s="52">
        <f t="shared" si="5"/>
        <v>43813</v>
      </c>
      <c r="B354" s="53">
        <v>353</v>
      </c>
      <c r="C354" s="53">
        <v>28184.836599999999</v>
      </c>
    </row>
    <row r="355" spans="1:3" x14ac:dyDescent="0.25">
      <c r="A355" s="52">
        <f t="shared" si="5"/>
        <v>43814</v>
      </c>
      <c r="B355" s="53">
        <v>354</v>
      </c>
      <c r="C355" s="53">
        <v>28185.804</v>
      </c>
    </row>
    <row r="356" spans="1:3" x14ac:dyDescent="0.25">
      <c r="A356" s="52">
        <f t="shared" si="5"/>
        <v>43815</v>
      </c>
      <c r="B356" s="53">
        <v>355</v>
      </c>
      <c r="C356" s="53">
        <v>28186.771400000001</v>
      </c>
    </row>
    <row r="357" spans="1:3" x14ac:dyDescent="0.25">
      <c r="A357" s="52">
        <f t="shared" si="5"/>
        <v>43816</v>
      </c>
      <c r="B357" s="53">
        <v>356</v>
      </c>
      <c r="C357" s="53">
        <v>28187.7389</v>
      </c>
    </row>
    <row r="358" spans="1:3" x14ac:dyDescent="0.25">
      <c r="A358" s="52">
        <f t="shared" si="5"/>
        <v>43817</v>
      </c>
      <c r="B358" s="53">
        <v>357</v>
      </c>
      <c r="C358" s="53">
        <v>28188.706399999999</v>
      </c>
    </row>
    <row r="359" spans="1:3" x14ac:dyDescent="0.25">
      <c r="A359" s="52">
        <f t="shared" si="5"/>
        <v>43818</v>
      </c>
      <c r="B359" s="53">
        <v>358</v>
      </c>
      <c r="C359" s="53">
        <v>28189.673900000002</v>
      </c>
    </row>
    <row r="360" spans="1:3" x14ac:dyDescent="0.25">
      <c r="A360" s="52">
        <f t="shared" si="5"/>
        <v>43819</v>
      </c>
      <c r="B360" s="53">
        <v>359</v>
      </c>
      <c r="C360" s="53">
        <v>28190.641500000002</v>
      </c>
    </row>
    <row r="361" spans="1:3" x14ac:dyDescent="0.25">
      <c r="A361" s="52">
        <f t="shared" si="5"/>
        <v>43820</v>
      </c>
      <c r="B361" s="53">
        <v>360</v>
      </c>
      <c r="C361" s="53">
        <v>28191.609100000001</v>
      </c>
    </row>
    <row r="362" spans="1:3" x14ac:dyDescent="0.25">
      <c r="A362" s="52">
        <f t="shared" si="5"/>
        <v>43821</v>
      </c>
      <c r="B362" s="53">
        <v>361</v>
      </c>
      <c r="C362" s="53">
        <v>28192.576799999999</v>
      </c>
    </row>
    <row r="363" spans="1:3" x14ac:dyDescent="0.25">
      <c r="A363" s="52">
        <f t="shared" si="5"/>
        <v>43822</v>
      </c>
      <c r="B363" s="53">
        <v>362</v>
      </c>
      <c r="C363" s="53">
        <v>28193.544399999999</v>
      </c>
    </row>
    <row r="364" spans="1:3" x14ac:dyDescent="0.25">
      <c r="A364" s="52">
        <f t="shared" si="5"/>
        <v>43823</v>
      </c>
      <c r="B364" s="53">
        <v>363</v>
      </c>
      <c r="C364" s="53">
        <v>28194.5121</v>
      </c>
    </row>
    <row r="365" spans="1:3" x14ac:dyDescent="0.25">
      <c r="A365" s="52">
        <f t="shared" si="5"/>
        <v>43824</v>
      </c>
      <c r="B365" s="53">
        <v>364</v>
      </c>
      <c r="C365" s="53">
        <v>28195.479899999998</v>
      </c>
    </row>
    <row r="366" spans="1:3" x14ac:dyDescent="0.25">
      <c r="A366" s="52">
        <f t="shared" si="5"/>
        <v>43825</v>
      </c>
      <c r="B366" s="53">
        <v>365</v>
      </c>
      <c r="C366" s="53">
        <v>28196.447700000001</v>
      </c>
    </row>
    <row r="367" spans="1:3" x14ac:dyDescent="0.25">
      <c r="A367" s="52">
        <f t="shared" si="5"/>
        <v>43826</v>
      </c>
      <c r="B367" s="53">
        <v>366</v>
      </c>
      <c r="C367" s="53">
        <v>28197.415499999999</v>
      </c>
    </row>
    <row r="368" spans="1:3" x14ac:dyDescent="0.25">
      <c r="A368" s="52">
        <f t="shared" si="5"/>
        <v>43827</v>
      </c>
      <c r="B368" s="53">
        <v>367</v>
      </c>
      <c r="C368" s="53">
        <v>28198.383300000001</v>
      </c>
    </row>
    <row r="369" spans="1:3" x14ac:dyDescent="0.25">
      <c r="A369" s="52">
        <f t="shared" si="5"/>
        <v>43828</v>
      </c>
      <c r="B369" s="53">
        <v>368</v>
      </c>
      <c r="C369" s="53">
        <v>28199.351200000001</v>
      </c>
    </row>
    <row r="370" spans="1:3" x14ac:dyDescent="0.25">
      <c r="A370" s="52">
        <f t="shared" si="5"/>
        <v>43829</v>
      </c>
      <c r="B370" s="53">
        <v>369</v>
      </c>
      <c r="C370" s="53">
        <v>28200.319100000001</v>
      </c>
    </row>
    <row r="371" spans="1:3" x14ac:dyDescent="0.25">
      <c r="A371" s="52">
        <f t="shared" si="5"/>
        <v>43830</v>
      </c>
      <c r="B371" s="53">
        <v>370</v>
      </c>
      <c r="C371" s="53">
        <v>28201.287</v>
      </c>
    </row>
    <row r="372" spans="1:3" x14ac:dyDescent="0.25">
      <c r="A372" s="52">
        <f t="shared" si="5"/>
        <v>43831</v>
      </c>
      <c r="B372" s="53">
        <v>371</v>
      </c>
      <c r="C372" s="53">
        <v>28202.255000000001</v>
      </c>
    </row>
    <row r="373" spans="1:3" x14ac:dyDescent="0.25">
      <c r="A373" s="52">
        <f t="shared" si="5"/>
        <v>43832</v>
      </c>
      <c r="B373" s="53">
        <v>372</v>
      </c>
      <c r="C373" s="53">
        <v>28203.223000000002</v>
      </c>
    </row>
    <row r="374" spans="1:3" x14ac:dyDescent="0.25">
      <c r="A374" s="52">
        <f t="shared" si="5"/>
        <v>43833</v>
      </c>
      <c r="B374" s="53">
        <v>373</v>
      </c>
      <c r="C374" s="53">
        <v>28204.1911</v>
      </c>
    </row>
    <row r="375" spans="1:3" x14ac:dyDescent="0.25">
      <c r="A375" s="52">
        <f t="shared" si="5"/>
        <v>43834</v>
      </c>
      <c r="B375" s="53">
        <v>374</v>
      </c>
      <c r="C375" s="53">
        <v>28205.159100000001</v>
      </c>
    </row>
    <row r="376" spans="1:3" x14ac:dyDescent="0.25">
      <c r="A376" s="52">
        <f t="shared" si="5"/>
        <v>43835</v>
      </c>
      <c r="B376" s="53">
        <v>375</v>
      </c>
      <c r="C376" s="53">
        <v>28206.127199999999</v>
      </c>
    </row>
    <row r="377" spans="1:3" x14ac:dyDescent="0.25">
      <c r="A377" s="52">
        <f t="shared" si="5"/>
        <v>43836</v>
      </c>
      <c r="B377" s="53">
        <v>376</v>
      </c>
      <c r="C377" s="53">
        <v>28207.095399999998</v>
      </c>
    </row>
    <row r="378" spans="1:3" x14ac:dyDescent="0.25">
      <c r="A378" s="52">
        <f t="shared" si="5"/>
        <v>43837</v>
      </c>
      <c r="B378" s="53">
        <v>377</v>
      </c>
      <c r="C378" s="53">
        <v>28208.063600000001</v>
      </c>
    </row>
    <row r="379" spans="1:3" x14ac:dyDescent="0.25">
      <c r="A379" s="52">
        <f t="shared" si="5"/>
        <v>43838</v>
      </c>
      <c r="B379" s="53">
        <v>378</v>
      </c>
      <c r="C379" s="53">
        <v>28209.031800000001</v>
      </c>
    </row>
    <row r="380" spans="1:3" x14ac:dyDescent="0.25">
      <c r="A380" s="52">
        <f t="shared" si="5"/>
        <v>43839</v>
      </c>
      <c r="B380" s="53">
        <v>379</v>
      </c>
      <c r="C380" s="53">
        <v>28210</v>
      </c>
    </row>
    <row r="381" spans="1:3" x14ac:dyDescent="0.25">
      <c r="A381" s="52">
        <f t="shared" si="5"/>
        <v>43840</v>
      </c>
      <c r="B381" s="53">
        <v>380</v>
      </c>
      <c r="C381" s="53">
        <v>28211.102800000001</v>
      </c>
    </row>
    <row r="382" spans="1:3" x14ac:dyDescent="0.25">
      <c r="A382" s="52">
        <f t="shared" si="5"/>
        <v>43841</v>
      </c>
      <c r="B382" s="53">
        <v>381</v>
      </c>
      <c r="C382" s="53">
        <v>28212.205699999999</v>
      </c>
    </row>
    <row r="383" spans="1:3" x14ac:dyDescent="0.25">
      <c r="A383" s="52">
        <f t="shared" si="5"/>
        <v>43842</v>
      </c>
      <c r="B383" s="53">
        <v>382</v>
      </c>
      <c r="C383" s="53">
        <v>28213.308700000001</v>
      </c>
    </row>
    <row r="384" spans="1:3" x14ac:dyDescent="0.25">
      <c r="A384" s="52">
        <f t="shared" si="5"/>
        <v>43843</v>
      </c>
      <c r="B384" s="53">
        <v>383</v>
      </c>
      <c r="C384" s="53">
        <v>28214.411599999999</v>
      </c>
    </row>
    <row r="385" spans="1:3" x14ac:dyDescent="0.25">
      <c r="A385" s="52">
        <f t="shared" si="5"/>
        <v>43844</v>
      </c>
      <c r="B385" s="53">
        <v>384</v>
      </c>
      <c r="C385" s="53">
        <v>28215.5147</v>
      </c>
    </row>
    <row r="386" spans="1:3" x14ac:dyDescent="0.25">
      <c r="A386" s="52">
        <f t="shared" ref="A386:A449" si="6">+$G$4+B386</f>
        <v>43845</v>
      </c>
      <c r="B386" s="53">
        <v>385</v>
      </c>
      <c r="C386" s="53">
        <v>28216.617699999999</v>
      </c>
    </row>
    <row r="387" spans="1:3" x14ac:dyDescent="0.25">
      <c r="A387" s="52">
        <f t="shared" si="6"/>
        <v>43846</v>
      </c>
      <c r="B387" s="53">
        <v>386</v>
      </c>
      <c r="C387" s="53">
        <v>28217.720799999999</v>
      </c>
    </row>
    <row r="388" spans="1:3" x14ac:dyDescent="0.25">
      <c r="A388" s="52">
        <f t="shared" si="6"/>
        <v>43847</v>
      </c>
      <c r="B388" s="53">
        <v>387</v>
      </c>
      <c r="C388" s="53">
        <v>28218.824000000001</v>
      </c>
    </row>
    <row r="389" spans="1:3" x14ac:dyDescent="0.25">
      <c r="A389" s="52">
        <f t="shared" si="6"/>
        <v>43848</v>
      </c>
      <c r="B389" s="53">
        <v>388</v>
      </c>
      <c r="C389" s="53">
        <v>28219.927199999998</v>
      </c>
    </row>
    <row r="390" spans="1:3" x14ac:dyDescent="0.25">
      <c r="A390" s="52">
        <f t="shared" si="6"/>
        <v>43849</v>
      </c>
      <c r="B390" s="53">
        <v>389</v>
      </c>
      <c r="C390" s="53">
        <v>28221.0304</v>
      </c>
    </row>
    <row r="391" spans="1:3" x14ac:dyDescent="0.25">
      <c r="A391" s="52">
        <f t="shared" si="6"/>
        <v>43850</v>
      </c>
      <c r="B391" s="53">
        <v>390</v>
      </c>
      <c r="C391" s="53">
        <v>28222.133699999998</v>
      </c>
    </row>
    <row r="392" spans="1:3" x14ac:dyDescent="0.25">
      <c r="A392" s="52">
        <f t="shared" si="6"/>
        <v>43851</v>
      </c>
      <c r="B392" s="53">
        <v>391</v>
      </c>
      <c r="C392" s="53">
        <v>28223.237000000001</v>
      </c>
    </row>
    <row r="393" spans="1:3" x14ac:dyDescent="0.25">
      <c r="A393" s="52">
        <f t="shared" si="6"/>
        <v>43852</v>
      </c>
      <c r="B393" s="53">
        <v>392</v>
      </c>
      <c r="C393" s="53">
        <v>28224.3403</v>
      </c>
    </row>
    <row r="394" spans="1:3" x14ac:dyDescent="0.25">
      <c r="A394" s="52">
        <f t="shared" si="6"/>
        <v>43853</v>
      </c>
      <c r="B394" s="53">
        <v>393</v>
      </c>
      <c r="C394" s="53">
        <v>28225.4437</v>
      </c>
    </row>
    <row r="395" spans="1:3" x14ac:dyDescent="0.25">
      <c r="A395" s="52">
        <f t="shared" si="6"/>
        <v>43854</v>
      </c>
      <c r="B395" s="53">
        <v>394</v>
      </c>
      <c r="C395" s="53">
        <v>28226.547200000001</v>
      </c>
    </row>
    <row r="396" spans="1:3" x14ac:dyDescent="0.25">
      <c r="A396" s="52">
        <f t="shared" si="6"/>
        <v>43855</v>
      </c>
      <c r="B396" s="53">
        <v>395</v>
      </c>
      <c r="C396" s="53">
        <v>28227.650699999998</v>
      </c>
    </row>
    <row r="397" spans="1:3" x14ac:dyDescent="0.25">
      <c r="A397" s="52">
        <f t="shared" si="6"/>
        <v>43856</v>
      </c>
      <c r="B397" s="53">
        <v>396</v>
      </c>
      <c r="C397" s="53">
        <v>28228.754199999999</v>
      </c>
    </row>
    <row r="398" spans="1:3" x14ac:dyDescent="0.25">
      <c r="A398" s="52">
        <f t="shared" si="6"/>
        <v>43857</v>
      </c>
      <c r="B398" s="53">
        <v>397</v>
      </c>
      <c r="C398" s="53">
        <v>28229.857800000002</v>
      </c>
    </row>
    <row r="399" spans="1:3" x14ac:dyDescent="0.25">
      <c r="A399" s="52">
        <f t="shared" si="6"/>
        <v>43858</v>
      </c>
      <c r="B399" s="53">
        <v>398</v>
      </c>
      <c r="C399" s="53">
        <v>28230.9614</v>
      </c>
    </row>
    <row r="400" spans="1:3" x14ac:dyDescent="0.25">
      <c r="A400" s="52">
        <f t="shared" si="6"/>
        <v>43859</v>
      </c>
      <c r="B400" s="53">
        <v>399</v>
      </c>
      <c r="C400" s="53">
        <v>28232.0651</v>
      </c>
    </row>
    <row r="401" spans="1:3" x14ac:dyDescent="0.25">
      <c r="A401" s="52">
        <f t="shared" si="6"/>
        <v>43860</v>
      </c>
      <c r="B401" s="53">
        <v>400</v>
      </c>
      <c r="C401" s="53">
        <v>28233.168799999999</v>
      </c>
    </row>
    <row r="402" spans="1:3" x14ac:dyDescent="0.25">
      <c r="A402" s="52">
        <f t="shared" si="6"/>
        <v>43861</v>
      </c>
      <c r="B402" s="53">
        <v>401</v>
      </c>
      <c r="C402" s="53">
        <v>28234.272499999999</v>
      </c>
    </row>
    <row r="403" spans="1:3" x14ac:dyDescent="0.25">
      <c r="A403" s="52">
        <f t="shared" si="6"/>
        <v>43862</v>
      </c>
      <c r="B403" s="53">
        <v>402</v>
      </c>
      <c r="C403" s="53">
        <v>28235.3763</v>
      </c>
    </row>
    <row r="404" spans="1:3" x14ac:dyDescent="0.25">
      <c r="A404" s="52">
        <f t="shared" si="6"/>
        <v>43863</v>
      </c>
      <c r="B404" s="53">
        <v>403</v>
      </c>
      <c r="C404" s="53">
        <v>28236.480200000002</v>
      </c>
    </row>
    <row r="405" spans="1:3" x14ac:dyDescent="0.25">
      <c r="A405" s="52">
        <f t="shared" si="6"/>
        <v>43864</v>
      </c>
      <c r="B405" s="53">
        <v>404</v>
      </c>
      <c r="C405" s="53">
        <v>28237.583999999999</v>
      </c>
    </row>
    <row r="406" spans="1:3" x14ac:dyDescent="0.25">
      <c r="A406" s="52">
        <f t="shared" si="6"/>
        <v>43865</v>
      </c>
      <c r="B406" s="53">
        <v>405</v>
      </c>
      <c r="C406" s="53">
        <v>28238.687999999998</v>
      </c>
    </row>
    <row r="407" spans="1:3" x14ac:dyDescent="0.25">
      <c r="A407" s="52">
        <f t="shared" si="6"/>
        <v>43866</v>
      </c>
      <c r="B407" s="53">
        <v>406</v>
      </c>
      <c r="C407" s="53">
        <v>28239.7919</v>
      </c>
    </row>
    <row r="408" spans="1:3" x14ac:dyDescent="0.25">
      <c r="A408" s="52">
        <f t="shared" si="6"/>
        <v>43867</v>
      </c>
      <c r="B408" s="53">
        <v>407</v>
      </c>
      <c r="C408" s="53">
        <v>28240.8959</v>
      </c>
    </row>
    <row r="409" spans="1:3" x14ac:dyDescent="0.25">
      <c r="A409" s="52">
        <f t="shared" si="6"/>
        <v>43868</v>
      </c>
      <c r="B409" s="53">
        <v>408</v>
      </c>
      <c r="C409" s="53">
        <v>28242</v>
      </c>
    </row>
    <row r="410" spans="1:3" x14ac:dyDescent="0.25">
      <c r="A410" s="52">
        <f t="shared" si="6"/>
        <v>43869</v>
      </c>
      <c r="B410" s="53">
        <v>409</v>
      </c>
      <c r="C410" s="53">
        <v>28244.255399999998</v>
      </c>
    </row>
    <row r="411" spans="1:3" x14ac:dyDescent="0.25">
      <c r="A411" s="52">
        <f t="shared" si="6"/>
        <v>43870</v>
      </c>
      <c r="B411" s="53">
        <v>410</v>
      </c>
      <c r="C411" s="53">
        <v>28246.510900000001</v>
      </c>
    </row>
    <row r="412" spans="1:3" x14ac:dyDescent="0.25">
      <c r="A412" s="52">
        <f t="shared" si="6"/>
        <v>43871</v>
      </c>
      <c r="B412" s="53">
        <v>411</v>
      </c>
      <c r="C412" s="53">
        <v>28248.766599999999</v>
      </c>
    </row>
    <row r="413" spans="1:3" x14ac:dyDescent="0.25">
      <c r="A413" s="52">
        <f t="shared" si="6"/>
        <v>43872</v>
      </c>
      <c r="B413" s="53">
        <v>412</v>
      </c>
      <c r="C413" s="53">
        <v>28251.022499999999</v>
      </c>
    </row>
    <row r="414" spans="1:3" x14ac:dyDescent="0.25">
      <c r="A414" s="52">
        <f t="shared" si="6"/>
        <v>43873</v>
      </c>
      <c r="B414" s="53">
        <v>413</v>
      </c>
      <c r="C414" s="53">
        <v>28253.278600000001</v>
      </c>
    </row>
    <row r="415" spans="1:3" x14ac:dyDescent="0.25">
      <c r="A415" s="52">
        <f t="shared" si="6"/>
        <v>43874</v>
      </c>
      <c r="B415" s="53">
        <v>414</v>
      </c>
      <c r="C415" s="53">
        <v>28255.534899999999</v>
      </c>
    </row>
    <row r="416" spans="1:3" x14ac:dyDescent="0.25">
      <c r="A416" s="52">
        <f t="shared" si="6"/>
        <v>43875</v>
      </c>
      <c r="B416" s="53">
        <v>415</v>
      </c>
      <c r="C416" s="53">
        <v>28257.791300000001</v>
      </c>
    </row>
    <row r="417" spans="1:3" x14ac:dyDescent="0.25">
      <c r="A417" s="52">
        <f t="shared" si="6"/>
        <v>43876</v>
      </c>
      <c r="B417" s="53">
        <v>416</v>
      </c>
      <c r="C417" s="53">
        <v>28260.047900000001</v>
      </c>
    </row>
    <row r="418" spans="1:3" x14ac:dyDescent="0.25">
      <c r="A418" s="52">
        <f t="shared" si="6"/>
        <v>43877</v>
      </c>
      <c r="B418" s="53">
        <v>417</v>
      </c>
      <c r="C418" s="53">
        <v>28262.304700000001</v>
      </c>
    </row>
    <row r="419" spans="1:3" x14ac:dyDescent="0.25">
      <c r="A419" s="52">
        <f t="shared" si="6"/>
        <v>43878</v>
      </c>
      <c r="B419" s="53">
        <v>418</v>
      </c>
      <c r="C419" s="53">
        <v>28264.561699999998</v>
      </c>
    </row>
    <row r="420" spans="1:3" x14ac:dyDescent="0.25">
      <c r="A420" s="52">
        <f t="shared" si="6"/>
        <v>43879</v>
      </c>
      <c r="B420" s="53">
        <v>419</v>
      </c>
      <c r="C420" s="53">
        <v>28266.818899999998</v>
      </c>
    </row>
    <row r="421" spans="1:3" x14ac:dyDescent="0.25">
      <c r="A421" s="52">
        <f t="shared" si="6"/>
        <v>43880</v>
      </c>
      <c r="B421" s="53">
        <v>420</v>
      </c>
      <c r="C421" s="53">
        <v>28269.0762</v>
      </c>
    </row>
    <row r="422" spans="1:3" x14ac:dyDescent="0.25">
      <c r="A422" s="52">
        <f t="shared" si="6"/>
        <v>43881</v>
      </c>
      <c r="B422" s="53">
        <v>421</v>
      </c>
      <c r="C422" s="53">
        <v>28271.333699999999</v>
      </c>
    </row>
    <row r="423" spans="1:3" x14ac:dyDescent="0.25">
      <c r="A423" s="52">
        <f t="shared" si="6"/>
        <v>43882</v>
      </c>
      <c r="B423" s="53">
        <v>422</v>
      </c>
      <c r="C423" s="53">
        <v>28273.591400000001</v>
      </c>
    </row>
    <row r="424" spans="1:3" x14ac:dyDescent="0.25">
      <c r="A424" s="52">
        <f t="shared" si="6"/>
        <v>43883</v>
      </c>
      <c r="B424" s="53">
        <v>423</v>
      </c>
      <c r="C424" s="53">
        <v>28275.849300000002</v>
      </c>
    </row>
    <row r="425" spans="1:3" x14ac:dyDescent="0.25">
      <c r="A425" s="52">
        <f t="shared" si="6"/>
        <v>43884</v>
      </c>
      <c r="B425" s="53">
        <v>424</v>
      </c>
      <c r="C425" s="53">
        <v>28278.107400000001</v>
      </c>
    </row>
    <row r="426" spans="1:3" x14ac:dyDescent="0.25">
      <c r="A426" s="52">
        <f t="shared" si="6"/>
        <v>43885</v>
      </c>
      <c r="B426" s="53">
        <v>425</v>
      </c>
      <c r="C426" s="53">
        <v>28280.365600000001</v>
      </c>
    </row>
    <row r="427" spans="1:3" x14ac:dyDescent="0.25">
      <c r="A427" s="52">
        <f t="shared" si="6"/>
        <v>43886</v>
      </c>
      <c r="B427" s="53">
        <v>426</v>
      </c>
      <c r="C427" s="53">
        <v>28282.624100000001</v>
      </c>
    </row>
    <row r="428" spans="1:3" x14ac:dyDescent="0.25">
      <c r="A428" s="52">
        <f t="shared" si="6"/>
        <v>43887</v>
      </c>
      <c r="B428" s="53">
        <v>427</v>
      </c>
      <c r="C428" s="53">
        <v>28284.882699999998</v>
      </c>
    </row>
    <row r="429" spans="1:3" x14ac:dyDescent="0.25">
      <c r="A429" s="52">
        <f t="shared" si="6"/>
        <v>43888</v>
      </c>
      <c r="B429" s="53">
        <v>428</v>
      </c>
      <c r="C429" s="53">
        <v>28287.141500000002</v>
      </c>
    </row>
    <row r="430" spans="1:3" x14ac:dyDescent="0.25">
      <c r="A430" s="52">
        <f t="shared" si="6"/>
        <v>43889</v>
      </c>
      <c r="B430" s="53">
        <v>429</v>
      </c>
      <c r="C430" s="53">
        <v>28289.400399999999</v>
      </c>
    </row>
    <row r="431" spans="1:3" x14ac:dyDescent="0.25">
      <c r="A431" s="52">
        <f t="shared" si="6"/>
        <v>43890</v>
      </c>
      <c r="B431" s="53">
        <v>430</v>
      </c>
      <c r="C431" s="53">
        <v>28291.659599999999</v>
      </c>
    </row>
    <row r="432" spans="1:3" x14ac:dyDescent="0.25">
      <c r="A432" s="52">
        <f t="shared" si="6"/>
        <v>43891</v>
      </c>
      <c r="B432" s="53">
        <v>431</v>
      </c>
      <c r="C432" s="53">
        <v>28293.918900000001</v>
      </c>
    </row>
    <row r="433" spans="1:3" x14ac:dyDescent="0.25">
      <c r="A433" s="52">
        <f t="shared" si="6"/>
        <v>43892</v>
      </c>
      <c r="B433" s="53">
        <v>432</v>
      </c>
      <c r="C433" s="53">
        <v>28296.178400000001</v>
      </c>
    </row>
    <row r="434" spans="1:3" x14ac:dyDescent="0.25">
      <c r="A434" s="52">
        <f t="shared" si="6"/>
        <v>43893</v>
      </c>
      <c r="B434" s="53">
        <v>433</v>
      </c>
      <c r="C434" s="53">
        <v>28298.438099999999</v>
      </c>
    </row>
    <row r="435" spans="1:3" x14ac:dyDescent="0.25">
      <c r="A435" s="52">
        <f t="shared" si="6"/>
        <v>43894</v>
      </c>
      <c r="B435" s="53">
        <v>434</v>
      </c>
      <c r="C435" s="53">
        <v>28300.698</v>
      </c>
    </row>
    <row r="436" spans="1:3" x14ac:dyDescent="0.25">
      <c r="A436" s="52">
        <f t="shared" si="6"/>
        <v>43895</v>
      </c>
      <c r="B436" s="53">
        <v>435</v>
      </c>
      <c r="C436" s="53">
        <v>28302.957999999999</v>
      </c>
    </row>
    <row r="437" spans="1:3" x14ac:dyDescent="0.25">
      <c r="A437" s="52">
        <f t="shared" si="6"/>
        <v>43896</v>
      </c>
      <c r="B437" s="53">
        <v>436</v>
      </c>
      <c r="C437" s="53">
        <v>28305.218199999999</v>
      </c>
    </row>
    <row r="438" spans="1:3" x14ac:dyDescent="0.25">
      <c r="A438" s="52">
        <f t="shared" si="6"/>
        <v>43897</v>
      </c>
      <c r="B438" s="53">
        <v>437</v>
      </c>
      <c r="C438" s="53">
        <v>28307.478599999999</v>
      </c>
    </row>
    <row r="439" spans="1:3" x14ac:dyDescent="0.25">
      <c r="A439" s="52">
        <f t="shared" si="6"/>
        <v>43898</v>
      </c>
      <c r="B439" s="53">
        <v>438</v>
      </c>
      <c r="C439" s="53">
        <v>28309.7392</v>
      </c>
    </row>
    <row r="440" spans="1:3" x14ac:dyDescent="0.25">
      <c r="A440" s="52">
        <f t="shared" si="6"/>
        <v>43899</v>
      </c>
      <c r="B440" s="53">
        <v>439</v>
      </c>
      <c r="C440" s="53">
        <v>28312</v>
      </c>
    </row>
    <row r="441" spans="1:3" x14ac:dyDescent="0.25">
      <c r="A441" s="52">
        <f t="shared" si="6"/>
        <v>43900</v>
      </c>
      <c r="B441" s="53">
        <v>440</v>
      </c>
      <c r="C441" s="53">
        <v>28314.1266</v>
      </c>
    </row>
    <row r="442" spans="1:3" x14ac:dyDescent="0.25">
      <c r="A442" s="52">
        <f t="shared" si="6"/>
        <v>43901</v>
      </c>
      <c r="B442" s="53">
        <v>441</v>
      </c>
      <c r="C442" s="53">
        <v>28316.253400000001</v>
      </c>
    </row>
    <row r="443" spans="1:3" x14ac:dyDescent="0.25">
      <c r="A443" s="52">
        <f t="shared" si="6"/>
        <v>43902</v>
      </c>
      <c r="B443" s="53">
        <v>442</v>
      </c>
      <c r="C443" s="53">
        <v>28318.380399999998</v>
      </c>
    </row>
    <row r="444" spans="1:3" x14ac:dyDescent="0.25">
      <c r="A444" s="52">
        <f t="shared" si="6"/>
        <v>43903</v>
      </c>
      <c r="B444" s="53">
        <v>443</v>
      </c>
      <c r="C444" s="53">
        <v>28320.5075</v>
      </c>
    </row>
    <row r="445" spans="1:3" x14ac:dyDescent="0.25">
      <c r="A445" s="52">
        <f t="shared" si="6"/>
        <v>43904</v>
      </c>
      <c r="B445" s="53">
        <v>444</v>
      </c>
      <c r="C445" s="53">
        <v>28322.6348</v>
      </c>
    </row>
    <row r="446" spans="1:3" x14ac:dyDescent="0.25">
      <c r="A446" s="52">
        <f t="shared" si="6"/>
        <v>43905</v>
      </c>
      <c r="B446" s="53">
        <v>445</v>
      </c>
      <c r="C446" s="53">
        <v>28324.762200000001</v>
      </c>
    </row>
    <row r="447" spans="1:3" x14ac:dyDescent="0.25">
      <c r="A447" s="52">
        <f t="shared" si="6"/>
        <v>43906</v>
      </c>
      <c r="B447" s="53">
        <v>446</v>
      </c>
      <c r="C447" s="53">
        <v>28326.889800000001</v>
      </c>
    </row>
    <row r="448" spans="1:3" x14ac:dyDescent="0.25">
      <c r="A448" s="52">
        <f t="shared" si="6"/>
        <v>43907</v>
      </c>
      <c r="B448" s="53">
        <v>447</v>
      </c>
      <c r="C448" s="53">
        <v>28329.017500000002</v>
      </c>
    </row>
    <row r="449" spans="1:3" x14ac:dyDescent="0.25">
      <c r="A449" s="52">
        <f t="shared" si="6"/>
        <v>43908</v>
      </c>
      <c r="B449" s="53">
        <v>448</v>
      </c>
      <c r="C449" s="53">
        <v>28331.145499999999</v>
      </c>
    </row>
    <row r="450" spans="1:3" x14ac:dyDescent="0.25">
      <c r="A450" s="52">
        <f t="shared" ref="A450:A513" si="7">+$G$4+B450</f>
        <v>43909</v>
      </c>
      <c r="B450" s="53">
        <v>449</v>
      </c>
      <c r="C450" s="53">
        <v>28333.273499999999</v>
      </c>
    </row>
    <row r="451" spans="1:3" x14ac:dyDescent="0.25">
      <c r="A451" s="52">
        <f t="shared" si="7"/>
        <v>43910</v>
      </c>
      <c r="B451" s="53">
        <v>450</v>
      </c>
      <c r="C451" s="53">
        <v>28335.4018</v>
      </c>
    </row>
    <row r="452" spans="1:3" x14ac:dyDescent="0.25">
      <c r="A452" s="52">
        <f t="shared" si="7"/>
        <v>43911</v>
      </c>
      <c r="B452" s="53">
        <v>451</v>
      </c>
      <c r="C452" s="53">
        <v>28337.530200000001</v>
      </c>
    </row>
    <row r="453" spans="1:3" x14ac:dyDescent="0.25">
      <c r="A453" s="52">
        <f t="shared" si="7"/>
        <v>43912</v>
      </c>
      <c r="B453" s="53">
        <v>452</v>
      </c>
      <c r="C453" s="53">
        <v>28339.6587</v>
      </c>
    </row>
    <row r="454" spans="1:3" x14ac:dyDescent="0.25">
      <c r="A454" s="52">
        <f t="shared" si="7"/>
        <v>43913</v>
      </c>
      <c r="B454" s="53">
        <v>453</v>
      </c>
      <c r="C454" s="53">
        <v>28341.787400000001</v>
      </c>
    </row>
    <row r="455" spans="1:3" x14ac:dyDescent="0.25">
      <c r="A455" s="52">
        <f t="shared" si="7"/>
        <v>43914</v>
      </c>
      <c r="B455" s="53">
        <v>454</v>
      </c>
      <c r="C455" s="53">
        <v>28343.916300000001</v>
      </c>
    </row>
    <row r="456" spans="1:3" x14ac:dyDescent="0.25">
      <c r="A456" s="52">
        <f t="shared" si="7"/>
        <v>43915</v>
      </c>
      <c r="B456" s="53">
        <v>455</v>
      </c>
      <c r="C456" s="53">
        <v>28346.045300000002</v>
      </c>
    </row>
    <row r="457" spans="1:3" x14ac:dyDescent="0.25">
      <c r="A457" s="52">
        <f t="shared" si="7"/>
        <v>43916</v>
      </c>
      <c r="B457" s="53">
        <v>456</v>
      </c>
      <c r="C457" s="53">
        <v>28348.174500000001</v>
      </c>
    </row>
    <row r="458" spans="1:3" x14ac:dyDescent="0.25">
      <c r="A458" s="52">
        <f t="shared" si="7"/>
        <v>43917</v>
      </c>
      <c r="B458" s="53">
        <v>457</v>
      </c>
      <c r="C458" s="53">
        <v>28350.303899999999</v>
      </c>
    </row>
    <row r="459" spans="1:3" x14ac:dyDescent="0.25">
      <c r="A459" s="52">
        <f t="shared" si="7"/>
        <v>43918</v>
      </c>
      <c r="B459" s="53">
        <v>458</v>
      </c>
      <c r="C459" s="53">
        <v>28352.433400000002</v>
      </c>
    </row>
    <row r="460" spans="1:3" x14ac:dyDescent="0.25">
      <c r="A460" s="52">
        <f t="shared" si="7"/>
        <v>43919</v>
      </c>
      <c r="B460" s="53">
        <v>459</v>
      </c>
      <c r="C460" s="53">
        <v>28354.563099999999</v>
      </c>
    </row>
    <row r="461" spans="1:3" x14ac:dyDescent="0.25">
      <c r="A461" s="52">
        <f t="shared" si="7"/>
        <v>43920</v>
      </c>
      <c r="B461" s="53">
        <v>460</v>
      </c>
      <c r="C461" s="53">
        <v>28356.692899999998</v>
      </c>
    </row>
    <row r="462" spans="1:3" x14ac:dyDescent="0.25">
      <c r="A462" s="52">
        <f t="shared" si="7"/>
        <v>43921</v>
      </c>
      <c r="B462" s="53">
        <v>461</v>
      </c>
      <c r="C462" s="53">
        <v>28358.822899999999</v>
      </c>
    </row>
    <row r="463" spans="1:3" x14ac:dyDescent="0.25">
      <c r="A463" s="52">
        <f t="shared" si="7"/>
        <v>43922</v>
      </c>
      <c r="B463" s="53">
        <v>462</v>
      </c>
      <c r="C463" s="53">
        <v>28360.953000000001</v>
      </c>
    </row>
    <row r="464" spans="1:3" x14ac:dyDescent="0.25">
      <c r="A464" s="52">
        <f t="shared" si="7"/>
        <v>43923</v>
      </c>
      <c r="B464" s="53">
        <v>463</v>
      </c>
      <c r="C464" s="53">
        <v>28363.083299999998</v>
      </c>
    </row>
    <row r="465" spans="1:3" x14ac:dyDescent="0.25">
      <c r="A465" s="52">
        <f t="shared" si="7"/>
        <v>43924</v>
      </c>
      <c r="B465" s="53">
        <v>464</v>
      </c>
      <c r="C465" s="53">
        <v>28365.213800000001</v>
      </c>
    </row>
    <row r="466" spans="1:3" x14ac:dyDescent="0.25">
      <c r="A466" s="52">
        <f t="shared" si="7"/>
        <v>43925</v>
      </c>
      <c r="B466" s="53">
        <v>465</v>
      </c>
      <c r="C466" s="53">
        <v>28367.344400000002</v>
      </c>
    </row>
    <row r="467" spans="1:3" x14ac:dyDescent="0.25">
      <c r="A467" s="52">
        <f t="shared" si="7"/>
        <v>43926</v>
      </c>
      <c r="B467" s="53">
        <v>466</v>
      </c>
      <c r="C467" s="53">
        <v>28369.475200000001</v>
      </c>
    </row>
    <row r="468" spans="1:3" x14ac:dyDescent="0.25">
      <c r="A468" s="52">
        <f t="shared" si="7"/>
        <v>43927</v>
      </c>
      <c r="B468" s="53">
        <v>467</v>
      </c>
      <c r="C468" s="53">
        <v>28371.606199999998</v>
      </c>
    </row>
    <row r="469" spans="1:3" x14ac:dyDescent="0.25">
      <c r="A469" s="52">
        <f t="shared" si="7"/>
        <v>43928</v>
      </c>
      <c r="B469" s="53">
        <v>468</v>
      </c>
      <c r="C469" s="53">
        <v>28373.737300000001</v>
      </c>
    </row>
    <row r="470" spans="1:3" x14ac:dyDescent="0.25">
      <c r="A470" s="52">
        <f t="shared" si="7"/>
        <v>43929</v>
      </c>
      <c r="B470" s="53">
        <v>469</v>
      </c>
      <c r="C470" s="53">
        <v>28375.868600000002</v>
      </c>
    </row>
    <row r="471" spans="1:3" x14ac:dyDescent="0.25">
      <c r="A471" s="52">
        <f t="shared" si="7"/>
        <v>43930</v>
      </c>
      <c r="B471" s="53">
        <v>470</v>
      </c>
      <c r="C471" s="53">
        <v>28378</v>
      </c>
    </row>
    <row r="472" spans="1:3" x14ac:dyDescent="0.25">
      <c r="A472" s="52">
        <f t="shared" si="7"/>
        <v>43931</v>
      </c>
      <c r="B472" s="53">
        <v>471</v>
      </c>
      <c r="C472" s="53">
        <v>28380.720499999999</v>
      </c>
    </row>
    <row r="473" spans="1:3" x14ac:dyDescent="0.25">
      <c r="A473" s="52">
        <f t="shared" si="7"/>
        <v>43932</v>
      </c>
      <c r="B473" s="53">
        <v>472</v>
      </c>
      <c r="C473" s="53">
        <v>28383.441200000001</v>
      </c>
    </row>
    <row r="474" spans="1:3" x14ac:dyDescent="0.25">
      <c r="A474" s="52">
        <f t="shared" si="7"/>
        <v>43933</v>
      </c>
      <c r="B474" s="53">
        <v>473</v>
      </c>
      <c r="C474" s="53">
        <v>28386.162199999999</v>
      </c>
    </row>
    <row r="475" spans="1:3" x14ac:dyDescent="0.25">
      <c r="A475" s="52">
        <f t="shared" si="7"/>
        <v>43934</v>
      </c>
      <c r="B475" s="53">
        <v>474</v>
      </c>
      <c r="C475" s="53">
        <v>28388.8835</v>
      </c>
    </row>
    <row r="476" spans="1:3" x14ac:dyDescent="0.25">
      <c r="A476" s="52">
        <f t="shared" si="7"/>
        <v>43935</v>
      </c>
      <c r="B476" s="53">
        <v>475</v>
      </c>
      <c r="C476" s="53">
        <v>28391.605</v>
      </c>
    </row>
    <row r="477" spans="1:3" x14ac:dyDescent="0.25">
      <c r="A477" s="52">
        <f t="shared" si="7"/>
        <v>43936</v>
      </c>
      <c r="B477" s="53">
        <v>476</v>
      </c>
      <c r="C477" s="53">
        <v>28394.326799999999</v>
      </c>
    </row>
    <row r="478" spans="1:3" x14ac:dyDescent="0.25">
      <c r="A478" s="52">
        <f t="shared" si="7"/>
        <v>43937</v>
      </c>
      <c r="B478" s="53">
        <v>477</v>
      </c>
      <c r="C478" s="53">
        <v>28397.048900000002</v>
      </c>
    </row>
    <row r="479" spans="1:3" x14ac:dyDescent="0.25">
      <c r="A479" s="52">
        <f t="shared" si="7"/>
        <v>43938</v>
      </c>
      <c r="B479" s="53">
        <v>478</v>
      </c>
      <c r="C479" s="53">
        <v>28399.771199999999</v>
      </c>
    </row>
    <row r="480" spans="1:3" x14ac:dyDescent="0.25">
      <c r="A480" s="52">
        <f t="shared" si="7"/>
        <v>43939</v>
      </c>
      <c r="B480" s="53">
        <v>479</v>
      </c>
      <c r="C480" s="53">
        <v>28402.493699999999</v>
      </c>
    </row>
    <row r="481" spans="1:3" x14ac:dyDescent="0.25">
      <c r="A481" s="52">
        <f t="shared" si="7"/>
        <v>43940</v>
      </c>
      <c r="B481" s="53">
        <v>480</v>
      </c>
      <c r="C481" s="53">
        <v>28405.2166</v>
      </c>
    </row>
    <row r="482" spans="1:3" x14ac:dyDescent="0.25">
      <c r="A482" s="52">
        <f t="shared" si="7"/>
        <v>43941</v>
      </c>
      <c r="B482" s="53">
        <v>481</v>
      </c>
      <c r="C482" s="53">
        <v>28407.939699999999</v>
      </c>
    </row>
    <row r="483" spans="1:3" x14ac:dyDescent="0.25">
      <c r="A483" s="52">
        <f t="shared" si="7"/>
        <v>43942</v>
      </c>
      <c r="B483" s="53">
        <v>482</v>
      </c>
      <c r="C483" s="53">
        <v>28410.663</v>
      </c>
    </row>
    <row r="484" spans="1:3" x14ac:dyDescent="0.25">
      <c r="A484" s="52">
        <f t="shared" si="7"/>
        <v>43943</v>
      </c>
      <c r="B484" s="53">
        <v>483</v>
      </c>
      <c r="C484" s="53">
        <v>28413.386600000002</v>
      </c>
    </row>
    <row r="485" spans="1:3" x14ac:dyDescent="0.25">
      <c r="A485" s="52">
        <f t="shared" si="7"/>
        <v>43944</v>
      </c>
      <c r="B485" s="53">
        <v>484</v>
      </c>
      <c r="C485" s="53">
        <v>28416.110499999999</v>
      </c>
    </row>
    <row r="486" spans="1:3" x14ac:dyDescent="0.25">
      <c r="A486" s="52">
        <f t="shared" si="7"/>
        <v>43945</v>
      </c>
      <c r="B486" s="53">
        <v>485</v>
      </c>
      <c r="C486" s="53">
        <v>28418.834599999998</v>
      </c>
    </row>
    <row r="487" spans="1:3" x14ac:dyDescent="0.25">
      <c r="A487" s="52">
        <f t="shared" si="7"/>
        <v>43946</v>
      </c>
      <c r="B487" s="53">
        <v>486</v>
      </c>
      <c r="C487" s="53">
        <v>28421.559000000001</v>
      </c>
    </row>
    <row r="488" spans="1:3" x14ac:dyDescent="0.25">
      <c r="A488" s="52">
        <f t="shared" si="7"/>
        <v>43947</v>
      </c>
      <c r="B488" s="53">
        <v>487</v>
      </c>
      <c r="C488" s="53">
        <v>28424.2837</v>
      </c>
    </row>
    <row r="489" spans="1:3" x14ac:dyDescent="0.25">
      <c r="A489" s="52">
        <f t="shared" si="7"/>
        <v>43948</v>
      </c>
      <c r="B489" s="53">
        <v>488</v>
      </c>
      <c r="C489" s="53">
        <v>28427.008600000001</v>
      </c>
    </row>
    <row r="490" spans="1:3" x14ac:dyDescent="0.25">
      <c r="A490" s="52">
        <f t="shared" si="7"/>
        <v>43949</v>
      </c>
      <c r="B490" s="53">
        <v>489</v>
      </c>
      <c r="C490" s="53">
        <v>28429.733800000002</v>
      </c>
    </row>
    <row r="491" spans="1:3" x14ac:dyDescent="0.25">
      <c r="A491" s="52">
        <f t="shared" si="7"/>
        <v>43950</v>
      </c>
      <c r="B491" s="53">
        <v>490</v>
      </c>
      <c r="C491" s="53">
        <v>28432.459299999999</v>
      </c>
    </row>
    <row r="492" spans="1:3" x14ac:dyDescent="0.25">
      <c r="A492" s="52">
        <f t="shared" si="7"/>
        <v>43951</v>
      </c>
      <c r="B492" s="53">
        <v>491</v>
      </c>
      <c r="C492" s="53">
        <v>28435.185000000001</v>
      </c>
    </row>
    <row r="493" spans="1:3" x14ac:dyDescent="0.25">
      <c r="A493" s="52">
        <f t="shared" si="7"/>
        <v>43952</v>
      </c>
      <c r="B493" s="53">
        <v>492</v>
      </c>
      <c r="C493" s="53">
        <v>28437.910899999999</v>
      </c>
    </row>
    <row r="494" spans="1:3" x14ac:dyDescent="0.25">
      <c r="A494" s="52">
        <f t="shared" si="7"/>
        <v>43953</v>
      </c>
      <c r="B494" s="53">
        <v>493</v>
      </c>
      <c r="C494" s="53">
        <v>28440.6371</v>
      </c>
    </row>
    <row r="495" spans="1:3" x14ac:dyDescent="0.25">
      <c r="A495" s="52">
        <f t="shared" si="7"/>
        <v>43954</v>
      </c>
      <c r="B495" s="53">
        <v>494</v>
      </c>
      <c r="C495" s="53">
        <v>28443.363600000001</v>
      </c>
    </row>
    <row r="496" spans="1:3" x14ac:dyDescent="0.25">
      <c r="A496" s="52">
        <f t="shared" si="7"/>
        <v>43955</v>
      </c>
      <c r="B496" s="53">
        <v>495</v>
      </c>
      <c r="C496" s="53">
        <v>28446.090400000001</v>
      </c>
    </row>
    <row r="497" spans="1:3" x14ac:dyDescent="0.25">
      <c r="A497" s="52">
        <f t="shared" si="7"/>
        <v>43956</v>
      </c>
      <c r="B497" s="53">
        <v>496</v>
      </c>
      <c r="C497" s="53">
        <v>28448.8174</v>
      </c>
    </row>
    <row r="498" spans="1:3" x14ac:dyDescent="0.25">
      <c r="A498" s="52">
        <f t="shared" si="7"/>
        <v>43957</v>
      </c>
      <c r="B498" s="53">
        <v>497</v>
      </c>
      <c r="C498" s="53">
        <v>28451.544699999999</v>
      </c>
    </row>
    <row r="499" spans="1:3" x14ac:dyDescent="0.25">
      <c r="A499" s="52">
        <f t="shared" si="7"/>
        <v>43958</v>
      </c>
      <c r="B499" s="53">
        <v>498</v>
      </c>
      <c r="C499" s="53">
        <v>28454.272199999999</v>
      </c>
    </row>
    <row r="500" spans="1:3" x14ac:dyDescent="0.25">
      <c r="A500" s="52">
        <f t="shared" si="7"/>
        <v>43959</v>
      </c>
      <c r="B500" s="53">
        <v>499</v>
      </c>
      <c r="C500" s="53">
        <v>28457</v>
      </c>
    </row>
    <row r="501" spans="1:3" x14ac:dyDescent="0.25">
      <c r="A501" s="52">
        <f t="shared" si="7"/>
        <v>43960</v>
      </c>
      <c r="B501" s="53">
        <v>500</v>
      </c>
      <c r="C501" s="53">
        <v>28459.590100000001</v>
      </c>
    </row>
    <row r="502" spans="1:3" x14ac:dyDescent="0.25">
      <c r="A502" s="52">
        <f t="shared" si="7"/>
        <v>43961</v>
      </c>
      <c r="B502" s="53">
        <v>501</v>
      </c>
      <c r="C502" s="53">
        <v>28462.180400000001</v>
      </c>
    </row>
    <row r="503" spans="1:3" x14ac:dyDescent="0.25">
      <c r="A503" s="52">
        <f t="shared" si="7"/>
        <v>43962</v>
      </c>
      <c r="B503" s="53">
        <v>502</v>
      </c>
      <c r="C503" s="53">
        <v>28464.771000000001</v>
      </c>
    </row>
    <row r="504" spans="1:3" x14ac:dyDescent="0.25">
      <c r="A504" s="52">
        <f t="shared" si="7"/>
        <v>43963</v>
      </c>
      <c r="B504" s="53">
        <v>503</v>
      </c>
      <c r="C504" s="53">
        <v>28467.361799999999</v>
      </c>
    </row>
    <row r="505" spans="1:3" x14ac:dyDescent="0.25">
      <c r="A505" s="52">
        <f t="shared" si="7"/>
        <v>43964</v>
      </c>
      <c r="B505" s="53">
        <v>504</v>
      </c>
      <c r="C505" s="53">
        <v>28469.952799999999</v>
      </c>
    </row>
    <row r="506" spans="1:3" x14ac:dyDescent="0.25">
      <c r="A506" s="52">
        <f t="shared" si="7"/>
        <v>43965</v>
      </c>
      <c r="B506" s="53">
        <v>505</v>
      </c>
      <c r="C506" s="53">
        <v>28472.544099999999</v>
      </c>
    </row>
    <row r="507" spans="1:3" x14ac:dyDescent="0.25">
      <c r="A507" s="52">
        <f t="shared" si="7"/>
        <v>43966</v>
      </c>
      <c r="B507" s="53">
        <v>506</v>
      </c>
      <c r="C507" s="53">
        <v>28475.135600000001</v>
      </c>
    </row>
    <row r="508" spans="1:3" x14ac:dyDescent="0.25">
      <c r="A508" s="52">
        <f t="shared" si="7"/>
        <v>43967</v>
      </c>
      <c r="B508" s="53">
        <v>507</v>
      </c>
      <c r="C508" s="53">
        <v>28477.727299999999</v>
      </c>
    </row>
    <row r="509" spans="1:3" x14ac:dyDescent="0.25">
      <c r="A509" s="52">
        <f t="shared" si="7"/>
        <v>43968</v>
      </c>
      <c r="B509" s="53">
        <v>508</v>
      </c>
      <c r="C509" s="53">
        <v>28480.319299999999</v>
      </c>
    </row>
    <row r="510" spans="1:3" x14ac:dyDescent="0.25">
      <c r="A510" s="52">
        <f t="shared" si="7"/>
        <v>43969</v>
      </c>
      <c r="B510" s="53">
        <v>509</v>
      </c>
      <c r="C510" s="53">
        <v>28482.911499999998</v>
      </c>
    </row>
    <row r="511" spans="1:3" x14ac:dyDescent="0.25">
      <c r="A511" s="52">
        <f t="shared" si="7"/>
        <v>43970</v>
      </c>
      <c r="B511" s="53">
        <v>510</v>
      </c>
      <c r="C511" s="53">
        <v>28485.504000000001</v>
      </c>
    </row>
    <row r="512" spans="1:3" x14ac:dyDescent="0.25">
      <c r="A512" s="52">
        <f t="shared" si="7"/>
        <v>43971</v>
      </c>
      <c r="B512" s="53">
        <v>511</v>
      </c>
      <c r="C512" s="53">
        <v>28488.096699999998</v>
      </c>
    </row>
    <row r="513" spans="1:3" x14ac:dyDescent="0.25">
      <c r="A513" s="52">
        <f t="shared" si="7"/>
        <v>43972</v>
      </c>
      <c r="B513" s="53">
        <v>512</v>
      </c>
      <c r="C513" s="53">
        <v>28490.689600000002</v>
      </c>
    </row>
    <row r="514" spans="1:3" x14ac:dyDescent="0.25">
      <c r="A514" s="52">
        <f t="shared" ref="A514:A577" si="8">+$G$4+B514</f>
        <v>43973</v>
      </c>
      <c r="B514" s="53">
        <v>513</v>
      </c>
      <c r="C514" s="53">
        <v>28493.282800000001</v>
      </c>
    </row>
    <row r="515" spans="1:3" x14ac:dyDescent="0.25">
      <c r="A515" s="52">
        <f t="shared" si="8"/>
        <v>43974</v>
      </c>
      <c r="B515" s="53">
        <v>514</v>
      </c>
      <c r="C515" s="53">
        <v>28495.876199999999</v>
      </c>
    </row>
    <row r="516" spans="1:3" x14ac:dyDescent="0.25">
      <c r="A516" s="52">
        <f t="shared" si="8"/>
        <v>43975</v>
      </c>
      <c r="B516" s="53">
        <v>515</v>
      </c>
      <c r="C516" s="53">
        <v>28498.469799999999</v>
      </c>
    </row>
    <row r="517" spans="1:3" x14ac:dyDescent="0.25">
      <c r="A517" s="52">
        <f t="shared" si="8"/>
        <v>43976</v>
      </c>
      <c r="B517" s="53">
        <v>516</v>
      </c>
      <c r="C517" s="53">
        <v>28501.063699999999</v>
      </c>
    </row>
    <row r="518" spans="1:3" x14ac:dyDescent="0.25">
      <c r="A518" s="52">
        <f t="shared" si="8"/>
        <v>43977</v>
      </c>
      <c r="B518" s="53">
        <v>517</v>
      </c>
      <c r="C518" s="53">
        <v>28503.657800000001</v>
      </c>
    </row>
    <row r="519" spans="1:3" x14ac:dyDescent="0.25">
      <c r="A519" s="52">
        <f t="shared" si="8"/>
        <v>43978</v>
      </c>
      <c r="B519" s="53">
        <v>518</v>
      </c>
      <c r="C519" s="53">
        <v>28506.252100000002</v>
      </c>
    </row>
    <row r="520" spans="1:3" x14ac:dyDescent="0.25">
      <c r="A520" s="52">
        <f t="shared" si="8"/>
        <v>43979</v>
      </c>
      <c r="B520" s="53">
        <v>519</v>
      </c>
      <c r="C520" s="53">
        <v>28508.846699999998</v>
      </c>
    </row>
    <row r="521" spans="1:3" x14ac:dyDescent="0.25">
      <c r="A521" s="52">
        <f t="shared" si="8"/>
        <v>43980</v>
      </c>
      <c r="B521" s="53">
        <v>520</v>
      </c>
      <c r="C521" s="53">
        <v>28511.441500000001</v>
      </c>
    </row>
    <row r="522" spans="1:3" x14ac:dyDescent="0.25">
      <c r="A522" s="52">
        <f t="shared" si="8"/>
        <v>43981</v>
      </c>
      <c r="B522" s="53">
        <v>521</v>
      </c>
      <c r="C522" s="53">
        <v>28514.036499999998</v>
      </c>
    </row>
    <row r="523" spans="1:3" x14ac:dyDescent="0.25">
      <c r="A523" s="52">
        <f t="shared" si="8"/>
        <v>43982</v>
      </c>
      <c r="B523" s="53">
        <v>522</v>
      </c>
      <c r="C523" s="53">
        <v>28516.631799999999</v>
      </c>
    </row>
    <row r="524" spans="1:3" x14ac:dyDescent="0.25">
      <c r="A524" s="52">
        <f t="shared" si="8"/>
        <v>43983</v>
      </c>
      <c r="B524" s="53">
        <v>523</v>
      </c>
      <c r="C524" s="53">
        <v>28519.227299999999</v>
      </c>
    </row>
    <row r="525" spans="1:3" x14ac:dyDescent="0.25">
      <c r="A525" s="52">
        <f t="shared" si="8"/>
        <v>43984</v>
      </c>
      <c r="B525" s="53">
        <v>524</v>
      </c>
      <c r="C525" s="53">
        <v>28521.823100000001</v>
      </c>
    </row>
    <row r="526" spans="1:3" x14ac:dyDescent="0.25">
      <c r="A526" s="52">
        <f t="shared" si="8"/>
        <v>43985</v>
      </c>
      <c r="B526" s="53">
        <v>525</v>
      </c>
      <c r="C526" s="53">
        <v>28524.419099999999</v>
      </c>
    </row>
    <row r="527" spans="1:3" x14ac:dyDescent="0.25">
      <c r="A527" s="52">
        <f t="shared" si="8"/>
        <v>43986</v>
      </c>
      <c r="B527" s="53">
        <v>526</v>
      </c>
      <c r="C527" s="53">
        <v>28527.015299999999</v>
      </c>
    </row>
    <row r="528" spans="1:3" x14ac:dyDescent="0.25">
      <c r="A528" s="52">
        <f t="shared" si="8"/>
        <v>43987</v>
      </c>
      <c r="B528" s="53">
        <v>527</v>
      </c>
      <c r="C528" s="53">
        <v>28529.611799999999</v>
      </c>
    </row>
    <row r="529" spans="1:3" x14ac:dyDescent="0.25">
      <c r="A529" s="52">
        <f t="shared" si="8"/>
        <v>43988</v>
      </c>
      <c r="B529" s="53">
        <v>528</v>
      </c>
      <c r="C529" s="53">
        <v>28532.208500000001</v>
      </c>
    </row>
    <row r="530" spans="1:3" x14ac:dyDescent="0.25">
      <c r="A530" s="52">
        <f t="shared" si="8"/>
        <v>43989</v>
      </c>
      <c r="B530" s="53">
        <v>529</v>
      </c>
      <c r="C530" s="53">
        <v>28534.805400000001</v>
      </c>
    </row>
    <row r="531" spans="1:3" x14ac:dyDescent="0.25">
      <c r="A531" s="52">
        <f t="shared" si="8"/>
        <v>43990</v>
      </c>
      <c r="B531" s="53">
        <v>530</v>
      </c>
      <c r="C531" s="53">
        <v>28537.402600000001</v>
      </c>
    </row>
    <row r="532" spans="1:3" x14ac:dyDescent="0.25">
      <c r="A532" s="52">
        <f t="shared" si="8"/>
        <v>43991</v>
      </c>
      <c r="B532" s="53">
        <v>531</v>
      </c>
      <c r="C532" s="53">
        <v>28540</v>
      </c>
    </row>
    <row r="533" spans="1:3" x14ac:dyDescent="0.25">
      <c r="A533" s="52">
        <f t="shared" si="8"/>
        <v>43992</v>
      </c>
      <c r="B533" s="53">
        <v>532</v>
      </c>
      <c r="C533" s="53">
        <v>28541.598699999999</v>
      </c>
    </row>
    <row r="534" spans="1:3" x14ac:dyDescent="0.25">
      <c r="A534" s="52">
        <f t="shared" si="8"/>
        <v>43993</v>
      </c>
      <c r="B534" s="53">
        <v>533</v>
      </c>
      <c r="C534" s="53">
        <v>28543.197499999998</v>
      </c>
    </row>
    <row r="535" spans="1:3" x14ac:dyDescent="0.25">
      <c r="A535" s="52">
        <f t="shared" si="8"/>
        <v>43994</v>
      </c>
      <c r="B535" s="53">
        <v>534</v>
      </c>
      <c r="C535" s="53">
        <v>28544.796399999999</v>
      </c>
    </row>
    <row r="536" spans="1:3" x14ac:dyDescent="0.25">
      <c r="A536" s="52">
        <f t="shared" si="8"/>
        <v>43995</v>
      </c>
      <c r="B536" s="53">
        <v>535</v>
      </c>
      <c r="C536" s="53">
        <v>28546.3953</v>
      </c>
    </row>
    <row r="537" spans="1:3" x14ac:dyDescent="0.25">
      <c r="A537" s="52">
        <f t="shared" si="8"/>
        <v>43996</v>
      </c>
      <c r="B537" s="53">
        <v>536</v>
      </c>
      <c r="C537" s="53">
        <v>28547.9944</v>
      </c>
    </row>
    <row r="538" spans="1:3" x14ac:dyDescent="0.25">
      <c r="A538" s="52">
        <f t="shared" si="8"/>
        <v>43997</v>
      </c>
      <c r="B538" s="53">
        <v>537</v>
      </c>
      <c r="C538" s="53">
        <v>28549.593499999999</v>
      </c>
    </row>
    <row r="539" spans="1:3" x14ac:dyDescent="0.25">
      <c r="A539" s="52">
        <f t="shared" si="8"/>
        <v>43998</v>
      </c>
      <c r="B539" s="53">
        <v>538</v>
      </c>
      <c r="C539" s="53">
        <v>28551.192800000001</v>
      </c>
    </row>
    <row r="540" spans="1:3" x14ac:dyDescent="0.25">
      <c r="A540" s="52">
        <f t="shared" si="8"/>
        <v>43999</v>
      </c>
      <c r="B540" s="53">
        <v>539</v>
      </c>
      <c r="C540" s="53">
        <v>28552.792099999999</v>
      </c>
    </row>
    <row r="541" spans="1:3" x14ac:dyDescent="0.25">
      <c r="A541" s="52">
        <f t="shared" si="8"/>
        <v>44000</v>
      </c>
      <c r="B541" s="53">
        <v>540</v>
      </c>
      <c r="C541" s="53">
        <v>28554.391500000002</v>
      </c>
    </row>
    <row r="542" spans="1:3" x14ac:dyDescent="0.25">
      <c r="A542" s="52">
        <f t="shared" si="8"/>
        <v>44001</v>
      </c>
      <c r="B542" s="53">
        <v>541</v>
      </c>
      <c r="C542" s="53">
        <v>28555.991000000002</v>
      </c>
    </row>
    <row r="543" spans="1:3" x14ac:dyDescent="0.25">
      <c r="A543" s="52">
        <f t="shared" si="8"/>
        <v>44002</v>
      </c>
      <c r="B543" s="53">
        <v>542</v>
      </c>
      <c r="C543" s="53">
        <v>28557.5906</v>
      </c>
    </row>
    <row r="544" spans="1:3" x14ac:dyDescent="0.25">
      <c r="A544" s="52">
        <f t="shared" si="8"/>
        <v>44003</v>
      </c>
      <c r="B544" s="53">
        <v>543</v>
      </c>
      <c r="C544" s="53">
        <v>28559.190299999998</v>
      </c>
    </row>
    <row r="545" spans="1:3" x14ac:dyDescent="0.25">
      <c r="A545" s="52">
        <f t="shared" si="8"/>
        <v>44004</v>
      </c>
      <c r="B545" s="53">
        <v>544</v>
      </c>
      <c r="C545" s="53">
        <v>28560.790099999998</v>
      </c>
    </row>
    <row r="546" spans="1:3" x14ac:dyDescent="0.25">
      <c r="A546" s="52">
        <f t="shared" si="8"/>
        <v>44005</v>
      </c>
      <c r="B546" s="53">
        <v>545</v>
      </c>
      <c r="C546" s="53">
        <v>28562.39</v>
      </c>
    </row>
    <row r="547" spans="1:3" x14ac:dyDescent="0.25">
      <c r="A547" s="52">
        <f t="shared" si="8"/>
        <v>44006</v>
      </c>
      <c r="B547" s="53">
        <v>546</v>
      </c>
      <c r="C547" s="53">
        <v>28563.9899</v>
      </c>
    </row>
    <row r="548" spans="1:3" x14ac:dyDescent="0.25">
      <c r="A548" s="52">
        <f t="shared" si="8"/>
        <v>44007</v>
      </c>
      <c r="B548" s="53">
        <v>547</v>
      </c>
      <c r="C548" s="53">
        <v>28565.59</v>
      </c>
    </row>
    <row r="549" spans="1:3" x14ac:dyDescent="0.25">
      <c r="A549" s="52">
        <f t="shared" si="8"/>
        <v>44008</v>
      </c>
      <c r="B549" s="53">
        <v>548</v>
      </c>
      <c r="C549" s="53">
        <v>28567.1901</v>
      </c>
    </row>
    <row r="550" spans="1:3" x14ac:dyDescent="0.25">
      <c r="A550" s="52">
        <f t="shared" si="8"/>
        <v>44009</v>
      </c>
      <c r="B550" s="53">
        <v>549</v>
      </c>
      <c r="C550" s="53">
        <v>28568.790300000001</v>
      </c>
    </row>
    <row r="551" spans="1:3" x14ac:dyDescent="0.25">
      <c r="A551" s="52">
        <f t="shared" si="8"/>
        <v>44010</v>
      </c>
      <c r="B551" s="53">
        <v>550</v>
      </c>
      <c r="C551" s="53">
        <v>28570.390599999999</v>
      </c>
    </row>
    <row r="552" spans="1:3" x14ac:dyDescent="0.25">
      <c r="A552" s="52">
        <f t="shared" si="8"/>
        <v>44011</v>
      </c>
      <c r="B552" s="53">
        <v>551</v>
      </c>
      <c r="C552" s="53">
        <v>28571.991000000002</v>
      </c>
    </row>
    <row r="553" spans="1:3" x14ac:dyDescent="0.25">
      <c r="A553" s="52">
        <f t="shared" si="8"/>
        <v>44012</v>
      </c>
      <c r="B553" s="53">
        <v>552</v>
      </c>
      <c r="C553" s="53">
        <v>28573.591499999999</v>
      </c>
    </row>
    <row r="554" spans="1:3" x14ac:dyDescent="0.25">
      <c r="A554" s="52">
        <f t="shared" si="8"/>
        <v>44013</v>
      </c>
      <c r="B554" s="53">
        <v>553</v>
      </c>
      <c r="C554" s="53">
        <v>28575.1921</v>
      </c>
    </row>
    <row r="555" spans="1:3" x14ac:dyDescent="0.25">
      <c r="A555" s="52">
        <f t="shared" si="8"/>
        <v>44014</v>
      </c>
      <c r="B555" s="53">
        <v>554</v>
      </c>
      <c r="C555" s="53">
        <v>28576.792799999999</v>
      </c>
    </row>
    <row r="556" spans="1:3" x14ac:dyDescent="0.25">
      <c r="A556" s="52">
        <f t="shared" si="8"/>
        <v>44015</v>
      </c>
      <c r="B556" s="53">
        <v>555</v>
      </c>
      <c r="C556" s="53">
        <v>28578.393499999998</v>
      </c>
    </row>
    <row r="557" spans="1:3" x14ac:dyDescent="0.25">
      <c r="A557" s="52">
        <f t="shared" si="8"/>
        <v>44016</v>
      </c>
      <c r="B557" s="53">
        <v>556</v>
      </c>
      <c r="C557" s="53">
        <v>28579.9944</v>
      </c>
    </row>
    <row r="558" spans="1:3" x14ac:dyDescent="0.25">
      <c r="A558" s="52">
        <f t="shared" si="8"/>
        <v>44017</v>
      </c>
      <c r="B558" s="53">
        <v>557</v>
      </c>
      <c r="C558" s="53">
        <v>28581.595300000001</v>
      </c>
    </row>
    <row r="559" spans="1:3" x14ac:dyDescent="0.25">
      <c r="A559" s="52">
        <f t="shared" si="8"/>
        <v>44018</v>
      </c>
      <c r="B559" s="53">
        <v>558</v>
      </c>
      <c r="C559" s="53">
        <v>28583.196400000001</v>
      </c>
    </row>
    <row r="560" spans="1:3" x14ac:dyDescent="0.25">
      <c r="A560" s="52">
        <f t="shared" si="8"/>
        <v>44019</v>
      </c>
      <c r="B560" s="53">
        <v>559</v>
      </c>
      <c r="C560" s="53">
        <v>28584.797500000001</v>
      </c>
    </row>
    <row r="561" spans="1:3" x14ac:dyDescent="0.25">
      <c r="A561" s="52">
        <f t="shared" si="8"/>
        <v>44020</v>
      </c>
      <c r="B561" s="53">
        <v>560</v>
      </c>
      <c r="C561" s="53">
        <v>28586.398700000002</v>
      </c>
    </row>
    <row r="562" spans="1:3" x14ac:dyDescent="0.25">
      <c r="A562" s="52">
        <f t="shared" si="8"/>
        <v>44021</v>
      </c>
      <c r="B562" s="53">
        <v>561</v>
      </c>
      <c r="C562" s="53">
        <v>28588</v>
      </c>
    </row>
    <row r="563" spans="1:3" x14ac:dyDescent="0.25">
      <c r="A563" s="52">
        <f t="shared" si="8"/>
        <v>44022</v>
      </c>
      <c r="B563" s="53">
        <v>562</v>
      </c>
      <c r="C563" s="53">
        <v>28589.9038</v>
      </c>
    </row>
    <row r="564" spans="1:3" x14ac:dyDescent="0.25">
      <c r="A564" s="52">
        <f t="shared" si="8"/>
        <v>44023</v>
      </c>
      <c r="B564" s="53">
        <v>563</v>
      </c>
      <c r="C564" s="53">
        <v>28591.807700000001</v>
      </c>
    </row>
    <row r="565" spans="1:3" x14ac:dyDescent="0.25">
      <c r="A565" s="52">
        <f t="shared" si="8"/>
        <v>44024</v>
      </c>
      <c r="B565" s="53">
        <v>564</v>
      </c>
      <c r="C565" s="53">
        <v>28593.711800000001</v>
      </c>
    </row>
    <row r="566" spans="1:3" x14ac:dyDescent="0.25">
      <c r="A566" s="52">
        <f t="shared" si="8"/>
        <v>44025</v>
      </c>
      <c r="B566" s="53">
        <v>565</v>
      </c>
      <c r="C566" s="53">
        <v>28595.615900000001</v>
      </c>
    </row>
    <row r="567" spans="1:3" x14ac:dyDescent="0.25">
      <c r="A567" s="52">
        <f t="shared" si="8"/>
        <v>44026</v>
      </c>
      <c r="B567" s="53">
        <v>566</v>
      </c>
      <c r="C567" s="53">
        <v>28597.520199999999</v>
      </c>
    </row>
    <row r="568" spans="1:3" x14ac:dyDescent="0.25">
      <c r="A568" s="52">
        <f t="shared" si="8"/>
        <v>44027</v>
      </c>
      <c r="B568" s="53">
        <v>567</v>
      </c>
      <c r="C568" s="53">
        <v>28599.4247</v>
      </c>
    </row>
    <row r="569" spans="1:3" x14ac:dyDescent="0.25">
      <c r="A569" s="52">
        <f t="shared" si="8"/>
        <v>44028</v>
      </c>
      <c r="B569" s="53">
        <v>568</v>
      </c>
      <c r="C569" s="53">
        <v>28601.3292</v>
      </c>
    </row>
    <row r="570" spans="1:3" x14ac:dyDescent="0.25">
      <c r="A570" s="52">
        <f t="shared" si="8"/>
        <v>44029</v>
      </c>
      <c r="B570" s="53">
        <v>569</v>
      </c>
      <c r="C570" s="53">
        <v>28603.233899999999</v>
      </c>
    </row>
    <row r="571" spans="1:3" x14ac:dyDescent="0.25">
      <c r="A571" s="52">
        <f t="shared" si="8"/>
        <v>44030</v>
      </c>
      <c r="B571" s="53">
        <v>570</v>
      </c>
      <c r="C571" s="53">
        <v>28605.1387</v>
      </c>
    </row>
    <row r="572" spans="1:3" x14ac:dyDescent="0.25">
      <c r="A572" s="52">
        <f t="shared" si="8"/>
        <v>44031</v>
      </c>
      <c r="B572" s="53">
        <v>571</v>
      </c>
      <c r="C572" s="53">
        <v>28607.043699999998</v>
      </c>
    </row>
    <row r="573" spans="1:3" x14ac:dyDescent="0.25">
      <c r="A573" s="52">
        <f t="shared" si="8"/>
        <v>44032</v>
      </c>
      <c r="B573" s="53">
        <v>572</v>
      </c>
      <c r="C573" s="53">
        <v>28608.948700000001</v>
      </c>
    </row>
    <row r="574" spans="1:3" x14ac:dyDescent="0.25">
      <c r="A574" s="52">
        <f t="shared" si="8"/>
        <v>44033</v>
      </c>
      <c r="B574" s="53">
        <v>573</v>
      </c>
      <c r="C574" s="53">
        <v>28610.853899999998</v>
      </c>
    </row>
    <row r="575" spans="1:3" x14ac:dyDescent="0.25">
      <c r="A575" s="52">
        <f t="shared" si="8"/>
        <v>44034</v>
      </c>
      <c r="B575" s="53">
        <v>574</v>
      </c>
      <c r="C575" s="53">
        <v>28612.7592</v>
      </c>
    </row>
    <row r="576" spans="1:3" x14ac:dyDescent="0.25">
      <c r="A576" s="52">
        <f t="shared" si="8"/>
        <v>44035</v>
      </c>
      <c r="B576" s="53">
        <v>575</v>
      </c>
      <c r="C576" s="53">
        <v>28614.664700000001</v>
      </c>
    </row>
    <row r="577" spans="1:3" x14ac:dyDescent="0.25">
      <c r="A577" s="52">
        <f t="shared" si="8"/>
        <v>44036</v>
      </c>
      <c r="B577" s="53">
        <v>576</v>
      </c>
      <c r="C577" s="53">
        <v>28616.570199999998</v>
      </c>
    </row>
    <row r="578" spans="1:3" x14ac:dyDescent="0.25">
      <c r="A578" s="52">
        <f t="shared" ref="A578:A641" si="9">+$G$4+B578</f>
        <v>44037</v>
      </c>
      <c r="B578" s="53">
        <v>577</v>
      </c>
      <c r="C578" s="53">
        <v>28618.475900000001</v>
      </c>
    </row>
    <row r="579" spans="1:3" x14ac:dyDescent="0.25">
      <c r="A579" s="52">
        <f t="shared" si="9"/>
        <v>44038</v>
      </c>
      <c r="B579" s="53">
        <v>578</v>
      </c>
      <c r="C579" s="53">
        <v>28620.381799999999</v>
      </c>
    </row>
    <row r="580" spans="1:3" x14ac:dyDescent="0.25">
      <c r="A580" s="52">
        <f t="shared" si="9"/>
        <v>44039</v>
      </c>
      <c r="B580" s="53">
        <v>579</v>
      </c>
      <c r="C580" s="53">
        <v>28622.287700000001</v>
      </c>
    </row>
    <row r="581" spans="1:3" x14ac:dyDescent="0.25">
      <c r="A581" s="52">
        <f t="shared" si="9"/>
        <v>44040</v>
      </c>
      <c r="B581" s="53">
        <v>580</v>
      </c>
      <c r="C581" s="53">
        <v>28624.193800000001</v>
      </c>
    </row>
    <row r="582" spans="1:3" x14ac:dyDescent="0.25">
      <c r="A582" s="52">
        <f t="shared" si="9"/>
        <v>44041</v>
      </c>
      <c r="B582" s="53">
        <v>581</v>
      </c>
      <c r="C582" s="53">
        <v>28626.1</v>
      </c>
    </row>
    <row r="583" spans="1:3" x14ac:dyDescent="0.25">
      <c r="A583" s="52">
        <f t="shared" si="9"/>
        <v>44042</v>
      </c>
      <c r="B583" s="53">
        <v>582</v>
      </c>
      <c r="C583" s="53">
        <v>28628.006300000001</v>
      </c>
    </row>
    <row r="584" spans="1:3" x14ac:dyDescent="0.25">
      <c r="A584" s="52">
        <f t="shared" si="9"/>
        <v>44043</v>
      </c>
      <c r="B584" s="53">
        <v>583</v>
      </c>
      <c r="C584" s="53">
        <v>28629.912799999998</v>
      </c>
    </row>
    <row r="585" spans="1:3" x14ac:dyDescent="0.25">
      <c r="A585" s="52">
        <f t="shared" si="9"/>
        <v>44044</v>
      </c>
      <c r="B585" s="53">
        <v>584</v>
      </c>
      <c r="C585" s="53">
        <v>28631.8194</v>
      </c>
    </row>
    <row r="586" spans="1:3" x14ac:dyDescent="0.25">
      <c r="A586" s="52">
        <f t="shared" si="9"/>
        <v>44045</v>
      </c>
      <c r="B586" s="53">
        <v>585</v>
      </c>
      <c r="C586" s="53">
        <v>28633.7261</v>
      </c>
    </row>
    <row r="587" spans="1:3" x14ac:dyDescent="0.25">
      <c r="A587" s="52">
        <f t="shared" si="9"/>
        <v>44046</v>
      </c>
      <c r="B587" s="53">
        <v>586</v>
      </c>
      <c r="C587" s="53">
        <v>28635.632900000001</v>
      </c>
    </row>
    <row r="588" spans="1:3" x14ac:dyDescent="0.25">
      <c r="A588" s="52">
        <f t="shared" si="9"/>
        <v>44047</v>
      </c>
      <c r="B588" s="53">
        <v>587</v>
      </c>
      <c r="C588" s="53">
        <v>28637.5399</v>
      </c>
    </row>
    <row r="589" spans="1:3" x14ac:dyDescent="0.25">
      <c r="A589" s="52">
        <f t="shared" si="9"/>
        <v>44048</v>
      </c>
      <c r="B589" s="53">
        <v>588</v>
      </c>
      <c r="C589" s="53">
        <v>28639.447</v>
      </c>
    </row>
    <row r="590" spans="1:3" x14ac:dyDescent="0.25">
      <c r="A590" s="52">
        <f t="shared" si="9"/>
        <v>44049</v>
      </c>
      <c r="B590" s="53">
        <v>589</v>
      </c>
      <c r="C590" s="53">
        <v>28641.354200000002</v>
      </c>
    </row>
    <row r="591" spans="1:3" x14ac:dyDescent="0.25">
      <c r="A591" s="52">
        <f t="shared" si="9"/>
        <v>44050</v>
      </c>
      <c r="B591" s="53">
        <v>590</v>
      </c>
      <c r="C591" s="53">
        <v>28643.261500000001</v>
      </c>
    </row>
    <row r="592" spans="1:3" x14ac:dyDescent="0.25">
      <c r="A592" s="52">
        <f t="shared" si="9"/>
        <v>44051</v>
      </c>
      <c r="B592" s="53">
        <v>591</v>
      </c>
      <c r="C592" s="53">
        <v>28645.169000000002</v>
      </c>
    </row>
    <row r="593" spans="1:3" x14ac:dyDescent="0.25">
      <c r="A593" s="52">
        <f t="shared" si="9"/>
        <v>44052</v>
      </c>
      <c r="B593" s="53">
        <v>592</v>
      </c>
      <c r="C593" s="53">
        <v>28647.0766</v>
      </c>
    </row>
    <row r="594" spans="1:3" x14ac:dyDescent="0.25">
      <c r="A594" s="52">
        <f t="shared" si="9"/>
        <v>44053</v>
      </c>
      <c r="B594" s="53">
        <v>593</v>
      </c>
      <c r="C594" s="53">
        <v>28649.6623</v>
      </c>
    </row>
    <row r="595" spans="1:3" x14ac:dyDescent="0.25">
      <c r="A595" s="52">
        <f t="shared" si="9"/>
        <v>44054</v>
      </c>
      <c r="B595" s="53">
        <v>594</v>
      </c>
      <c r="C595" s="53">
        <v>28652.248200000002</v>
      </c>
    </row>
    <row r="596" spans="1:3" x14ac:dyDescent="0.25">
      <c r="A596" s="52">
        <f t="shared" si="9"/>
        <v>44055</v>
      </c>
      <c r="B596" s="53">
        <v>595</v>
      </c>
      <c r="C596" s="53">
        <v>28654.834299999999</v>
      </c>
    </row>
    <row r="597" spans="1:3" x14ac:dyDescent="0.25">
      <c r="A597" s="52">
        <f t="shared" si="9"/>
        <v>44056</v>
      </c>
      <c r="B597" s="53">
        <v>596</v>
      </c>
      <c r="C597" s="53">
        <v>28657.420699999999</v>
      </c>
    </row>
    <row r="598" spans="1:3" x14ac:dyDescent="0.25">
      <c r="A598" s="52">
        <f t="shared" si="9"/>
        <v>44057</v>
      </c>
      <c r="B598" s="53">
        <v>597</v>
      </c>
      <c r="C598" s="53">
        <v>28660.007300000001</v>
      </c>
    </row>
    <row r="599" spans="1:3" x14ac:dyDescent="0.25">
      <c r="A599" s="52">
        <f t="shared" si="9"/>
        <v>44058</v>
      </c>
      <c r="B599" s="53">
        <v>598</v>
      </c>
      <c r="C599" s="53">
        <v>28662.594099999998</v>
      </c>
    </row>
    <row r="600" spans="1:3" x14ac:dyDescent="0.25">
      <c r="A600" s="52">
        <f t="shared" si="9"/>
        <v>44059</v>
      </c>
      <c r="B600" s="53">
        <v>599</v>
      </c>
      <c r="C600" s="53">
        <v>28665.181199999999</v>
      </c>
    </row>
    <row r="601" spans="1:3" x14ac:dyDescent="0.25">
      <c r="A601" s="52">
        <f t="shared" si="9"/>
        <v>44060</v>
      </c>
      <c r="B601" s="53">
        <v>600</v>
      </c>
      <c r="C601" s="53">
        <v>28667.768499999998</v>
      </c>
    </row>
    <row r="602" spans="1:3" x14ac:dyDescent="0.25">
      <c r="A602" s="52">
        <f t="shared" si="9"/>
        <v>44061</v>
      </c>
      <c r="B602" s="53">
        <v>601</v>
      </c>
      <c r="C602" s="53">
        <v>28670.356</v>
      </c>
    </row>
    <row r="603" spans="1:3" x14ac:dyDescent="0.25">
      <c r="A603" s="52">
        <f t="shared" si="9"/>
        <v>44062</v>
      </c>
      <c r="B603" s="53">
        <v>602</v>
      </c>
      <c r="C603" s="53">
        <v>28672.943800000001</v>
      </c>
    </row>
    <row r="604" spans="1:3" x14ac:dyDescent="0.25">
      <c r="A604" s="52">
        <f t="shared" si="9"/>
        <v>44063</v>
      </c>
      <c r="B604" s="53">
        <v>603</v>
      </c>
      <c r="C604" s="53">
        <v>28675.531800000001</v>
      </c>
    </row>
    <row r="605" spans="1:3" x14ac:dyDescent="0.25">
      <c r="A605" s="52">
        <f t="shared" si="9"/>
        <v>44064</v>
      </c>
      <c r="B605" s="53">
        <v>604</v>
      </c>
      <c r="C605" s="53">
        <v>28678.12</v>
      </c>
    </row>
    <row r="606" spans="1:3" x14ac:dyDescent="0.25">
      <c r="A606" s="52">
        <f t="shared" si="9"/>
        <v>44065</v>
      </c>
      <c r="B606" s="53">
        <v>605</v>
      </c>
      <c r="C606" s="53">
        <v>28680.708500000001</v>
      </c>
    </row>
    <row r="607" spans="1:3" x14ac:dyDescent="0.25">
      <c r="A607" s="52">
        <f t="shared" si="9"/>
        <v>44066</v>
      </c>
      <c r="B607" s="53">
        <v>606</v>
      </c>
      <c r="C607" s="53">
        <v>28683.297200000001</v>
      </c>
    </row>
    <row r="608" spans="1:3" x14ac:dyDescent="0.25">
      <c r="A608" s="52">
        <f t="shared" si="9"/>
        <v>44067</v>
      </c>
      <c r="B608" s="53">
        <v>607</v>
      </c>
      <c r="C608" s="53">
        <v>28685.8861</v>
      </c>
    </row>
    <row r="609" spans="1:3" x14ac:dyDescent="0.25">
      <c r="A609" s="52">
        <f t="shared" si="9"/>
        <v>44068</v>
      </c>
      <c r="B609" s="53">
        <v>608</v>
      </c>
      <c r="C609" s="53">
        <v>28688.475299999998</v>
      </c>
    </row>
    <row r="610" spans="1:3" x14ac:dyDescent="0.25">
      <c r="A610" s="52">
        <f t="shared" si="9"/>
        <v>44069</v>
      </c>
      <c r="B610" s="53">
        <v>609</v>
      </c>
      <c r="C610" s="53">
        <v>28691.064699999999</v>
      </c>
    </row>
    <row r="611" spans="1:3" x14ac:dyDescent="0.25">
      <c r="A611" s="52">
        <f t="shared" si="9"/>
        <v>44070</v>
      </c>
      <c r="B611" s="53">
        <v>610</v>
      </c>
      <c r="C611" s="53">
        <v>28693.654299999998</v>
      </c>
    </row>
    <row r="612" spans="1:3" x14ac:dyDescent="0.25">
      <c r="A612" s="52">
        <f t="shared" si="9"/>
        <v>44071</v>
      </c>
      <c r="B612" s="53">
        <v>611</v>
      </c>
      <c r="C612" s="53">
        <v>28696.244200000001</v>
      </c>
    </row>
    <row r="613" spans="1:3" x14ac:dyDescent="0.25">
      <c r="A613" s="52">
        <f t="shared" si="9"/>
        <v>44072</v>
      </c>
      <c r="B613" s="53">
        <v>612</v>
      </c>
      <c r="C613" s="53">
        <v>28698.834299999999</v>
      </c>
    </row>
    <row r="614" spans="1:3" x14ac:dyDescent="0.25">
      <c r="A614" s="52">
        <f t="shared" si="9"/>
        <v>44073</v>
      </c>
      <c r="B614" s="53">
        <v>613</v>
      </c>
      <c r="C614" s="53">
        <v>28701.424599999998</v>
      </c>
    </row>
    <row r="615" spans="1:3" x14ac:dyDescent="0.25">
      <c r="A615" s="52">
        <f t="shared" si="9"/>
        <v>44074</v>
      </c>
      <c r="B615" s="53">
        <v>614</v>
      </c>
      <c r="C615" s="53">
        <v>28704.015200000002</v>
      </c>
    </row>
    <row r="616" spans="1:3" x14ac:dyDescent="0.25">
      <c r="A616" s="52">
        <f t="shared" si="9"/>
        <v>44075</v>
      </c>
      <c r="B616" s="53">
        <v>615</v>
      </c>
      <c r="C616" s="53">
        <v>28706.606</v>
      </c>
    </row>
    <row r="617" spans="1:3" x14ac:dyDescent="0.25">
      <c r="A617" s="52">
        <f t="shared" si="9"/>
        <v>44076</v>
      </c>
      <c r="B617" s="53">
        <v>616</v>
      </c>
      <c r="C617" s="53">
        <v>28709.197</v>
      </c>
    </row>
    <row r="618" spans="1:3" x14ac:dyDescent="0.25">
      <c r="A618" s="52">
        <f t="shared" si="9"/>
        <v>44077</v>
      </c>
      <c r="B618" s="53">
        <v>617</v>
      </c>
      <c r="C618" s="53">
        <v>28711.7883</v>
      </c>
    </row>
    <row r="619" spans="1:3" x14ac:dyDescent="0.25">
      <c r="A619" s="52">
        <f t="shared" si="9"/>
        <v>44078</v>
      </c>
      <c r="B619" s="53">
        <v>618</v>
      </c>
      <c r="C619" s="53">
        <v>28714.379799999999</v>
      </c>
    </row>
    <row r="620" spans="1:3" x14ac:dyDescent="0.25">
      <c r="A620" s="52">
        <f t="shared" si="9"/>
        <v>44079</v>
      </c>
      <c r="B620" s="53">
        <v>619</v>
      </c>
      <c r="C620" s="53">
        <v>28716.9715</v>
      </c>
    </row>
    <row r="621" spans="1:3" x14ac:dyDescent="0.25">
      <c r="A621" s="52">
        <f t="shared" si="9"/>
        <v>44080</v>
      </c>
      <c r="B621" s="53">
        <v>620</v>
      </c>
      <c r="C621" s="53">
        <v>28719.5635</v>
      </c>
    </row>
    <row r="622" spans="1:3" x14ac:dyDescent="0.25">
      <c r="A622" s="52">
        <f t="shared" si="9"/>
        <v>44081</v>
      </c>
      <c r="B622" s="53">
        <v>621</v>
      </c>
      <c r="C622" s="53">
        <v>28722.155699999999</v>
      </c>
    </row>
    <row r="623" spans="1:3" x14ac:dyDescent="0.25">
      <c r="A623" s="52">
        <f t="shared" si="9"/>
        <v>44082</v>
      </c>
      <c r="B623" s="53">
        <v>622</v>
      </c>
      <c r="C623" s="53">
        <v>28724.748100000001</v>
      </c>
    </row>
    <row r="624" spans="1:3" x14ac:dyDescent="0.25">
      <c r="A624" s="52">
        <f t="shared" si="9"/>
        <v>44083</v>
      </c>
      <c r="B624" s="53">
        <v>623</v>
      </c>
      <c r="C624" s="53">
        <v>28727.340800000002</v>
      </c>
    </row>
    <row r="625" spans="1:3" x14ac:dyDescent="0.25">
      <c r="A625" s="52">
        <f t="shared" si="9"/>
        <v>44084</v>
      </c>
      <c r="B625" s="53">
        <v>624</v>
      </c>
      <c r="C625" s="53">
        <v>28729.5933</v>
      </c>
    </row>
    <row r="626" spans="1:3" x14ac:dyDescent="0.25">
      <c r="A626" s="52">
        <f t="shared" si="9"/>
        <v>44085</v>
      </c>
      <c r="B626" s="53">
        <v>625</v>
      </c>
      <c r="C626" s="53">
        <v>28731.846000000001</v>
      </c>
    </row>
    <row r="627" spans="1:3" x14ac:dyDescent="0.25">
      <c r="A627" s="52">
        <f t="shared" si="9"/>
        <v>44086</v>
      </c>
      <c r="B627" s="53">
        <v>626</v>
      </c>
      <c r="C627" s="53">
        <v>28734.098900000001</v>
      </c>
    </row>
    <row r="628" spans="1:3" x14ac:dyDescent="0.25">
      <c r="A628" s="52">
        <f t="shared" si="9"/>
        <v>44087</v>
      </c>
      <c r="B628" s="53">
        <v>627</v>
      </c>
      <c r="C628" s="53">
        <v>28736.351999999999</v>
      </c>
    </row>
    <row r="629" spans="1:3" x14ac:dyDescent="0.25">
      <c r="A629" s="52">
        <f t="shared" si="9"/>
        <v>44088</v>
      </c>
      <c r="B629" s="53">
        <v>628</v>
      </c>
      <c r="C629" s="53">
        <v>28738.605200000002</v>
      </c>
    </row>
    <row r="630" spans="1:3" x14ac:dyDescent="0.25">
      <c r="A630" s="52">
        <f t="shared" si="9"/>
        <v>44089</v>
      </c>
      <c r="B630" s="53">
        <v>629</v>
      </c>
      <c r="C630" s="53">
        <v>28740.8586</v>
      </c>
    </row>
    <row r="631" spans="1:3" x14ac:dyDescent="0.25">
      <c r="A631" s="52">
        <f t="shared" si="9"/>
        <v>44090</v>
      </c>
      <c r="B631" s="53">
        <v>630</v>
      </c>
      <c r="C631" s="53">
        <v>28743.1122</v>
      </c>
    </row>
    <row r="632" spans="1:3" x14ac:dyDescent="0.25">
      <c r="A632" s="52">
        <f t="shared" si="9"/>
        <v>44091</v>
      </c>
      <c r="B632" s="53">
        <v>631</v>
      </c>
      <c r="C632" s="53">
        <v>28745.366000000002</v>
      </c>
    </row>
    <row r="633" spans="1:3" x14ac:dyDescent="0.25">
      <c r="A633" s="52">
        <f t="shared" si="9"/>
        <v>44092</v>
      </c>
      <c r="B633" s="53">
        <v>632</v>
      </c>
      <c r="C633" s="53">
        <v>28747.619900000002</v>
      </c>
    </row>
    <row r="634" spans="1:3" x14ac:dyDescent="0.25">
      <c r="A634" s="52">
        <f t="shared" si="9"/>
        <v>44093</v>
      </c>
      <c r="B634" s="53">
        <v>633</v>
      </c>
      <c r="C634" s="53">
        <v>28749.874</v>
      </c>
    </row>
    <row r="635" spans="1:3" x14ac:dyDescent="0.25">
      <c r="A635" s="52">
        <f t="shared" si="9"/>
        <v>44094</v>
      </c>
      <c r="B635" s="53">
        <v>634</v>
      </c>
      <c r="C635" s="53">
        <v>28752.1283</v>
      </c>
    </row>
    <row r="636" spans="1:3" x14ac:dyDescent="0.25">
      <c r="A636" s="52">
        <f t="shared" si="9"/>
        <v>44095</v>
      </c>
      <c r="B636" s="53">
        <v>635</v>
      </c>
      <c r="C636" s="53">
        <v>28754.382799999999</v>
      </c>
    </row>
    <row r="637" spans="1:3" x14ac:dyDescent="0.25">
      <c r="A637" s="52">
        <f t="shared" si="9"/>
        <v>44096</v>
      </c>
      <c r="B637" s="53">
        <v>636</v>
      </c>
      <c r="C637" s="53">
        <v>28756.6374</v>
      </c>
    </row>
    <row r="638" spans="1:3" x14ac:dyDescent="0.25">
      <c r="A638" s="52">
        <f t="shared" si="9"/>
        <v>44097</v>
      </c>
      <c r="B638" s="53">
        <v>637</v>
      </c>
      <c r="C638" s="53">
        <v>28758.8923</v>
      </c>
    </row>
    <row r="639" spans="1:3" x14ac:dyDescent="0.25">
      <c r="A639" s="52">
        <f t="shared" si="9"/>
        <v>44098</v>
      </c>
      <c r="B639" s="53">
        <v>638</v>
      </c>
      <c r="C639" s="53">
        <v>28761.147300000001</v>
      </c>
    </row>
    <row r="640" spans="1:3" x14ac:dyDescent="0.25">
      <c r="A640" s="52">
        <f t="shared" si="9"/>
        <v>44099</v>
      </c>
      <c r="B640" s="53">
        <v>639</v>
      </c>
      <c r="C640" s="53">
        <v>28763.402399999999</v>
      </c>
    </row>
    <row r="641" spans="1:3" x14ac:dyDescent="0.25">
      <c r="A641" s="52">
        <f t="shared" si="9"/>
        <v>44100</v>
      </c>
      <c r="B641" s="53">
        <v>640</v>
      </c>
      <c r="C641" s="53">
        <v>28765.657800000001</v>
      </c>
    </row>
    <row r="642" spans="1:3" x14ac:dyDescent="0.25">
      <c r="A642" s="52">
        <f t="shared" ref="A642:A705" si="10">+$G$4+B642</f>
        <v>44101</v>
      </c>
      <c r="B642" s="53">
        <v>641</v>
      </c>
      <c r="C642" s="53">
        <v>28767.9133</v>
      </c>
    </row>
    <row r="643" spans="1:3" x14ac:dyDescent="0.25">
      <c r="A643" s="52">
        <f t="shared" si="10"/>
        <v>44102</v>
      </c>
      <c r="B643" s="53">
        <v>642</v>
      </c>
      <c r="C643" s="53">
        <v>28770.169000000002</v>
      </c>
    </row>
    <row r="644" spans="1:3" x14ac:dyDescent="0.25">
      <c r="A644" s="52">
        <f t="shared" si="10"/>
        <v>44103</v>
      </c>
      <c r="B644" s="53">
        <v>643</v>
      </c>
      <c r="C644" s="53">
        <v>28772.424900000002</v>
      </c>
    </row>
    <row r="645" spans="1:3" x14ac:dyDescent="0.25">
      <c r="A645" s="52">
        <f t="shared" si="10"/>
        <v>44104</v>
      </c>
      <c r="B645" s="53">
        <v>644</v>
      </c>
      <c r="C645" s="53">
        <v>28774.681</v>
      </c>
    </row>
    <row r="646" spans="1:3" x14ac:dyDescent="0.25">
      <c r="A646" s="52">
        <f t="shared" si="10"/>
        <v>44105</v>
      </c>
      <c r="B646" s="53">
        <v>645</v>
      </c>
      <c r="C646" s="53">
        <v>28776.9372</v>
      </c>
    </row>
    <row r="647" spans="1:3" x14ac:dyDescent="0.25">
      <c r="A647" s="52">
        <f t="shared" si="10"/>
        <v>44106</v>
      </c>
      <c r="B647" s="53">
        <v>646</v>
      </c>
      <c r="C647" s="53">
        <v>28779.193599999999</v>
      </c>
    </row>
    <row r="648" spans="1:3" x14ac:dyDescent="0.25">
      <c r="A648" s="52">
        <f t="shared" si="10"/>
        <v>44107</v>
      </c>
      <c r="B648" s="53">
        <v>647</v>
      </c>
      <c r="C648" s="53">
        <v>28781.450199999999</v>
      </c>
    </row>
    <row r="649" spans="1:3" x14ac:dyDescent="0.25">
      <c r="A649" s="52">
        <f t="shared" si="10"/>
        <v>44108</v>
      </c>
      <c r="B649" s="53">
        <v>648</v>
      </c>
      <c r="C649" s="53">
        <v>28783.706999999999</v>
      </c>
    </row>
    <row r="650" spans="1:3" x14ac:dyDescent="0.25">
      <c r="A650" s="52">
        <f t="shared" si="10"/>
        <v>44109</v>
      </c>
      <c r="B650" s="53">
        <v>649</v>
      </c>
      <c r="C650" s="53">
        <v>28785.963899999999</v>
      </c>
    </row>
    <row r="651" spans="1:3" x14ac:dyDescent="0.25">
      <c r="A651" s="52">
        <f t="shared" si="10"/>
        <v>44110</v>
      </c>
      <c r="B651" s="53">
        <v>650</v>
      </c>
      <c r="C651" s="53">
        <v>28788.221000000001</v>
      </c>
    </row>
    <row r="652" spans="1:3" x14ac:dyDescent="0.25">
      <c r="A652" s="52">
        <f t="shared" si="10"/>
        <v>44111</v>
      </c>
      <c r="B652" s="53">
        <v>651</v>
      </c>
      <c r="C652" s="53">
        <v>28790.478299999999</v>
      </c>
    </row>
    <row r="653" spans="1:3" x14ac:dyDescent="0.25">
      <c r="A653" s="52">
        <f t="shared" si="10"/>
        <v>44112</v>
      </c>
      <c r="B653" s="53">
        <v>652</v>
      </c>
      <c r="C653" s="53">
        <v>28792.735799999999</v>
      </c>
    </row>
    <row r="654" spans="1:3" x14ac:dyDescent="0.25">
      <c r="A654" s="52">
        <f t="shared" si="10"/>
        <v>44113</v>
      </c>
      <c r="B654" s="53">
        <v>653</v>
      </c>
      <c r="C654" s="53">
        <v>28794.9935</v>
      </c>
    </row>
    <row r="655" spans="1:3" x14ac:dyDescent="0.25">
      <c r="A655" s="52">
        <f t="shared" si="10"/>
        <v>44114</v>
      </c>
      <c r="B655" s="53">
        <v>654</v>
      </c>
      <c r="C655" s="53">
        <v>28798.301200000002</v>
      </c>
    </row>
    <row r="656" spans="1:3" x14ac:dyDescent="0.25">
      <c r="A656" s="52">
        <f t="shared" si="10"/>
        <v>44115</v>
      </c>
      <c r="B656" s="53">
        <v>655</v>
      </c>
      <c r="C656" s="53">
        <v>28801.609199999999</v>
      </c>
    </row>
    <row r="657" spans="1:3" x14ac:dyDescent="0.25">
      <c r="A657" s="52">
        <f t="shared" si="10"/>
        <v>44116</v>
      </c>
      <c r="B657" s="53">
        <v>656</v>
      </c>
      <c r="C657" s="53">
        <v>28804.917700000002</v>
      </c>
    </row>
    <row r="658" spans="1:3" x14ac:dyDescent="0.25">
      <c r="A658" s="52">
        <f t="shared" si="10"/>
        <v>44117</v>
      </c>
      <c r="B658" s="53">
        <v>657</v>
      </c>
      <c r="C658" s="53">
        <v>28808.226500000001</v>
      </c>
    </row>
    <row r="659" spans="1:3" x14ac:dyDescent="0.25">
      <c r="A659" s="52">
        <f t="shared" si="10"/>
        <v>44118</v>
      </c>
      <c r="B659" s="53">
        <v>658</v>
      </c>
      <c r="C659" s="53">
        <v>28811.5357</v>
      </c>
    </row>
    <row r="660" spans="1:3" x14ac:dyDescent="0.25">
      <c r="A660" s="52">
        <f t="shared" si="10"/>
        <v>44119</v>
      </c>
      <c r="B660" s="53">
        <v>659</v>
      </c>
      <c r="C660" s="53">
        <v>28814.845300000001</v>
      </c>
    </row>
    <row r="661" spans="1:3" x14ac:dyDescent="0.25">
      <c r="A661" s="52">
        <f t="shared" si="10"/>
        <v>44120</v>
      </c>
      <c r="B661" s="53">
        <v>660</v>
      </c>
      <c r="C661" s="53">
        <v>28818.155200000001</v>
      </c>
    </row>
    <row r="662" spans="1:3" x14ac:dyDescent="0.25">
      <c r="A662" s="52">
        <f t="shared" si="10"/>
        <v>44121</v>
      </c>
      <c r="B662" s="53">
        <v>661</v>
      </c>
      <c r="C662" s="53">
        <v>28821.4656</v>
      </c>
    </row>
    <row r="663" spans="1:3" x14ac:dyDescent="0.25">
      <c r="A663" s="52">
        <f t="shared" si="10"/>
        <v>44122</v>
      </c>
      <c r="B663" s="53">
        <v>662</v>
      </c>
      <c r="C663" s="53">
        <v>28824.776300000001</v>
      </c>
    </row>
    <row r="664" spans="1:3" x14ac:dyDescent="0.25">
      <c r="A664" s="52">
        <f t="shared" si="10"/>
        <v>44123</v>
      </c>
      <c r="B664" s="53">
        <v>663</v>
      </c>
      <c r="C664" s="53">
        <v>28828.0874</v>
      </c>
    </row>
    <row r="665" spans="1:3" x14ac:dyDescent="0.25">
      <c r="A665" s="52">
        <f t="shared" si="10"/>
        <v>44124</v>
      </c>
      <c r="B665" s="53">
        <v>664</v>
      </c>
      <c r="C665" s="53">
        <v>28831.3989</v>
      </c>
    </row>
    <row r="666" spans="1:3" x14ac:dyDescent="0.25">
      <c r="A666" s="52">
        <f t="shared" si="10"/>
        <v>44125</v>
      </c>
      <c r="B666" s="53">
        <v>665</v>
      </c>
      <c r="C666" s="53">
        <v>28834.710800000001</v>
      </c>
    </row>
    <row r="667" spans="1:3" x14ac:dyDescent="0.25">
      <c r="A667" s="52">
        <f t="shared" si="10"/>
        <v>44126</v>
      </c>
      <c r="B667" s="53">
        <v>666</v>
      </c>
      <c r="C667" s="53">
        <v>28838.023000000001</v>
      </c>
    </row>
    <row r="668" spans="1:3" x14ac:dyDescent="0.25">
      <c r="A668" s="52">
        <f t="shared" si="10"/>
        <v>44127</v>
      </c>
      <c r="B668" s="53">
        <v>667</v>
      </c>
      <c r="C668" s="53">
        <v>28841.335599999999</v>
      </c>
    </row>
    <row r="669" spans="1:3" x14ac:dyDescent="0.25">
      <c r="A669" s="52">
        <f t="shared" si="10"/>
        <v>44128</v>
      </c>
      <c r="B669" s="53">
        <v>668</v>
      </c>
      <c r="C669" s="53">
        <v>28844.648700000002</v>
      </c>
    </row>
    <row r="670" spans="1:3" x14ac:dyDescent="0.25">
      <c r="A670" s="52">
        <f t="shared" si="10"/>
        <v>44129</v>
      </c>
      <c r="B670" s="53">
        <v>669</v>
      </c>
      <c r="C670" s="53">
        <v>28847.962</v>
      </c>
    </row>
    <row r="671" spans="1:3" x14ac:dyDescent="0.25">
      <c r="A671" s="52">
        <f t="shared" si="10"/>
        <v>44130</v>
      </c>
      <c r="B671" s="53">
        <v>670</v>
      </c>
      <c r="C671" s="53">
        <v>28851.275799999999</v>
      </c>
    </row>
    <row r="672" spans="1:3" x14ac:dyDescent="0.25">
      <c r="A672" s="52">
        <f t="shared" si="10"/>
        <v>44131</v>
      </c>
      <c r="B672" s="53">
        <v>671</v>
      </c>
      <c r="C672" s="53">
        <v>28854.59</v>
      </c>
    </row>
    <row r="673" spans="1:3" x14ac:dyDescent="0.25">
      <c r="A673" s="52">
        <f t="shared" si="10"/>
        <v>44132</v>
      </c>
      <c r="B673" s="53">
        <v>672</v>
      </c>
      <c r="C673" s="53">
        <v>28857.904500000001</v>
      </c>
    </row>
    <row r="674" spans="1:3" x14ac:dyDescent="0.25">
      <c r="A674" s="52">
        <f t="shared" si="10"/>
        <v>44133</v>
      </c>
      <c r="B674" s="53">
        <v>673</v>
      </c>
      <c r="C674" s="53">
        <v>28861.219400000002</v>
      </c>
    </row>
    <row r="675" spans="1:3" x14ac:dyDescent="0.25">
      <c r="A675" s="52">
        <f t="shared" si="10"/>
        <v>44134</v>
      </c>
      <c r="B675" s="53">
        <v>674</v>
      </c>
      <c r="C675" s="53">
        <v>28864.5347</v>
      </c>
    </row>
    <row r="676" spans="1:3" x14ac:dyDescent="0.25">
      <c r="A676" s="52">
        <f t="shared" si="10"/>
        <v>44135</v>
      </c>
      <c r="B676" s="53">
        <v>675</v>
      </c>
      <c r="C676" s="53">
        <v>28867.850399999999</v>
      </c>
    </row>
    <row r="677" spans="1:3" x14ac:dyDescent="0.25">
      <c r="A677" s="52">
        <f t="shared" si="10"/>
        <v>44136</v>
      </c>
      <c r="B677" s="53">
        <v>676</v>
      </c>
      <c r="C677" s="53">
        <v>28871.166399999998</v>
      </c>
    </row>
    <row r="678" spans="1:3" x14ac:dyDescent="0.25">
      <c r="A678" s="52">
        <f t="shared" si="10"/>
        <v>44137</v>
      </c>
      <c r="B678" s="53">
        <v>677</v>
      </c>
      <c r="C678" s="53">
        <v>28874.482899999999</v>
      </c>
    </row>
    <row r="679" spans="1:3" x14ac:dyDescent="0.25">
      <c r="A679" s="52">
        <f t="shared" si="10"/>
        <v>44138</v>
      </c>
      <c r="B679" s="53">
        <v>678</v>
      </c>
      <c r="C679" s="53">
        <v>28877.7997</v>
      </c>
    </row>
    <row r="680" spans="1:3" x14ac:dyDescent="0.25">
      <c r="A680" s="52">
        <f t="shared" si="10"/>
        <v>44139</v>
      </c>
      <c r="B680" s="53">
        <v>679</v>
      </c>
      <c r="C680" s="53">
        <v>28881.116900000001</v>
      </c>
    </row>
    <row r="681" spans="1:3" x14ac:dyDescent="0.25">
      <c r="A681" s="52">
        <f t="shared" si="10"/>
        <v>44140</v>
      </c>
      <c r="B681" s="53">
        <v>680</v>
      </c>
      <c r="C681" s="53">
        <v>28884.434399999998</v>
      </c>
    </row>
    <row r="682" spans="1:3" x14ac:dyDescent="0.25">
      <c r="A682" s="52">
        <f t="shared" si="10"/>
        <v>44141</v>
      </c>
      <c r="B682" s="53">
        <v>681</v>
      </c>
      <c r="C682" s="53">
        <v>28887.752400000001</v>
      </c>
    </row>
    <row r="683" spans="1:3" x14ac:dyDescent="0.25">
      <c r="A683" s="52">
        <f t="shared" si="10"/>
        <v>44142</v>
      </c>
      <c r="B683" s="53">
        <v>682</v>
      </c>
      <c r="C683" s="53">
        <v>28891.0707</v>
      </c>
    </row>
    <row r="684" spans="1:3" x14ac:dyDescent="0.25">
      <c r="A684" s="52">
        <f t="shared" si="10"/>
        <v>44143</v>
      </c>
      <c r="B684" s="53">
        <v>683</v>
      </c>
      <c r="C684" s="53">
        <v>28894.389500000001</v>
      </c>
    </row>
    <row r="685" spans="1:3" x14ac:dyDescent="0.25">
      <c r="A685" s="52">
        <f t="shared" si="10"/>
        <v>44144</v>
      </c>
      <c r="B685" s="53">
        <v>684</v>
      </c>
      <c r="C685" s="53">
        <v>28897.708600000002</v>
      </c>
    </row>
    <row r="686" spans="1:3" x14ac:dyDescent="0.25">
      <c r="A686" s="52">
        <f t="shared" si="10"/>
        <v>44145</v>
      </c>
      <c r="B686" s="53">
        <v>685</v>
      </c>
      <c r="C686" s="53">
        <v>28901.112499999999</v>
      </c>
    </row>
    <row r="687" spans="1:3" x14ac:dyDescent="0.25">
      <c r="A687" s="52">
        <f t="shared" si="10"/>
        <v>44146</v>
      </c>
      <c r="B687" s="53">
        <v>686</v>
      </c>
      <c r="C687" s="53">
        <v>28904.516800000001</v>
      </c>
    </row>
    <row r="688" spans="1:3" x14ac:dyDescent="0.25">
      <c r="A688" s="52">
        <f t="shared" si="10"/>
        <v>44147</v>
      </c>
      <c r="B688" s="53">
        <v>687</v>
      </c>
      <c r="C688" s="53">
        <v>28907.921399999999</v>
      </c>
    </row>
    <row r="689" spans="1:3" x14ac:dyDescent="0.25">
      <c r="A689" s="52">
        <f t="shared" si="10"/>
        <v>44148</v>
      </c>
      <c r="B689" s="53">
        <v>688</v>
      </c>
      <c r="C689" s="53">
        <v>28911.326499999999</v>
      </c>
    </row>
    <row r="690" spans="1:3" x14ac:dyDescent="0.25">
      <c r="A690" s="52">
        <f t="shared" si="10"/>
        <v>44149</v>
      </c>
      <c r="B690" s="53">
        <v>689</v>
      </c>
      <c r="C690" s="53">
        <v>28914.732</v>
      </c>
    </row>
    <row r="691" spans="1:3" x14ac:dyDescent="0.25">
      <c r="A691" s="52">
        <f t="shared" si="10"/>
        <v>44150</v>
      </c>
      <c r="B691" s="53">
        <v>690</v>
      </c>
      <c r="C691" s="53">
        <v>28918.137900000002</v>
      </c>
    </row>
    <row r="692" spans="1:3" x14ac:dyDescent="0.25">
      <c r="A692" s="52">
        <f t="shared" si="10"/>
        <v>44151</v>
      </c>
      <c r="B692" s="53">
        <v>691</v>
      </c>
      <c r="C692" s="53">
        <v>28921.5442</v>
      </c>
    </row>
    <row r="693" spans="1:3" x14ac:dyDescent="0.25">
      <c r="A693" s="52">
        <f t="shared" si="10"/>
        <v>44152</v>
      </c>
      <c r="B693" s="53">
        <v>692</v>
      </c>
      <c r="C693" s="53">
        <v>28924.9509</v>
      </c>
    </row>
    <row r="694" spans="1:3" x14ac:dyDescent="0.25">
      <c r="A694" s="52">
        <f t="shared" si="10"/>
        <v>44153</v>
      </c>
      <c r="B694" s="53">
        <v>693</v>
      </c>
      <c r="C694" s="53">
        <v>28928.358</v>
      </c>
    </row>
    <row r="695" spans="1:3" x14ac:dyDescent="0.25">
      <c r="A695" s="52">
        <f t="shared" si="10"/>
        <v>44154</v>
      </c>
      <c r="B695" s="53">
        <v>694</v>
      </c>
      <c r="C695" s="53">
        <v>28931.765599999999</v>
      </c>
    </row>
    <row r="696" spans="1:3" x14ac:dyDescent="0.25">
      <c r="A696" s="52">
        <f t="shared" si="10"/>
        <v>44155</v>
      </c>
      <c r="B696" s="53">
        <v>695</v>
      </c>
      <c r="C696" s="53">
        <v>28935.173500000001</v>
      </c>
    </row>
    <row r="697" spans="1:3" x14ac:dyDescent="0.25">
      <c r="A697" s="52">
        <f t="shared" si="10"/>
        <v>44156</v>
      </c>
      <c r="B697" s="53">
        <v>696</v>
      </c>
      <c r="C697" s="53">
        <v>28938.5818</v>
      </c>
    </row>
    <row r="698" spans="1:3" x14ac:dyDescent="0.25">
      <c r="A698" s="52">
        <f t="shared" si="10"/>
        <v>44157</v>
      </c>
      <c r="B698" s="53">
        <v>697</v>
      </c>
      <c r="C698" s="53">
        <v>28941.9905</v>
      </c>
    </row>
    <row r="699" spans="1:3" x14ac:dyDescent="0.25">
      <c r="A699" s="52">
        <f t="shared" si="10"/>
        <v>44158</v>
      </c>
      <c r="B699" s="53">
        <v>698</v>
      </c>
      <c r="C699" s="53">
        <v>28945.399600000001</v>
      </c>
    </row>
    <row r="700" spans="1:3" x14ac:dyDescent="0.25">
      <c r="A700" s="52">
        <f t="shared" si="10"/>
        <v>44159</v>
      </c>
      <c r="B700" s="53">
        <v>699</v>
      </c>
      <c r="C700" s="53">
        <v>28948.809099999999</v>
      </c>
    </row>
    <row r="701" spans="1:3" x14ac:dyDescent="0.25">
      <c r="A701" s="52">
        <f t="shared" si="10"/>
        <v>44160</v>
      </c>
      <c r="B701" s="53">
        <v>700</v>
      </c>
      <c r="C701" s="53">
        <v>28952.219000000001</v>
      </c>
    </row>
    <row r="702" spans="1:3" x14ac:dyDescent="0.25">
      <c r="A702" s="52">
        <f t="shared" si="10"/>
        <v>44161</v>
      </c>
      <c r="B702" s="53">
        <v>701</v>
      </c>
      <c r="C702" s="53">
        <v>28955.629300000001</v>
      </c>
    </row>
    <row r="703" spans="1:3" x14ac:dyDescent="0.25">
      <c r="A703" s="52">
        <f t="shared" si="10"/>
        <v>44162</v>
      </c>
      <c r="B703" s="53">
        <v>702</v>
      </c>
      <c r="C703" s="53">
        <v>28959.040000000001</v>
      </c>
    </row>
    <row r="704" spans="1:3" x14ac:dyDescent="0.25">
      <c r="A704" s="52">
        <f t="shared" si="10"/>
        <v>44163</v>
      </c>
      <c r="B704" s="53">
        <v>703</v>
      </c>
      <c r="C704" s="53">
        <v>28962.4512</v>
      </c>
    </row>
    <row r="705" spans="1:3" x14ac:dyDescent="0.25">
      <c r="A705" s="52">
        <f t="shared" si="10"/>
        <v>44164</v>
      </c>
      <c r="B705" s="53">
        <v>704</v>
      </c>
      <c r="C705" s="53">
        <v>28965.862700000001</v>
      </c>
    </row>
    <row r="706" spans="1:3" x14ac:dyDescent="0.25">
      <c r="A706" s="52">
        <f t="shared" ref="A706:A769" si="11">+$G$4+B706</f>
        <v>44165</v>
      </c>
      <c r="B706" s="53">
        <v>705</v>
      </c>
      <c r="C706" s="53">
        <v>28969.274600000001</v>
      </c>
    </row>
    <row r="707" spans="1:3" x14ac:dyDescent="0.25">
      <c r="A707" s="52">
        <f t="shared" si="11"/>
        <v>44166</v>
      </c>
      <c r="B707" s="53">
        <v>706</v>
      </c>
      <c r="C707" s="53">
        <v>28972.686900000001</v>
      </c>
    </row>
    <row r="708" spans="1:3" x14ac:dyDescent="0.25">
      <c r="A708" s="52">
        <f t="shared" si="11"/>
        <v>44167</v>
      </c>
      <c r="B708" s="53">
        <v>707</v>
      </c>
      <c r="C708" s="53">
        <v>28976.099699999999</v>
      </c>
    </row>
    <row r="709" spans="1:3" x14ac:dyDescent="0.25">
      <c r="A709" s="52">
        <f t="shared" si="11"/>
        <v>44168</v>
      </c>
      <c r="B709" s="53">
        <v>708</v>
      </c>
      <c r="C709" s="53">
        <v>28979.5128</v>
      </c>
    </row>
    <row r="710" spans="1:3" x14ac:dyDescent="0.25">
      <c r="A710" s="52">
        <f t="shared" si="11"/>
        <v>44169</v>
      </c>
      <c r="B710" s="53">
        <v>709</v>
      </c>
      <c r="C710" s="53">
        <v>28982.926299999999</v>
      </c>
    </row>
    <row r="711" spans="1:3" x14ac:dyDescent="0.25">
      <c r="A711" s="52">
        <f t="shared" si="11"/>
        <v>44170</v>
      </c>
      <c r="B711" s="53">
        <v>710</v>
      </c>
      <c r="C711" s="53">
        <v>28986.340199999999</v>
      </c>
    </row>
    <row r="712" spans="1:3" x14ac:dyDescent="0.25">
      <c r="A712" s="52">
        <f t="shared" si="11"/>
        <v>44171</v>
      </c>
      <c r="B712" s="53">
        <v>711</v>
      </c>
      <c r="C712" s="53">
        <v>28989.7546</v>
      </c>
    </row>
    <row r="713" spans="1:3" x14ac:dyDescent="0.25">
      <c r="A713" s="52">
        <f t="shared" si="11"/>
        <v>44172</v>
      </c>
      <c r="B713" s="53">
        <v>712</v>
      </c>
      <c r="C713" s="53">
        <v>28993.169300000001</v>
      </c>
    </row>
    <row r="714" spans="1:3" x14ac:dyDescent="0.25">
      <c r="A714" s="52">
        <f t="shared" si="11"/>
        <v>44173</v>
      </c>
      <c r="B714" s="53">
        <v>713</v>
      </c>
      <c r="C714" s="53">
        <v>28996.584500000001</v>
      </c>
    </row>
    <row r="715" spans="1:3" x14ac:dyDescent="0.25">
      <c r="A715" s="52">
        <f t="shared" si="11"/>
        <v>44174</v>
      </c>
      <c r="B715" s="53">
        <v>714</v>
      </c>
      <c r="C715" s="53">
        <v>29000</v>
      </c>
    </row>
    <row r="716" spans="1:3" x14ac:dyDescent="0.25">
      <c r="A716" s="52">
        <f t="shared" si="11"/>
        <v>44175</v>
      </c>
      <c r="B716" s="53">
        <v>715</v>
      </c>
      <c r="C716" s="53">
        <v>29000.7245</v>
      </c>
    </row>
    <row r="717" spans="1:3" x14ac:dyDescent="0.25">
      <c r="A717" s="52">
        <f t="shared" si="11"/>
        <v>44176</v>
      </c>
      <c r="B717" s="53">
        <v>716</v>
      </c>
      <c r="C717" s="53">
        <v>29001.449000000001</v>
      </c>
    </row>
    <row r="718" spans="1:3" x14ac:dyDescent="0.25">
      <c r="A718" s="52">
        <f t="shared" si="11"/>
        <v>44177</v>
      </c>
      <c r="B718" s="53">
        <v>717</v>
      </c>
      <c r="C718" s="53">
        <v>29002.173599999998</v>
      </c>
    </row>
    <row r="719" spans="1:3" x14ac:dyDescent="0.25">
      <c r="A719" s="52">
        <f t="shared" si="11"/>
        <v>44178</v>
      </c>
      <c r="B719" s="53">
        <v>718</v>
      </c>
      <c r="C719" s="53">
        <v>29002.898099999999</v>
      </c>
    </row>
    <row r="720" spans="1:3" x14ac:dyDescent="0.25">
      <c r="A720" s="52">
        <f t="shared" si="11"/>
        <v>44179</v>
      </c>
      <c r="B720" s="53">
        <v>719</v>
      </c>
      <c r="C720" s="53">
        <v>29003.6227</v>
      </c>
    </row>
    <row r="721" spans="1:3" x14ac:dyDescent="0.25">
      <c r="A721" s="52">
        <f t="shared" si="11"/>
        <v>44180</v>
      </c>
      <c r="B721" s="53">
        <v>720</v>
      </c>
      <c r="C721" s="53">
        <v>29004.347300000001</v>
      </c>
    </row>
    <row r="722" spans="1:3" x14ac:dyDescent="0.25">
      <c r="A722" s="52">
        <f t="shared" si="11"/>
        <v>44181</v>
      </c>
      <c r="B722" s="53">
        <v>721</v>
      </c>
      <c r="C722" s="53">
        <v>29005.071899999999</v>
      </c>
    </row>
    <row r="723" spans="1:3" x14ac:dyDescent="0.25">
      <c r="A723" s="52">
        <f t="shared" si="11"/>
        <v>44182</v>
      </c>
      <c r="B723" s="53">
        <v>722</v>
      </c>
      <c r="C723" s="53">
        <v>29005.796600000001</v>
      </c>
    </row>
    <row r="724" spans="1:3" x14ac:dyDescent="0.25">
      <c r="A724" s="52">
        <f t="shared" si="11"/>
        <v>44183</v>
      </c>
      <c r="B724" s="53">
        <v>723</v>
      </c>
      <c r="C724" s="53">
        <v>29006.521199999999</v>
      </c>
    </row>
    <row r="725" spans="1:3" x14ac:dyDescent="0.25">
      <c r="A725" s="52">
        <f t="shared" si="11"/>
        <v>44184</v>
      </c>
      <c r="B725" s="53">
        <v>724</v>
      </c>
      <c r="C725" s="53">
        <v>29007.245900000002</v>
      </c>
    </row>
    <row r="726" spans="1:3" x14ac:dyDescent="0.25">
      <c r="A726" s="52">
        <f t="shared" si="11"/>
        <v>44185</v>
      </c>
      <c r="B726" s="53">
        <v>725</v>
      </c>
      <c r="C726" s="53">
        <v>29007.970600000001</v>
      </c>
    </row>
    <row r="727" spans="1:3" x14ac:dyDescent="0.25">
      <c r="A727" s="52">
        <f t="shared" si="11"/>
        <v>44186</v>
      </c>
      <c r="B727" s="53">
        <v>726</v>
      </c>
      <c r="C727" s="53">
        <v>29008.695299999999</v>
      </c>
    </row>
    <row r="728" spans="1:3" x14ac:dyDescent="0.25">
      <c r="A728" s="52">
        <f t="shared" si="11"/>
        <v>44187</v>
      </c>
      <c r="B728" s="53">
        <v>727</v>
      </c>
      <c r="C728" s="53">
        <v>29009.42</v>
      </c>
    </row>
    <row r="729" spans="1:3" x14ac:dyDescent="0.25">
      <c r="A729" s="52">
        <f t="shared" si="11"/>
        <v>44188</v>
      </c>
      <c r="B729" s="53">
        <v>728</v>
      </c>
      <c r="C729" s="53">
        <v>29010.144799999998</v>
      </c>
    </row>
    <row r="730" spans="1:3" x14ac:dyDescent="0.25">
      <c r="A730" s="52">
        <f t="shared" si="11"/>
        <v>44189</v>
      </c>
      <c r="B730" s="53">
        <v>729</v>
      </c>
      <c r="C730" s="53">
        <v>29010.869500000001</v>
      </c>
    </row>
    <row r="731" spans="1:3" x14ac:dyDescent="0.25">
      <c r="A731" s="52">
        <f t="shared" si="11"/>
        <v>44190</v>
      </c>
      <c r="B731" s="53">
        <v>730</v>
      </c>
      <c r="C731" s="53">
        <v>29011.594300000001</v>
      </c>
    </row>
    <row r="732" spans="1:3" x14ac:dyDescent="0.25">
      <c r="A732" s="52">
        <f t="shared" si="11"/>
        <v>44191</v>
      </c>
      <c r="B732" s="53">
        <v>731</v>
      </c>
      <c r="C732" s="53">
        <v>29012.319100000001</v>
      </c>
    </row>
    <row r="733" spans="1:3" x14ac:dyDescent="0.25">
      <c r="A733" s="52">
        <f t="shared" si="11"/>
        <v>44192</v>
      </c>
      <c r="B733" s="53">
        <v>732</v>
      </c>
      <c r="C733" s="53">
        <v>29013.043900000001</v>
      </c>
    </row>
    <row r="734" spans="1:3" x14ac:dyDescent="0.25">
      <c r="A734" s="52">
        <f t="shared" si="11"/>
        <v>44193</v>
      </c>
      <c r="B734" s="53">
        <v>733</v>
      </c>
      <c r="C734" s="53">
        <v>29013.768800000002</v>
      </c>
    </row>
    <row r="735" spans="1:3" x14ac:dyDescent="0.25">
      <c r="A735" s="52">
        <f t="shared" si="11"/>
        <v>44194</v>
      </c>
      <c r="B735" s="53">
        <v>734</v>
      </c>
      <c r="C735" s="53">
        <v>29014.493600000002</v>
      </c>
    </row>
    <row r="736" spans="1:3" x14ac:dyDescent="0.25">
      <c r="A736" s="52">
        <f t="shared" si="11"/>
        <v>44195</v>
      </c>
      <c r="B736" s="53">
        <v>735</v>
      </c>
      <c r="C736" s="53">
        <v>29015.218499999999</v>
      </c>
    </row>
    <row r="737" spans="1:3" x14ac:dyDescent="0.25">
      <c r="A737" s="52">
        <f t="shared" si="11"/>
        <v>44196</v>
      </c>
      <c r="B737" s="53">
        <v>736</v>
      </c>
      <c r="C737" s="53">
        <v>29015.9434</v>
      </c>
    </row>
    <row r="738" spans="1:3" x14ac:dyDescent="0.25">
      <c r="A738" s="52">
        <f t="shared" si="11"/>
        <v>44197</v>
      </c>
      <c r="B738" s="53">
        <v>737</v>
      </c>
      <c r="C738" s="53">
        <v>29016.668300000001</v>
      </c>
    </row>
    <row r="739" spans="1:3" x14ac:dyDescent="0.25">
      <c r="A739" s="52">
        <f t="shared" si="11"/>
        <v>44198</v>
      </c>
      <c r="B739" s="53">
        <v>738</v>
      </c>
      <c r="C739" s="53">
        <v>29017.393199999999</v>
      </c>
    </row>
    <row r="740" spans="1:3" x14ac:dyDescent="0.25">
      <c r="A740" s="52">
        <f t="shared" si="11"/>
        <v>44199</v>
      </c>
      <c r="B740" s="53">
        <v>739</v>
      </c>
      <c r="C740" s="53">
        <v>29018.118200000001</v>
      </c>
    </row>
    <row r="741" spans="1:3" x14ac:dyDescent="0.25">
      <c r="A741" s="52">
        <f t="shared" si="11"/>
        <v>44200</v>
      </c>
      <c r="B741" s="53">
        <v>740</v>
      </c>
      <c r="C741" s="53">
        <v>29018.843099999998</v>
      </c>
    </row>
    <row r="742" spans="1:3" x14ac:dyDescent="0.25">
      <c r="A742" s="52">
        <f t="shared" si="11"/>
        <v>44201</v>
      </c>
      <c r="B742" s="53">
        <v>741</v>
      </c>
      <c r="C742" s="53">
        <v>29019.5681</v>
      </c>
    </row>
    <row r="743" spans="1:3" x14ac:dyDescent="0.25">
      <c r="A743" s="52">
        <f t="shared" si="11"/>
        <v>44202</v>
      </c>
      <c r="B743" s="53">
        <v>742</v>
      </c>
      <c r="C743" s="53">
        <v>29020.293099999999</v>
      </c>
    </row>
    <row r="744" spans="1:3" x14ac:dyDescent="0.25">
      <c r="A744" s="52">
        <f t="shared" si="11"/>
        <v>44203</v>
      </c>
      <c r="B744" s="53">
        <v>743</v>
      </c>
      <c r="C744" s="53">
        <v>29021.018100000001</v>
      </c>
    </row>
    <row r="745" spans="1:3" x14ac:dyDescent="0.25">
      <c r="A745" s="52">
        <f t="shared" si="11"/>
        <v>44204</v>
      </c>
      <c r="B745" s="53">
        <v>744</v>
      </c>
      <c r="C745" s="53">
        <v>29021.743200000001</v>
      </c>
    </row>
    <row r="746" spans="1:3" x14ac:dyDescent="0.25">
      <c r="A746" s="52">
        <f t="shared" si="11"/>
        <v>44205</v>
      </c>
      <c r="B746" s="53">
        <v>745</v>
      </c>
      <c r="C746" s="53">
        <v>29022.468199999999</v>
      </c>
    </row>
    <row r="747" spans="1:3" x14ac:dyDescent="0.25">
      <c r="A747" s="52">
        <f t="shared" si="11"/>
        <v>44206</v>
      </c>
      <c r="B747" s="53">
        <v>746</v>
      </c>
      <c r="C747" s="53">
        <v>29023.234499999999</v>
      </c>
    </row>
    <row r="748" spans="1:3" x14ac:dyDescent="0.25">
      <c r="A748" s="52">
        <f t="shared" si="11"/>
        <v>44207</v>
      </c>
      <c r="B748" s="53">
        <v>747</v>
      </c>
      <c r="C748" s="53">
        <v>29024.000899999999</v>
      </c>
    </row>
    <row r="749" spans="1:3" x14ac:dyDescent="0.25">
      <c r="A749" s="52">
        <f t="shared" si="11"/>
        <v>44208</v>
      </c>
      <c r="B749" s="53">
        <v>748</v>
      </c>
      <c r="C749" s="53">
        <v>29024.7673</v>
      </c>
    </row>
    <row r="750" spans="1:3" x14ac:dyDescent="0.25">
      <c r="A750" s="52">
        <f t="shared" si="11"/>
        <v>44209</v>
      </c>
      <c r="B750" s="53">
        <v>749</v>
      </c>
      <c r="C750" s="53">
        <v>29025.5337</v>
      </c>
    </row>
    <row r="751" spans="1:3" x14ac:dyDescent="0.25">
      <c r="A751" s="52">
        <f t="shared" si="11"/>
        <v>44210</v>
      </c>
      <c r="B751" s="53">
        <v>750</v>
      </c>
      <c r="C751" s="53">
        <v>29026.3001</v>
      </c>
    </row>
    <row r="752" spans="1:3" x14ac:dyDescent="0.25">
      <c r="A752" s="52">
        <f t="shared" si="11"/>
        <v>44211</v>
      </c>
      <c r="B752" s="53">
        <v>751</v>
      </c>
      <c r="C752" s="53">
        <v>29027.066500000001</v>
      </c>
    </row>
    <row r="753" spans="1:3" x14ac:dyDescent="0.25">
      <c r="A753" s="52">
        <f t="shared" si="11"/>
        <v>44212</v>
      </c>
      <c r="B753" s="53">
        <v>752</v>
      </c>
      <c r="C753" s="53">
        <v>29027.832900000001</v>
      </c>
    </row>
    <row r="754" spans="1:3" x14ac:dyDescent="0.25">
      <c r="A754" s="52">
        <f t="shared" si="11"/>
        <v>44213</v>
      </c>
      <c r="B754" s="53">
        <v>753</v>
      </c>
      <c r="C754" s="53">
        <v>29028.599399999999</v>
      </c>
    </row>
    <row r="755" spans="1:3" x14ac:dyDescent="0.25">
      <c r="A755" s="52">
        <f t="shared" si="11"/>
        <v>44214</v>
      </c>
      <c r="B755" s="53">
        <v>754</v>
      </c>
      <c r="C755" s="53">
        <v>29029.365900000001</v>
      </c>
    </row>
    <row r="756" spans="1:3" x14ac:dyDescent="0.25">
      <c r="A756" s="52">
        <f t="shared" si="11"/>
        <v>44215</v>
      </c>
      <c r="B756" s="53">
        <v>755</v>
      </c>
      <c r="C756" s="53">
        <v>29030.132399999999</v>
      </c>
    </row>
    <row r="757" spans="1:3" x14ac:dyDescent="0.25">
      <c r="A757" s="52">
        <f t="shared" si="11"/>
        <v>44216</v>
      </c>
      <c r="B757" s="53">
        <v>756</v>
      </c>
      <c r="C757" s="53">
        <v>29030.899000000001</v>
      </c>
    </row>
    <row r="758" spans="1:3" x14ac:dyDescent="0.25">
      <c r="A758" s="52">
        <f t="shared" si="11"/>
        <v>44217</v>
      </c>
      <c r="B758" s="53">
        <v>757</v>
      </c>
      <c r="C758" s="53">
        <v>29031.665499999999</v>
      </c>
    </row>
    <row r="759" spans="1:3" x14ac:dyDescent="0.25">
      <c r="A759" s="52">
        <f t="shared" si="11"/>
        <v>44218</v>
      </c>
      <c r="B759" s="53">
        <v>758</v>
      </c>
      <c r="C759" s="53">
        <v>29032.432100000002</v>
      </c>
    </row>
    <row r="760" spans="1:3" x14ac:dyDescent="0.25">
      <c r="A760" s="52">
        <f t="shared" si="11"/>
        <v>44219</v>
      </c>
      <c r="B760" s="53">
        <v>759</v>
      </c>
      <c r="C760" s="53">
        <v>29033.198700000001</v>
      </c>
    </row>
    <row r="761" spans="1:3" x14ac:dyDescent="0.25">
      <c r="A761" s="52">
        <f t="shared" si="11"/>
        <v>44220</v>
      </c>
      <c r="B761" s="53">
        <v>760</v>
      </c>
      <c r="C761" s="53">
        <v>29033.9653</v>
      </c>
    </row>
    <row r="762" spans="1:3" x14ac:dyDescent="0.25">
      <c r="A762" s="52">
        <f t="shared" si="11"/>
        <v>44221</v>
      </c>
      <c r="B762" s="53">
        <v>761</v>
      </c>
      <c r="C762" s="53">
        <v>29034.731899999999</v>
      </c>
    </row>
    <row r="763" spans="1:3" x14ac:dyDescent="0.25">
      <c r="A763" s="52">
        <f t="shared" si="11"/>
        <v>44222</v>
      </c>
      <c r="B763" s="53">
        <v>762</v>
      </c>
      <c r="C763" s="53">
        <v>29035.498599999999</v>
      </c>
    </row>
    <row r="764" spans="1:3" x14ac:dyDescent="0.25">
      <c r="A764" s="52">
        <f t="shared" si="11"/>
        <v>44223</v>
      </c>
      <c r="B764" s="53">
        <v>763</v>
      </c>
      <c r="C764" s="53">
        <v>29036.265200000002</v>
      </c>
    </row>
    <row r="765" spans="1:3" x14ac:dyDescent="0.25">
      <c r="A765" s="52">
        <f t="shared" si="11"/>
        <v>44224</v>
      </c>
      <c r="B765" s="53">
        <v>764</v>
      </c>
      <c r="C765" s="53">
        <v>29037.031900000002</v>
      </c>
    </row>
    <row r="766" spans="1:3" x14ac:dyDescent="0.25">
      <c r="A766" s="52">
        <f t="shared" si="11"/>
        <v>44225</v>
      </c>
      <c r="B766" s="53">
        <v>765</v>
      </c>
      <c r="C766" s="53">
        <v>29037.798699999999</v>
      </c>
    </row>
    <row r="767" spans="1:3" x14ac:dyDescent="0.25">
      <c r="A767" s="52">
        <f t="shared" si="11"/>
        <v>44226</v>
      </c>
      <c r="B767" s="53">
        <v>766</v>
      </c>
      <c r="C767" s="53">
        <v>29038.565399999999</v>
      </c>
    </row>
    <row r="768" spans="1:3" x14ac:dyDescent="0.25">
      <c r="A768" s="52">
        <f t="shared" si="11"/>
        <v>44227</v>
      </c>
      <c r="B768" s="53">
        <v>767</v>
      </c>
      <c r="C768" s="53">
        <v>29039.3321</v>
      </c>
    </row>
    <row r="769" spans="1:3" x14ac:dyDescent="0.25">
      <c r="A769" s="52">
        <f t="shared" si="11"/>
        <v>44228</v>
      </c>
      <c r="B769" s="53">
        <v>768</v>
      </c>
      <c r="C769" s="53">
        <v>29040.098900000001</v>
      </c>
    </row>
    <row r="770" spans="1:3" x14ac:dyDescent="0.25">
      <c r="A770" s="52">
        <f t="shared" ref="A770:A833" si="12">+$G$4+B770</f>
        <v>44229</v>
      </c>
      <c r="B770" s="53">
        <v>769</v>
      </c>
      <c r="C770" s="53">
        <v>29040.865699999998</v>
      </c>
    </row>
    <row r="771" spans="1:3" x14ac:dyDescent="0.25">
      <c r="A771" s="52">
        <f t="shared" si="12"/>
        <v>44230</v>
      </c>
      <c r="B771" s="53">
        <v>770</v>
      </c>
      <c r="C771" s="53">
        <v>29041.6325</v>
      </c>
    </row>
    <row r="772" spans="1:3" x14ac:dyDescent="0.25">
      <c r="A772" s="52">
        <f t="shared" si="12"/>
        <v>44231</v>
      </c>
      <c r="B772" s="53">
        <v>771</v>
      </c>
      <c r="C772" s="53">
        <v>29042.399399999998</v>
      </c>
    </row>
    <row r="773" spans="1:3" x14ac:dyDescent="0.25">
      <c r="A773" s="52">
        <f t="shared" si="12"/>
        <v>44232</v>
      </c>
      <c r="B773" s="53">
        <v>772</v>
      </c>
      <c r="C773" s="53">
        <v>29043.1662</v>
      </c>
    </row>
    <row r="774" spans="1:3" x14ac:dyDescent="0.25">
      <c r="A774" s="52">
        <f t="shared" si="12"/>
        <v>44233</v>
      </c>
      <c r="B774" s="53">
        <v>773</v>
      </c>
      <c r="C774" s="53">
        <v>29043.933099999998</v>
      </c>
    </row>
    <row r="775" spans="1:3" x14ac:dyDescent="0.25">
      <c r="A775" s="52">
        <f t="shared" si="12"/>
        <v>44234</v>
      </c>
      <c r="B775" s="53">
        <v>774</v>
      </c>
      <c r="C775" s="53">
        <v>29044.7</v>
      </c>
    </row>
    <row r="776" spans="1:3" x14ac:dyDescent="0.25">
      <c r="A776" s="52">
        <f t="shared" si="12"/>
        <v>44235</v>
      </c>
      <c r="B776" s="53">
        <v>775</v>
      </c>
      <c r="C776" s="53">
        <v>29045.466899999999</v>
      </c>
    </row>
    <row r="777" spans="1:3" x14ac:dyDescent="0.25">
      <c r="A777" s="52">
        <f t="shared" si="12"/>
        <v>44236</v>
      </c>
      <c r="B777" s="53">
        <v>776</v>
      </c>
      <c r="C777" s="53">
        <v>29046.233800000002</v>
      </c>
    </row>
    <row r="778" spans="1:3" x14ac:dyDescent="0.25">
      <c r="A778" s="52">
        <f t="shared" si="12"/>
        <v>44237</v>
      </c>
      <c r="B778" s="53">
        <v>777</v>
      </c>
      <c r="C778" s="53">
        <v>29049.098600000001</v>
      </c>
    </row>
    <row r="779" spans="1:3" x14ac:dyDescent="0.25">
      <c r="A779" s="52">
        <f t="shared" si="12"/>
        <v>44238</v>
      </c>
      <c r="B779" s="53">
        <v>778</v>
      </c>
      <c r="C779" s="53">
        <v>29051.9637</v>
      </c>
    </row>
    <row r="780" spans="1:3" x14ac:dyDescent="0.25">
      <c r="A780" s="52">
        <f t="shared" si="12"/>
        <v>44239</v>
      </c>
      <c r="B780" s="53">
        <v>779</v>
      </c>
      <c r="C780" s="53">
        <v>29054.829000000002</v>
      </c>
    </row>
    <row r="781" spans="1:3" x14ac:dyDescent="0.25">
      <c r="A781" s="52">
        <f t="shared" si="12"/>
        <v>44240</v>
      </c>
      <c r="B781" s="53">
        <v>780</v>
      </c>
      <c r="C781" s="53">
        <v>29057.694599999999</v>
      </c>
    </row>
    <row r="782" spans="1:3" x14ac:dyDescent="0.25">
      <c r="A782" s="52">
        <f t="shared" si="12"/>
        <v>44241</v>
      </c>
      <c r="B782" s="53">
        <v>781</v>
      </c>
      <c r="C782" s="53">
        <v>29060.5605</v>
      </c>
    </row>
    <row r="783" spans="1:3" x14ac:dyDescent="0.25">
      <c r="A783" s="52">
        <f t="shared" si="12"/>
        <v>44242</v>
      </c>
      <c r="B783" s="53">
        <v>782</v>
      </c>
      <c r="C783" s="53">
        <v>29063.4267</v>
      </c>
    </row>
    <row r="784" spans="1:3" x14ac:dyDescent="0.25">
      <c r="A784" s="52">
        <f t="shared" si="12"/>
        <v>44243</v>
      </c>
      <c r="B784" s="53">
        <v>783</v>
      </c>
      <c r="C784" s="53">
        <v>29066.2932</v>
      </c>
    </row>
    <row r="785" spans="1:3" x14ac:dyDescent="0.25">
      <c r="A785" s="52">
        <f t="shared" si="12"/>
        <v>44244</v>
      </c>
      <c r="B785" s="53">
        <v>784</v>
      </c>
      <c r="C785" s="53">
        <v>29069.159899999999</v>
      </c>
    </row>
    <row r="786" spans="1:3" x14ac:dyDescent="0.25">
      <c r="A786" s="52">
        <f t="shared" si="12"/>
        <v>44245</v>
      </c>
      <c r="B786" s="53">
        <v>785</v>
      </c>
      <c r="C786" s="53">
        <v>29072.026900000001</v>
      </c>
    </row>
    <row r="787" spans="1:3" x14ac:dyDescent="0.25">
      <c r="A787" s="52">
        <f t="shared" si="12"/>
        <v>44246</v>
      </c>
      <c r="B787" s="53">
        <v>786</v>
      </c>
      <c r="C787" s="53">
        <v>29074.894199999999</v>
      </c>
    </row>
    <row r="788" spans="1:3" x14ac:dyDescent="0.25">
      <c r="A788" s="52">
        <f t="shared" si="12"/>
        <v>44247</v>
      </c>
      <c r="B788" s="53">
        <v>787</v>
      </c>
      <c r="C788" s="53">
        <v>29077.7618</v>
      </c>
    </row>
    <row r="789" spans="1:3" x14ac:dyDescent="0.25">
      <c r="A789" s="52">
        <f t="shared" si="12"/>
        <v>44248</v>
      </c>
      <c r="B789" s="53">
        <v>788</v>
      </c>
      <c r="C789" s="53">
        <v>29080.629700000001</v>
      </c>
    </row>
    <row r="790" spans="1:3" x14ac:dyDescent="0.25">
      <c r="A790" s="52">
        <f t="shared" si="12"/>
        <v>44249</v>
      </c>
      <c r="B790" s="53">
        <v>789</v>
      </c>
      <c r="C790" s="53">
        <v>29083.497899999998</v>
      </c>
    </row>
    <row r="791" spans="1:3" x14ac:dyDescent="0.25">
      <c r="A791" s="52">
        <f t="shared" si="12"/>
        <v>44250</v>
      </c>
      <c r="B791" s="53">
        <v>790</v>
      </c>
      <c r="C791" s="53">
        <v>29086.366300000002</v>
      </c>
    </row>
    <row r="792" spans="1:3" x14ac:dyDescent="0.25">
      <c r="A792" s="52">
        <f t="shared" si="12"/>
        <v>44251</v>
      </c>
      <c r="B792" s="53">
        <v>791</v>
      </c>
      <c r="C792" s="53">
        <v>29089.235100000002</v>
      </c>
    </row>
    <row r="793" spans="1:3" x14ac:dyDescent="0.25">
      <c r="A793" s="52">
        <f t="shared" si="12"/>
        <v>44252</v>
      </c>
      <c r="B793" s="53">
        <v>792</v>
      </c>
      <c r="C793" s="53">
        <v>29092.1041</v>
      </c>
    </row>
    <row r="794" spans="1:3" x14ac:dyDescent="0.25">
      <c r="A794" s="52">
        <f t="shared" si="12"/>
        <v>44253</v>
      </c>
      <c r="B794" s="53">
        <v>793</v>
      </c>
      <c r="C794" s="53">
        <v>29094.973399999999</v>
      </c>
    </row>
    <row r="795" spans="1:3" x14ac:dyDescent="0.25">
      <c r="A795" s="52">
        <f t="shared" si="12"/>
        <v>44254</v>
      </c>
      <c r="B795" s="53">
        <v>794</v>
      </c>
      <c r="C795" s="53">
        <v>29097.8429</v>
      </c>
    </row>
    <row r="796" spans="1:3" x14ac:dyDescent="0.25">
      <c r="A796" s="52">
        <f t="shared" si="12"/>
        <v>44255</v>
      </c>
      <c r="B796" s="53">
        <v>795</v>
      </c>
      <c r="C796" s="53">
        <v>29100.712800000001</v>
      </c>
    </row>
    <row r="797" spans="1:3" x14ac:dyDescent="0.25">
      <c r="A797" s="52">
        <f t="shared" si="12"/>
        <v>44256</v>
      </c>
      <c r="B797" s="53">
        <v>796</v>
      </c>
      <c r="C797" s="53">
        <v>29103.582900000001</v>
      </c>
    </row>
    <row r="798" spans="1:3" x14ac:dyDescent="0.25">
      <c r="A798" s="52">
        <f t="shared" si="12"/>
        <v>44257</v>
      </c>
      <c r="B798" s="53">
        <v>797</v>
      </c>
      <c r="C798" s="53">
        <v>29106.453399999999</v>
      </c>
    </row>
    <row r="799" spans="1:3" x14ac:dyDescent="0.25">
      <c r="A799" s="52">
        <f t="shared" si="12"/>
        <v>44258</v>
      </c>
      <c r="B799" s="53">
        <v>798</v>
      </c>
      <c r="C799" s="53">
        <v>29109.324100000002</v>
      </c>
    </row>
    <row r="800" spans="1:3" x14ac:dyDescent="0.25">
      <c r="A800" s="52">
        <f t="shared" si="12"/>
        <v>44259</v>
      </c>
      <c r="B800" s="53">
        <v>799</v>
      </c>
      <c r="C800" s="53">
        <v>29112.195100000001</v>
      </c>
    </row>
    <row r="801" spans="1:3" x14ac:dyDescent="0.25">
      <c r="A801" s="52">
        <f t="shared" si="12"/>
        <v>44260</v>
      </c>
      <c r="B801" s="53">
        <v>800</v>
      </c>
      <c r="C801" s="53">
        <v>29115.066299999999</v>
      </c>
    </row>
    <row r="802" spans="1:3" x14ac:dyDescent="0.25">
      <c r="A802" s="52">
        <f t="shared" si="12"/>
        <v>44261</v>
      </c>
      <c r="B802" s="53">
        <v>801</v>
      </c>
      <c r="C802" s="53">
        <v>29117.937900000001</v>
      </c>
    </row>
    <row r="803" spans="1:3" x14ac:dyDescent="0.25">
      <c r="A803" s="52">
        <f t="shared" si="12"/>
        <v>44262</v>
      </c>
      <c r="B803" s="53">
        <v>802</v>
      </c>
      <c r="C803" s="53">
        <v>29120.809700000002</v>
      </c>
    </row>
    <row r="804" spans="1:3" x14ac:dyDescent="0.25">
      <c r="A804" s="52">
        <f t="shared" si="12"/>
        <v>44263</v>
      </c>
      <c r="B804" s="53">
        <v>803</v>
      </c>
      <c r="C804" s="53">
        <v>29123.6819</v>
      </c>
    </row>
    <row r="805" spans="1:3" x14ac:dyDescent="0.25">
      <c r="A805" s="52">
        <f t="shared" si="12"/>
        <v>44264</v>
      </c>
      <c r="B805" s="53">
        <v>804</v>
      </c>
      <c r="C805" s="53">
        <v>29126.5543</v>
      </c>
    </row>
    <row r="806" spans="1:3" x14ac:dyDescent="0.25">
      <c r="A806" s="52">
        <f t="shared" si="12"/>
        <v>44265</v>
      </c>
      <c r="B806" s="53">
        <v>805</v>
      </c>
      <c r="C806" s="53">
        <v>29128.612300000001</v>
      </c>
    </row>
    <row r="807" spans="1:3" x14ac:dyDescent="0.25">
      <c r="A807" s="52">
        <f t="shared" si="12"/>
        <v>44266</v>
      </c>
      <c r="B807" s="53">
        <v>806</v>
      </c>
      <c r="C807" s="53">
        <v>29130.670600000001</v>
      </c>
    </row>
    <row r="808" spans="1:3" x14ac:dyDescent="0.25">
      <c r="A808" s="52">
        <f t="shared" si="12"/>
        <v>44267</v>
      </c>
      <c r="B808" s="53">
        <v>807</v>
      </c>
      <c r="C808" s="53">
        <v>29132.728899999998</v>
      </c>
    </row>
    <row r="809" spans="1:3" x14ac:dyDescent="0.25">
      <c r="A809" s="52">
        <f t="shared" si="12"/>
        <v>44268</v>
      </c>
      <c r="B809" s="53">
        <v>808</v>
      </c>
      <c r="C809" s="53">
        <v>29134.787400000001</v>
      </c>
    </row>
    <row r="810" spans="1:3" x14ac:dyDescent="0.25">
      <c r="A810" s="52">
        <f t="shared" si="12"/>
        <v>44269</v>
      </c>
      <c r="B810" s="53">
        <v>809</v>
      </c>
      <c r="C810" s="53">
        <v>29136.846099999999</v>
      </c>
    </row>
    <row r="811" spans="1:3" x14ac:dyDescent="0.25">
      <c r="A811" s="52">
        <f t="shared" si="12"/>
        <v>44270</v>
      </c>
      <c r="B811" s="53">
        <v>810</v>
      </c>
      <c r="C811" s="53">
        <v>29138.904900000001</v>
      </c>
    </row>
    <row r="812" spans="1:3" x14ac:dyDescent="0.25">
      <c r="A812" s="52">
        <f t="shared" si="12"/>
        <v>44271</v>
      </c>
      <c r="B812" s="53">
        <v>811</v>
      </c>
      <c r="C812" s="53">
        <v>29140.963800000001</v>
      </c>
    </row>
    <row r="813" spans="1:3" x14ac:dyDescent="0.25">
      <c r="A813" s="52">
        <f t="shared" si="12"/>
        <v>44272</v>
      </c>
      <c r="B813" s="53">
        <v>812</v>
      </c>
      <c r="C813" s="53">
        <v>29143.0229</v>
      </c>
    </row>
    <row r="814" spans="1:3" x14ac:dyDescent="0.25">
      <c r="A814" s="52">
        <f t="shared" si="12"/>
        <v>44273</v>
      </c>
      <c r="B814" s="53">
        <v>813</v>
      </c>
      <c r="C814" s="53">
        <v>29145.082200000001</v>
      </c>
    </row>
    <row r="815" spans="1:3" x14ac:dyDescent="0.25">
      <c r="A815" s="52">
        <f t="shared" si="12"/>
        <v>44274</v>
      </c>
      <c r="B815" s="53">
        <v>814</v>
      </c>
      <c r="C815" s="53">
        <v>29147.141500000002</v>
      </c>
    </row>
    <row r="816" spans="1:3" x14ac:dyDescent="0.25">
      <c r="A816" s="52">
        <f t="shared" si="12"/>
        <v>44275</v>
      </c>
      <c r="B816" s="53">
        <v>815</v>
      </c>
      <c r="C816" s="53">
        <v>29149.201099999998</v>
      </c>
    </row>
    <row r="817" spans="1:3" x14ac:dyDescent="0.25">
      <c r="A817" s="52">
        <f t="shared" si="12"/>
        <v>44276</v>
      </c>
      <c r="B817" s="53">
        <v>816</v>
      </c>
      <c r="C817" s="53">
        <v>29151.260699999999</v>
      </c>
    </row>
    <row r="818" spans="1:3" x14ac:dyDescent="0.25">
      <c r="A818" s="52">
        <f t="shared" si="12"/>
        <v>44277</v>
      </c>
      <c r="B818" s="53">
        <v>817</v>
      </c>
      <c r="C818" s="53">
        <v>29153.320599999999</v>
      </c>
    </row>
    <row r="819" spans="1:3" x14ac:dyDescent="0.25">
      <c r="A819" s="52">
        <f t="shared" si="12"/>
        <v>44278</v>
      </c>
      <c r="B819" s="53">
        <v>818</v>
      </c>
      <c r="C819" s="53">
        <v>29155.380499999999</v>
      </c>
    </row>
    <row r="820" spans="1:3" x14ac:dyDescent="0.25">
      <c r="A820" s="52">
        <f t="shared" si="12"/>
        <v>44279</v>
      </c>
      <c r="B820" s="53">
        <v>819</v>
      </c>
      <c r="C820" s="53">
        <v>29157.440600000002</v>
      </c>
    </row>
    <row r="821" spans="1:3" x14ac:dyDescent="0.25">
      <c r="A821" s="52">
        <f t="shared" si="12"/>
        <v>44280</v>
      </c>
      <c r="B821" s="53">
        <v>820</v>
      </c>
      <c r="C821" s="53">
        <v>29159.500899999999</v>
      </c>
    </row>
    <row r="822" spans="1:3" x14ac:dyDescent="0.25">
      <c r="A822" s="52">
        <f t="shared" si="12"/>
        <v>44281</v>
      </c>
      <c r="B822" s="53">
        <v>821</v>
      </c>
      <c r="C822" s="53">
        <v>29161.561300000001</v>
      </c>
    </row>
    <row r="823" spans="1:3" x14ac:dyDescent="0.25">
      <c r="A823" s="52">
        <f t="shared" si="12"/>
        <v>44282</v>
      </c>
      <c r="B823" s="53">
        <v>822</v>
      </c>
      <c r="C823" s="53">
        <v>29163.621800000001</v>
      </c>
    </row>
    <row r="824" spans="1:3" x14ac:dyDescent="0.25">
      <c r="A824" s="52">
        <f t="shared" si="12"/>
        <v>44283</v>
      </c>
      <c r="B824" s="53">
        <v>823</v>
      </c>
      <c r="C824" s="53">
        <v>29165.682499999999</v>
      </c>
    </row>
    <row r="825" spans="1:3" x14ac:dyDescent="0.25">
      <c r="A825" s="52">
        <f t="shared" si="12"/>
        <v>44284</v>
      </c>
      <c r="B825" s="53">
        <v>824</v>
      </c>
      <c r="C825" s="53">
        <v>29167.743399999999</v>
      </c>
    </row>
    <row r="826" spans="1:3" x14ac:dyDescent="0.25">
      <c r="A826" s="52">
        <f t="shared" si="12"/>
        <v>44285</v>
      </c>
      <c r="B826" s="53">
        <v>825</v>
      </c>
      <c r="C826" s="53">
        <v>29169.8043</v>
      </c>
    </row>
    <row r="827" spans="1:3" x14ac:dyDescent="0.25">
      <c r="A827" s="52">
        <f t="shared" si="12"/>
        <v>44286</v>
      </c>
      <c r="B827" s="53">
        <v>826</v>
      </c>
      <c r="C827" s="53">
        <v>29171.8655</v>
      </c>
    </row>
    <row r="828" spans="1:3" x14ac:dyDescent="0.25">
      <c r="A828" s="52">
        <f t="shared" si="12"/>
        <v>44287</v>
      </c>
      <c r="B828" s="53">
        <v>827</v>
      </c>
      <c r="C828" s="53">
        <v>29173.9267</v>
      </c>
    </row>
    <row r="829" spans="1:3" x14ac:dyDescent="0.25">
      <c r="A829" s="52">
        <f t="shared" si="12"/>
        <v>44288</v>
      </c>
      <c r="B829" s="53">
        <v>828</v>
      </c>
      <c r="C829" s="53">
        <v>29175.9882</v>
      </c>
    </row>
    <row r="830" spans="1:3" x14ac:dyDescent="0.25">
      <c r="A830" s="52">
        <f t="shared" si="12"/>
        <v>44289</v>
      </c>
      <c r="B830" s="53">
        <v>829</v>
      </c>
      <c r="C830" s="53">
        <v>29178.0497</v>
      </c>
    </row>
    <row r="831" spans="1:3" x14ac:dyDescent="0.25">
      <c r="A831" s="52">
        <f t="shared" si="12"/>
        <v>44290</v>
      </c>
      <c r="B831" s="53">
        <v>830</v>
      </c>
      <c r="C831" s="53">
        <v>29180.111400000002</v>
      </c>
    </row>
    <row r="832" spans="1:3" x14ac:dyDescent="0.25">
      <c r="A832" s="52">
        <f t="shared" si="12"/>
        <v>44291</v>
      </c>
      <c r="B832" s="53">
        <v>831</v>
      </c>
      <c r="C832" s="53">
        <v>29182.173299999999</v>
      </c>
    </row>
    <row r="833" spans="1:3" x14ac:dyDescent="0.25">
      <c r="A833" s="52">
        <f t="shared" si="12"/>
        <v>44292</v>
      </c>
      <c r="B833" s="53">
        <v>832</v>
      </c>
      <c r="C833" s="53">
        <v>29184.2353</v>
      </c>
    </row>
    <row r="834" spans="1:3" x14ac:dyDescent="0.25">
      <c r="A834" s="52">
        <f t="shared" ref="A834:A897" si="13">+$G$4+B834</f>
        <v>44293</v>
      </c>
      <c r="B834" s="53">
        <v>833</v>
      </c>
      <c r="C834" s="53">
        <v>29186.297500000001</v>
      </c>
    </row>
    <row r="835" spans="1:3" x14ac:dyDescent="0.25">
      <c r="A835" s="52">
        <f t="shared" si="13"/>
        <v>44294</v>
      </c>
      <c r="B835" s="53">
        <v>834</v>
      </c>
      <c r="C835" s="53">
        <v>29188.359700000001</v>
      </c>
    </row>
    <row r="836" spans="1:3" x14ac:dyDescent="0.25">
      <c r="A836" s="52">
        <f t="shared" si="13"/>
        <v>44295</v>
      </c>
      <c r="B836" s="53">
        <v>835</v>
      </c>
      <c r="C836" s="53">
        <v>29190.422200000001</v>
      </c>
    </row>
    <row r="837" spans="1:3" x14ac:dyDescent="0.25">
      <c r="A837" s="52">
        <f t="shared" si="13"/>
        <v>44296</v>
      </c>
      <c r="B837" s="53">
        <v>836</v>
      </c>
      <c r="C837" s="53">
        <v>29193.356599999999</v>
      </c>
    </row>
    <row r="838" spans="1:3" x14ac:dyDescent="0.25">
      <c r="A838" s="52">
        <f t="shared" si="13"/>
        <v>44297</v>
      </c>
      <c r="B838" s="53">
        <v>837</v>
      </c>
      <c r="C838" s="53">
        <v>29196.291300000001</v>
      </c>
    </row>
    <row r="839" spans="1:3" x14ac:dyDescent="0.25">
      <c r="A839" s="52">
        <f t="shared" si="13"/>
        <v>44298</v>
      </c>
      <c r="B839" s="53">
        <v>838</v>
      </c>
      <c r="C839" s="53">
        <v>29199.226200000001</v>
      </c>
    </row>
    <row r="840" spans="1:3" x14ac:dyDescent="0.25">
      <c r="A840" s="52">
        <f t="shared" si="13"/>
        <v>44299</v>
      </c>
      <c r="B840" s="53">
        <v>839</v>
      </c>
      <c r="C840" s="53">
        <v>29202.161499999998</v>
      </c>
    </row>
    <row r="841" spans="1:3" x14ac:dyDescent="0.25">
      <c r="A841" s="52">
        <f t="shared" si="13"/>
        <v>44300</v>
      </c>
      <c r="B841" s="53">
        <v>840</v>
      </c>
      <c r="C841" s="53">
        <v>29205.097099999999</v>
      </c>
    </row>
    <row r="842" spans="1:3" x14ac:dyDescent="0.25">
      <c r="A842" s="52">
        <f t="shared" si="13"/>
        <v>44301</v>
      </c>
      <c r="B842" s="53">
        <v>841</v>
      </c>
      <c r="C842" s="53">
        <v>29208.032999999999</v>
      </c>
    </row>
    <row r="843" spans="1:3" x14ac:dyDescent="0.25">
      <c r="A843" s="52">
        <f t="shared" si="13"/>
        <v>44302</v>
      </c>
      <c r="B843" s="53">
        <v>842</v>
      </c>
      <c r="C843" s="53">
        <v>29210.969099999998</v>
      </c>
    </row>
    <row r="844" spans="1:3" x14ac:dyDescent="0.25">
      <c r="A844" s="52">
        <f t="shared" si="13"/>
        <v>44303</v>
      </c>
      <c r="B844" s="53">
        <v>843</v>
      </c>
      <c r="C844" s="53">
        <v>29213.905599999998</v>
      </c>
    </row>
    <row r="845" spans="1:3" x14ac:dyDescent="0.25">
      <c r="A845" s="52">
        <f t="shared" si="13"/>
        <v>44304</v>
      </c>
      <c r="B845" s="53">
        <v>844</v>
      </c>
      <c r="C845" s="53">
        <v>29216.8423</v>
      </c>
    </row>
    <row r="846" spans="1:3" x14ac:dyDescent="0.25">
      <c r="A846" s="52">
        <f t="shared" si="13"/>
        <v>44305</v>
      </c>
      <c r="B846" s="53">
        <v>845</v>
      </c>
      <c r="C846" s="53">
        <v>29219.779399999999</v>
      </c>
    </row>
    <row r="847" spans="1:3" x14ac:dyDescent="0.25">
      <c r="A847" s="52">
        <f t="shared" si="13"/>
        <v>44306</v>
      </c>
      <c r="B847" s="53">
        <v>846</v>
      </c>
      <c r="C847" s="53">
        <v>29222.716700000001</v>
      </c>
    </row>
    <row r="848" spans="1:3" x14ac:dyDescent="0.25">
      <c r="A848" s="52">
        <f t="shared" si="13"/>
        <v>44307</v>
      </c>
      <c r="B848" s="53">
        <v>847</v>
      </c>
      <c r="C848" s="53">
        <v>29225.654299999998</v>
      </c>
    </row>
    <row r="849" spans="1:3" x14ac:dyDescent="0.25">
      <c r="A849" s="52">
        <f t="shared" si="13"/>
        <v>44308</v>
      </c>
      <c r="B849" s="53">
        <v>848</v>
      </c>
      <c r="C849" s="53">
        <v>29228.5923</v>
      </c>
    </row>
    <row r="850" spans="1:3" x14ac:dyDescent="0.25">
      <c r="A850" s="52">
        <f t="shared" si="13"/>
        <v>44309</v>
      </c>
      <c r="B850" s="53">
        <v>849</v>
      </c>
      <c r="C850" s="53">
        <v>29231.530500000001</v>
      </c>
    </row>
    <row r="851" spans="1:3" x14ac:dyDescent="0.25">
      <c r="A851" s="52">
        <f t="shared" si="13"/>
        <v>44310</v>
      </c>
      <c r="B851" s="53">
        <v>850</v>
      </c>
      <c r="C851" s="53">
        <v>29234.469000000001</v>
      </c>
    </row>
    <row r="852" spans="1:3" x14ac:dyDescent="0.25">
      <c r="A852" s="52">
        <f t="shared" si="13"/>
        <v>44311</v>
      </c>
      <c r="B852" s="53">
        <v>851</v>
      </c>
      <c r="C852" s="53">
        <v>29237.407800000001</v>
      </c>
    </row>
    <row r="853" spans="1:3" x14ac:dyDescent="0.25">
      <c r="A853" s="52">
        <f t="shared" si="13"/>
        <v>44312</v>
      </c>
      <c r="B853" s="53">
        <v>852</v>
      </c>
      <c r="C853" s="53">
        <v>29240.347000000002</v>
      </c>
    </row>
    <row r="854" spans="1:3" x14ac:dyDescent="0.25">
      <c r="A854" s="52">
        <f t="shared" si="13"/>
        <v>44313</v>
      </c>
      <c r="B854" s="53">
        <v>853</v>
      </c>
      <c r="C854" s="53">
        <v>29243.286400000001</v>
      </c>
    </row>
    <row r="855" spans="1:3" x14ac:dyDescent="0.25">
      <c r="A855" s="52">
        <f t="shared" si="13"/>
        <v>44314</v>
      </c>
      <c r="B855" s="53">
        <v>854</v>
      </c>
      <c r="C855" s="53">
        <v>29246.2261</v>
      </c>
    </row>
    <row r="856" spans="1:3" x14ac:dyDescent="0.25">
      <c r="A856" s="52">
        <f t="shared" si="13"/>
        <v>44315</v>
      </c>
      <c r="B856" s="53">
        <v>855</v>
      </c>
      <c r="C856" s="53">
        <v>29249.166099999999</v>
      </c>
    </row>
    <row r="857" spans="1:3" x14ac:dyDescent="0.25">
      <c r="A857" s="52">
        <f t="shared" si="13"/>
        <v>44316</v>
      </c>
      <c r="B857" s="53">
        <v>856</v>
      </c>
      <c r="C857" s="53">
        <v>29252.106400000001</v>
      </c>
    </row>
    <row r="858" spans="1:3" x14ac:dyDescent="0.25">
      <c r="A858" s="52">
        <f t="shared" si="13"/>
        <v>44317</v>
      </c>
      <c r="B858" s="53">
        <v>857</v>
      </c>
      <c r="C858" s="53">
        <v>29255.046900000001</v>
      </c>
    </row>
    <row r="859" spans="1:3" x14ac:dyDescent="0.25">
      <c r="A859" s="52">
        <f t="shared" si="13"/>
        <v>44318</v>
      </c>
      <c r="B859" s="53">
        <v>858</v>
      </c>
      <c r="C859" s="53">
        <v>29257.987799999999</v>
      </c>
    </row>
    <row r="860" spans="1:3" x14ac:dyDescent="0.25">
      <c r="A860" s="52">
        <f t="shared" si="13"/>
        <v>44319</v>
      </c>
      <c r="B860" s="53">
        <v>859</v>
      </c>
      <c r="C860" s="53">
        <v>29260.929</v>
      </c>
    </row>
    <row r="861" spans="1:3" x14ac:dyDescent="0.25">
      <c r="A861" s="52">
        <f t="shared" si="13"/>
        <v>44320</v>
      </c>
      <c r="B861" s="53">
        <v>860</v>
      </c>
      <c r="C861" s="53">
        <v>29263.870500000001</v>
      </c>
    </row>
    <row r="862" spans="1:3" x14ac:dyDescent="0.25">
      <c r="A862" s="52">
        <f t="shared" si="13"/>
        <v>44321</v>
      </c>
      <c r="B862" s="53">
        <v>861</v>
      </c>
      <c r="C862" s="53">
        <v>29266.812300000001</v>
      </c>
    </row>
    <row r="863" spans="1:3" x14ac:dyDescent="0.25">
      <c r="A863" s="52">
        <f t="shared" si="13"/>
        <v>44322</v>
      </c>
      <c r="B863" s="53">
        <v>862</v>
      </c>
      <c r="C863" s="53">
        <v>29269.754300000001</v>
      </c>
    </row>
    <row r="864" spans="1:3" x14ac:dyDescent="0.25">
      <c r="A864" s="52">
        <f t="shared" si="13"/>
        <v>44323</v>
      </c>
      <c r="B864" s="53">
        <v>863</v>
      </c>
      <c r="C864" s="53">
        <v>29272.6967</v>
      </c>
    </row>
    <row r="865" spans="1:3" x14ac:dyDescent="0.25">
      <c r="A865" s="52">
        <f t="shared" si="13"/>
        <v>44324</v>
      </c>
      <c r="B865" s="53">
        <v>864</v>
      </c>
      <c r="C865" s="53">
        <v>29275.6394</v>
      </c>
    </row>
    <row r="866" spans="1:3" x14ac:dyDescent="0.25">
      <c r="A866" s="52">
        <f t="shared" si="13"/>
        <v>44325</v>
      </c>
      <c r="B866" s="53">
        <v>865</v>
      </c>
      <c r="C866" s="53">
        <v>29278.582299999998</v>
      </c>
    </row>
    <row r="867" spans="1:3" x14ac:dyDescent="0.25">
      <c r="A867" s="52">
        <f t="shared" si="13"/>
        <v>44326</v>
      </c>
      <c r="B867" s="53">
        <v>866</v>
      </c>
      <c r="C867" s="53">
        <v>29280.947700000001</v>
      </c>
    </row>
    <row r="868" spans="1:3" x14ac:dyDescent="0.25">
      <c r="A868" s="52">
        <f t="shared" si="13"/>
        <v>44327</v>
      </c>
      <c r="B868" s="53">
        <v>867</v>
      </c>
      <c r="C868" s="53">
        <v>29283.313399999999</v>
      </c>
    </row>
    <row r="869" spans="1:3" x14ac:dyDescent="0.25">
      <c r="A869" s="52">
        <f t="shared" si="13"/>
        <v>44328</v>
      </c>
      <c r="B869" s="53">
        <v>868</v>
      </c>
      <c r="C869" s="53">
        <v>29285.679199999999</v>
      </c>
    </row>
    <row r="870" spans="1:3" x14ac:dyDescent="0.25">
      <c r="A870" s="52">
        <f t="shared" si="13"/>
        <v>44329</v>
      </c>
      <c r="B870" s="53">
        <v>869</v>
      </c>
      <c r="C870" s="53">
        <v>29288.0452</v>
      </c>
    </row>
    <row r="871" spans="1:3" x14ac:dyDescent="0.25">
      <c r="A871" s="52">
        <f t="shared" si="13"/>
        <v>44330</v>
      </c>
      <c r="B871" s="53">
        <v>870</v>
      </c>
      <c r="C871" s="53">
        <v>29290.411400000001</v>
      </c>
    </row>
    <row r="872" spans="1:3" x14ac:dyDescent="0.25">
      <c r="A872" s="52">
        <f t="shared" si="13"/>
        <v>44331</v>
      </c>
      <c r="B872" s="53">
        <v>871</v>
      </c>
      <c r="C872" s="53">
        <v>29292.777699999999</v>
      </c>
    </row>
    <row r="873" spans="1:3" x14ac:dyDescent="0.25">
      <c r="A873" s="52">
        <f t="shared" si="13"/>
        <v>44332</v>
      </c>
      <c r="B873" s="53">
        <v>872</v>
      </c>
      <c r="C873" s="53">
        <v>29295.1443</v>
      </c>
    </row>
    <row r="874" spans="1:3" x14ac:dyDescent="0.25">
      <c r="A874" s="52">
        <f t="shared" si="13"/>
        <v>44333</v>
      </c>
      <c r="B874" s="53">
        <v>873</v>
      </c>
      <c r="C874" s="53">
        <v>29297.5111</v>
      </c>
    </row>
    <row r="875" spans="1:3" x14ac:dyDescent="0.25">
      <c r="A875" s="52">
        <f t="shared" si="13"/>
        <v>44334</v>
      </c>
      <c r="B875" s="53">
        <v>874</v>
      </c>
      <c r="C875" s="53">
        <v>29299.878000000001</v>
      </c>
    </row>
    <row r="876" spans="1:3" x14ac:dyDescent="0.25">
      <c r="A876" s="52">
        <f t="shared" si="13"/>
        <v>44335</v>
      </c>
      <c r="B876" s="53">
        <v>875</v>
      </c>
      <c r="C876" s="53">
        <v>29302.245200000001</v>
      </c>
    </row>
    <row r="877" spans="1:3" x14ac:dyDescent="0.25">
      <c r="A877" s="52">
        <f t="shared" si="13"/>
        <v>44336</v>
      </c>
      <c r="B877" s="53">
        <v>876</v>
      </c>
      <c r="C877" s="53">
        <v>29304.612499999999</v>
      </c>
    </row>
    <row r="878" spans="1:3" x14ac:dyDescent="0.25">
      <c r="A878" s="52">
        <f t="shared" si="13"/>
        <v>44337</v>
      </c>
      <c r="B878" s="53">
        <v>877</v>
      </c>
      <c r="C878" s="53">
        <v>29306.980100000001</v>
      </c>
    </row>
    <row r="879" spans="1:3" x14ac:dyDescent="0.25">
      <c r="A879" s="52">
        <f t="shared" si="13"/>
        <v>44338</v>
      </c>
      <c r="B879" s="53">
        <v>878</v>
      </c>
      <c r="C879" s="53">
        <v>29309.3478</v>
      </c>
    </row>
    <row r="880" spans="1:3" x14ac:dyDescent="0.25">
      <c r="A880" s="52">
        <f t="shared" si="13"/>
        <v>44339</v>
      </c>
      <c r="B880" s="53">
        <v>879</v>
      </c>
      <c r="C880" s="53">
        <v>29311.715700000001</v>
      </c>
    </row>
    <row r="881" spans="1:3" x14ac:dyDescent="0.25">
      <c r="A881" s="52">
        <f t="shared" si="13"/>
        <v>44340</v>
      </c>
      <c r="B881" s="53">
        <v>880</v>
      </c>
      <c r="C881" s="53">
        <v>29314.0838</v>
      </c>
    </row>
    <row r="882" spans="1:3" x14ac:dyDescent="0.25">
      <c r="A882" s="52">
        <f t="shared" si="13"/>
        <v>44341</v>
      </c>
      <c r="B882" s="53">
        <v>881</v>
      </c>
      <c r="C882" s="53">
        <v>29316.452099999999</v>
      </c>
    </row>
    <row r="883" spans="1:3" x14ac:dyDescent="0.25">
      <c r="A883" s="52">
        <f t="shared" si="13"/>
        <v>44342</v>
      </c>
      <c r="B883" s="53">
        <v>882</v>
      </c>
      <c r="C883" s="53">
        <v>29318.820599999999</v>
      </c>
    </row>
    <row r="884" spans="1:3" x14ac:dyDescent="0.25">
      <c r="A884" s="52">
        <f t="shared" si="13"/>
        <v>44343</v>
      </c>
      <c r="B884" s="53">
        <v>883</v>
      </c>
      <c r="C884" s="53">
        <v>29321.189299999998</v>
      </c>
    </row>
    <row r="885" spans="1:3" x14ac:dyDescent="0.25">
      <c r="A885" s="52">
        <f t="shared" si="13"/>
        <v>44344</v>
      </c>
      <c r="B885" s="53">
        <v>884</v>
      </c>
      <c r="C885" s="53">
        <v>29323.558099999998</v>
      </c>
    </row>
    <row r="886" spans="1:3" x14ac:dyDescent="0.25">
      <c r="A886" s="52">
        <f t="shared" si="13"/>
        <v>44345</v>
      </c>
      <c r="B886" s="53">
        <v>885</v>
      </c>
      <c r="C886" s="53">
        <v>29325.927199999998</v>
      </c>
    </row>
    <row r="887" spans="1:3" x14ac:dyDescent="0.25">
      <c r="A887" s="52">
        <f t="shared" si="13"/>
        <v>44346</v>
      </c>
      <c r="B887" s="53">
        <v>886</v>
      </c>
      <c r="C887" s="53">
        <v>29328.296399999999</v>
      </c>
    </row>
    <row r="888" spans="1:3" x14ac:dyDescent="0.25">
      <c r="A888" s="52">
        <f t="shared" si="13"/>
        <v>44347</v>
      </c>
      <c r="B888" s="53">
        <v>887</v>
      </c>
      <c r="C888" s="53">
        <v>29330.6659</v>
      </c>
    </row>
    <row r="889" spans="1:3" x14ac:dyDescent="0.25">
      <c r="A889" s="52">
        <f t="shared" si="13"/>
        <v>44348</v>
      </c>
      <c r="B889" s="53">
        <v>888</v>
      </c>
      <c r="C889" s="53">
        <v>29333.035500000002</v>
      </c>
    </row>
    <row r="890" spans="1:3" x14ac:dyDescent="0.25">
      <c r="A890" s="52">
        <f t="shared" si="13"/>
        <v>44349</v>
      </c>
      <c r="B890" s="53">
        <v>889</v>
      </c>
      <c r="C890" s="53">
        <v>29335.4054</v>
      </c>
    </row>
    <row r="891" spans="1:3" x14ac:dyDescent="0.25">
      <c r="A891" s="52">
        <f t="shared" si="13"/>
        <v>44350</v>
      </c>
      <c r="B891" s="53">
        <v>890</v>
      </c>
      <c r="C891" s="53">
        <v>29337.775399999999</v>
      </c>
    </row>
    <row r="892" spans="1:3" x14ac:dyDescent="0.25">
      <c r="A892" s="52">
        <f t="shared" si="13"/>
        <v>44351</v>
      </c>
      <c r="B892" s="53">
        <v>891</v>
      </c>
      <c r="C892" s="53">
        <v>29340.1456</v>
      </c>
    </row>
    <row r="893" spans="1:3" x14ac:dyDescent="0.25">
      <c r="A893" s="52">
        <f t="shared" si="13"/>
        <v>44352</v>
      </c>
      <c r="B893" s="53">
        <v>892</v>
      </c>
      <c r="C893" s="53">
        <v>29342.516</v>
      </c>
    </row>
    <row r="894" spans="1:3" x14ac:dyDescent="0.25">
      <c r="A894" s="52">
        <f t="shared" si="13"/>
        <v>44353</v>
      </c>
      <c r="B894" s="53">
        <v>893</v>
      </c>
      <c r="C894" s="53">
        <v>29344.886600000002</v>
      </c>
    </row>
    <row r="895" spans="1:3" x14ac:dyDescent="0.25">
      <c r="A895" s="52">
        <f t="shared" si="13"/>
        <v>44354</v>
      </c>
      <c r="B895" s="53">
        <v>894</v>
      </c>
      <c r="C895" s="53">
        <v>29347.257399999999</v>
      </c>
    </row>
    <row r="896" spans="1:3" x14ac:dyDescent="0.25">
      <c r="A896" s="52">
        <f t="shared" si="13"/>
        <v>44355</v>
      </c>
      <c r="B896" s="53">
        <v>895</v>
      </c>
      <c r="C896" s="53">
        <v>29349.6283</v>
      </c>
    </row>
    <row r="897" spans="1:3" x14ac:dyDescent="0.25">
      <c r="A897" s="52">
        <f t="shared" si="13"/>
        <v>44356</v>
      </c>
      <c r="B897" s="53">
        <v>896</v>
      </c>
      <c r="C897" s="53">
        <v>29351.999500000002</v>
      </c>
    </row>
    <row r="898" spans="1:3" x14ac:dyDescent="0.25">
      <c r="A898" s="52">
        <f t="shared" ref="A898:A961" si="14">+$G$4+B898</f>
        <v>44357</v>
      </c>
      <c r="B898" s="53">
        <v>897</v>
      </c>
      <c r="C898" s="53">
        <v>29354.367399999999</v>
      </c>
    </row>
    <row r="899" spans="1:3" x14ac:dyDescent="0.25">
      <c r="A899" s="52">
        <f t="shared" si="14"/>
        <v>44358</v>
      </c>
      <c r="B899" s="53">
        <v>898</v>
      </c>
      <c r="C899" s="53">
        <v>29356.735400000001</v>
      </c>
    </row>
    <row r="900" spans="1:3" x14ac:dyDescent="0.25">
      <c r="A900" s="52">
        <f t="shared" si="14"/>
        <v>44359</v>
      </c>
      <c r="B900" s="53">
        <v>899</v>
      </c>
      <c r="C900" s="53">
        <v>29359.103599999999</v>
      </c>
    </row>
    <row r="901" spans="1:3" x14ac:dyDescent="0.25">
      <c r="A901" s="52">
        <f t="shared" si="14"/>
        <v>44360</v>
      </c>
      <c r="B901" s="53">
        <v>900</v>
      </c>
      <c r="C901" s="53">
        <v>29361.472099999999</v>
      </c>
    </row>
    <row r="902" spans="1:3" x14ac:dyDescent="0.25">
      <c r="A902" s="52">
        <f t="shared" si="14"/>
        <v>44361</v>
      </c>
      <c r="B902" s="53">
        <v>901</v>
      </c>
      <c r="C902" s="53">
        <v>29363.840700000001</v>
      </c>
    </row>
    <row r="903" spans="1:3" x14ac:dyDescent="0.25">
      <c r="A903" s="52">
        <f t="shared" si="14"/>
        <v>44362</v>
      </c>
      <c r="B903" s="53">
        <v>902</v>
      </c>
      <c r="C903" s="53">
        <v>29366.209500000001</v>
      </c>
    </row>
    <row r="904" spans="1:3" x14ac:dyDescent="0.25">
      <c r="A904" s="52">
        <f t="shared" si="14"/>
        <v>44363</v>
      </c>
      <c r="B904" s="53">
        <v>903</v>
      </c>
      <c r="C904" s="53">
        <v>29368.5785</v>
      </c>
    </row>
    <row r="905" spans="1:3" x14ac:dyDescent="0.25">
      <c r="A905" s="52">
        <f t="shared" si="14"/>
        <v>44364</v>
      </c>
      <c r="B905" s="53">
        <v>904</v>
      </c>
      <c r="C905" s="53">
        <v>29370.947700000001</v>
      </c>
    </row>
    <row r="906" spans="1:3" x14ac:dyDescent="0.25">
      <c r="A906" s="52">
        <f t="shared" si="14"/>
        <v>44365</v>
      </c>
      <c r="B906" s="53">
        <v>905</v>
      </c>
      <c r="C906" s="53">
        <v>29373.3171</v>
      </c>
    </row>
    <row r="907" spans="1:3" x14ac:dyDescent="0.25">
      <c r="A907" s="52">
        <f t="shared" si="14"/>
        <v>44366</v>
      </c>
      <c r="B907" s="53">
        <v>906</v>
      </c>
      <c r="C907" s="53">
        <v>29375.686600000001</v>
      </c>
    </row>
    <row r="908" spans="1:3" x14ac:dyDescent="0.25">
      <c r="A908" s="52">
        <f t="shared" si="14"/>
        <v>44367</v>
      </c>
      <c r="B908" s="53">
        <v>907</v>
      </c>
      <c r="C908" s="53">
        <v>29378.056400000001</v>
      </c>
    </row>
    <row r="909" spans="1:3" x14ac:dyDescent="0.25">
      <c r="A909" s="52">
        <f t="shared" si="14"/>
        <v>44368</v>
      </c>
      <c r="B909" s="53">
        <v>908</v>
      </c>
      <c r="C909" s="53">
        <v>29380.4264</v>
      </c>
    </row>
    <row r="910" spans="1:3" x14ac:dyDescent="0.25">
      <c r="A910" s="52">
        <f t="shared" si="14"/>
        <v>44369</v>
      </c>
      <c r="B910" s="53">
        <v>909</v>
      </c>
      <c r="C910" s="53">
        <v>29382.7965</v>
      </c>
    </row>
    <row r="911" spans="1:3" x14ac:dyDescent="0.25">
      <c r="A911" s="52">
        <f t="shared" si="14"/>
        <v>44370</v>
      </c>
      <c r="B911" s="53">
        <v>910</v>
      </c>
      <c r="C911" s="53">
        <v>29385.166799999999</v>
      </c>
    </row>
    <row r="912" spans="1:3" x14ac:dyDescent="0.25">
      <c r="A912" s="52">
        <f t="shared" si="14"/>
        <v>44371</v>
      </c>
      <c r="B912" s="53">
        <v>911</v>
      </c>
      <c r="C912" s="53">
        <v>29387.537400000001</v>
      </c>
    </row>
    <row r="913" spans="1:3" x14ac:dyDescent="0.25">
      <c r="A913" s="52">
        <f t="shared" si="14"/>
        <v>44372</v>
      </c>
      <c r="B913" s="53">
        <v>912</v>
      </c>
      <c r="C913" s="53">
        <v>29389.908100000001</v>
      </c>
    </row>
    <row r="914" spans="1:3" x14ac:dyDescent="0.25">
      <c r="A914" s="52">
        <f t="shared" si="14"/>
        <v>44373</v>
      </c>
      <c r="B914" s="53">
        <v>913</v>
      </c>
      <c r="C914" s="53">
        <v>29392.278999999999</v>
      </c>
    </row>
    <row r="915" spans="1:3" x14ac:dyDescent="0.25">
      <c r="A915" s="52">
        <f t="shared" si="14"/>
        <v>44374</v>
      </c>
      <c r="B915" s="53">
        <v>914</v>
      </c>
      <c r="C915" s="53">
        <v>29394.650099999999</v>
      </c>
    </row>
    <row r="916" spans="1:3" x14ac:dyDescent="0.25">
      <c r="A916" s="52">
        <f t="shared" si="14"/>
        <v>44375</v>
      </c>
      <c r="B916" s="53">
        <v>915</v>
      </c>
      <c r="C916" s="53">
        <v>29397.021400000001</v>
      </c>
    </row>
    <row r="917" spans="1:3" x14ac:dyDescent="0.25">
      <c r="A917" s="52">
        <f t="shared" si="14"/>
        <v>44376</v>
      </c>
      <c r="B917" s="53">
        <v>916</v>
      </c>
      <c r="C917" s="53">
        <v>29399.392899999999</v>
      </c>
    </row>
    <row r="918" spans="1:3" x14ac:dyDescent="0.25">
      <c r="A918" s="52">
        <f t="shared" si="14"/>
        <v>44377</v>
      </c>
      <c r="B918" s="53">
        <v>917</v>
      </c>
      <c r="C918" s="53">
        <v>29401.764599999999</v>
      </c>
    </row>
    <row r="919" spans="1:3" x14ac:dyDescent="0.25">
      <c r="A919" s="52">
        <f t="shared" si="14"/>
        <v>44378</v>
      </c>
      <c r="B919" s="53">
        <v>918</v>
      </c>
      <c r="C919" s="53">
        <v>29404.136399999999</v>
      </c>
    </row>
    <row r="920" spans="1:3" x14ac:dyDescent="0.25">
      <c r="A920" s="52">
        <f t="shared" si="14"/>
        <v>44379</v>
      </c>
      <c r="B920" s="53">
        <v>919</v>
      </c>
      <c r="C920" s="53">
        <v>29406.5085</v>
      </c>
    </row>
    <row r="921" spans="1:3" x14ac:dyDescent="0.25">
      <c r="A921" s="52">
        <f t="shared" si="14"/>
        <v>44380</v>
      </c>
      <c r="B921" s="53">
        <v>920</v>
      </c>
      <c r="C921" s="53">
        <v>29408.880799999999</v>
      </c>
    </row>
    <row r="922" spans="1:3" x14ac:dyDescent="0.25">
      <c r="A922" s="52">
        <f t="shared" si="14"/>
        <v>44381</v>
      </c>
      <c r="B922" s="53">
        <v>921</v>
      </c>
      <c r="C922" s="53">
        <v>29411.253199999999</v>
      </c>
    </row>
    <row r="923" spans="1:3" x14ac:dyDescent="0.25">
      <c r="A923" s="52">
        <f t="shared" si="14"/>
        <v>44382</v>
      </c>
      <c r="B923" s="53">
        <v>922</v>
      </c>
      <c r="C923" s="53">
        <v>29413.625800000002</v>
      </c>
    </row>
    <row r="924" spans="1:3" x14ac:dyDescent="0.25">
      <c r="A924" s="52">
        <f t="shared" si="14"/>
        <v>44383</v>
      </c>
      <c r="B924" s="53">
        <v>923</v>
      </c>
      <c r="C924" s="53">
        <v>29415.9987</v>
      </c>
    </row>
    <row r="925" spans="1:3" x14ac:dyDescent="0.25">
      <c r="A925" s="52">
        <f t="shared" si="14"/>
        <v>44384</v>
      </c>
      <c r="B925" s="53">
        <v>924</v>
      </c>
      <c r="C925" s="53">
        <v>29418.3717</v>
      </c>
    </row>
    <row r="926" spans="1:3" x14ac:dyDescent="0.25">
      <c r="A926" s="52">
        <f t="shared" si="14"/>
        <v>44385</v>
      </c>
      <c r="B926" s="53">
        <v>925</v>
      </c>
      <c r="C926" s="53">
        <v>29420.744900000002</v>
      </c>
    </row>
    <row r="927" spans="1:3" x14ac:dyDescent="0.25">
      <c r="A927" s="52">
        <f t="shared" si="14"/>
        <v>44386</v>
      </c>
      <c r="B927" s="53">
        <v>926</v>
      </c>
      <c r="C927" s="53">
        <v>29423.118299999998</v>
      </c>
    </row>
    <row r="928" spans="1:3" x14ac:dyDescent="0.25">
      <c r="A928" s="52">
        <f t="shared" si="14"/>
        <v>44387</v>
      </c>
      <c r="B928" s="53">
        <v>927</v>
      </c>
      <c r="C928" s="53">
        <v>29424.9791</v>
      </c>
    </row>
    <row r="929" spans="1:3" x14ac:dyDescent="0.25">
      <c r="A929" s="52">
        <f t="shared" si="14"/>
        <v>44388</v>
      </c>
      <c r="B929" s="53">
        <v>928</v>
      </c>
      <c r="C929" s="53">
        <v>29426.839899999999</v>
      </c>
    </row>
    <row r="930" spans="1:3" x14ac:dyDescent="0.25">
      <c r="A930" s="52">
        <f t="shared" si="14"/>
        <v>44389</v>
      </c>
      <c r="B930" s="53">
        <v>929</v>
      </c>
      <c r="C930" s="53">
        <v>29428.7009</v>
      </c>
    </row>
    <row r="931" spans="1:3" x14ac:dyDescent="0.25">
      <c r="A931" s="52">
        <f t="shared" si="14"/>
        <v>44390</v>
      </c>
      <c r="B931" s="53">
        <v>930</v>
      </c>
      <c r="C931" s="53">
        <v>29430.562099999999</v>
      </c>
    </row>
    <row r="932" spans="1:3" x14ac:dyDescent="0.25">
      <c r="A932" s="52">
        <f t="shared" si="14"/>
        <v>44391</v>
      </c>
      <c r="B932" s="53">
        <v>931</v>
      </c>
      <c r="C932" s="53">
        <v>29432.423299999999</v>
      </c>
    </row>
    <row r="933" spans="1:3" x14ac:dyDescent="0.25">
      <c r="A933" s="52">
        <f t="shared" si="14"/>
        <v>44392</v>
      </c>
      <c r="B933" s="53">
        <v>932</v>
      </c>
      <c r="C933" s="53">
        <v>29434.2847</v>
      </c>
    </row>
    <row r="934" spans="1:3" x14ac:dyDescent="0.25">
      <c r="A934" s="52">
        <f t="shared" si="14"/>
        <v>44393</v>
      </c>
      <c r="B934" s="53">
        <v>933</v>
      </c>
      <c r="C934" s="53">
        <v>29436.146199999999</v>
      </c>
    </row>
    <row r="935" spans="1:3" x14ac:dyDescent="0.25">
      <c r="A935" s="52">
        <f t="shared" si="14"/>
        <v>44394</v>
      </c>
      <c r="B935" s="53">
        <v>934</v>
      </c>
      <c r="C935" s="53">
        <v>29438.007699999998</v>
      </c>
    </row>
    <row r="936" spans="1:3" x14ac:dyDescent="0.25">
      <c r="A936" s="52">
        <f t="shared" si="14"/>
        <v>44395</v>
      </c>
      <c r="B936" s="53">
        <v>935</v>
      </c>
      <c r="C936" s="53">
        <v>29439.869500000001</v>
      </c>
    </row>
    <row r="937" spans="1:3" x14ac:dyDescent="0.25">
      <c r="A937" s="52">
        <f t="shared" si="14"/>
        <v>44396</v>
      </c>
      <c r="B937" s="53">
        <v>936</v>
      </c>
      <c r="C937" s="53">
        <v>29441.731299999999</v>
      </c>
    </row>
    <row r="938" spans="1:3" x14ac:dyDescent="0.25">
      <c r="A938" s="52">
        <f t="shared" si="14"/>
        <v>44397</v>
      </c>
      <c r="B938" s="53">
        <v>937</v>
      </c>
      <c r="C938" s="53">
        <v>29443.593199999999</v>
      </c>
    </row>
    <row r="939" spans="1:3" x14ac:dyDescent="0.25">
      <c r="A939" s="52">
        <f t="shared" si="14"/>
        <v>44398</v>
      </c>
      <c r="B939" s="53">
        <v>938</v>
      </c>
      <c r="C939" s="53">
        <v>29445.455300000001</v>
      </c>
    </row>
    <row r="940" spans="1:3" x14ac:dyDescent="0.25">
      <c r="A940" s="52">
        <f t="shared" si="14"/>
        <v>44399</v>
      </c>
      <c r="B940" s="53">
        <v>939</v>
      </c>
      <c r="C940" s="53">
        <v>29447.317500000001</v>
      </c>
    </row>
    <row r="941" spans="1:3" x14ac:dyDescent="0.25">
      <c r="A941" s="52">
        <f t="shared" si="14"/>
        <v>44400</v>
      </c>
      <c r="B941" s="53">
        <v>940</v>
      </c>
      <c r="C941" s="53">
        <v>29449.179800000002</v>
      </c>
    </row>
    <row r="942" spans="1:3" x14ac:dyDescent="0.25">
      <c r="A942" s="52">
        <f t="shared" si="14"/>
        <v>44401</v>
      </c>
      <c r="B942" s="53">
        <v>941</v>
      </c>
      <c r="C942" s="53">
        <v>29451.0422</v>
      </c>
    </row>
    <row r="943" spans="1:3" x14ac:dyDescent="0.25">
      <c r="A943" s="52">
        <f t="shared" si="14"/>
        <v>44402</v>
      </c>
      <c r="B943" s="53">
        <v>942</v>
      </c>
      <c r="C943" s="53">
        <v>29452.904699999999</v>
      </c>
    </row>
    <row r="944" spans="1:3" x14ac:dyDescent="0.25">
      <c r="A944" s="52">
        <f t="shared" si="14"/>
        <v>44403</v>
      </c>
      <c r="B944" s="53">
        <v>943</v>
      </c>
      <c r="C944" s="53">
        <v>29454.767400000001</v>
      </c>
    </row>
    <row r="945" spans="1:3" x14ac:dyDescent="0.25">
      <c r="A945" s="52">
        <f t="shared" si="14"/>
        <v>44404</v>
      </c>
      <c r="B945" s="53">
        <v>944</v>
      </c>
      <c r="C945" s="53">
        <v>29456.6302</v>
      </c>
    </row>
    <row r="946" spans="1:3" x14ac:dyDescent="0.25">
      <c r="A946" s="52">
        <f t="shared" si="14"/>
        <v>44405</v>
      </c>
      <c r="B946" s="53">
        <v>945</v>
      </c>
      <c r="C946" s="53">
        <v>29458.4931</v>
      </c>
    </row>
    <row r="947" spans="1:3" x14ac:dyDescent="0.25">
      <c r="A947" s="52">
        <f t="shared" si="14"/>
        <v>44406</v>
      </c>
      <c r="B947" s="53">
        <v>946</v>
      </c>
      <c r="C947" s="53">
        <v>29460.356100000001</v>
      </c>
    </row>
    <row r="948" spans="1:3" x14ac:dyDescent="0.25">
      <c r="A948" s="52">
        <f t="shared" si="14"/>
        <v>44407</v>
      </c>
      <c r="B948" s="53">
        <v>947</v>
      </c>
      <c r="C948" s="53">
        <v>29462.2192</v>
      </c>
    </row>
    <row r="949" spans="1:3" x14ac:dyDescent="0.25">
      <c r="A949" s="52">
        <f t="shared" si="14"/>
        <v>44408</v>
      </c>
      <c r="B949" s="53">
        <v>948</v>
      </c>
      <c r="C949" s="53">
        <v>29464.082399999999</v>
      </c>
    </row>
    <row r="950" spans="1:3" x14ac:dyDescent="0.25">
      <c r="A950" s="52">
        <f t="shared" si="14"/>
        <v>44409</v>
      </c>
      <c r="B950" s="53">
        <v>949</v>
      </c>
      <c r="C950" s="53">
        <v>29465.945800000001</v>
      </c>
    </row>
    <row r="951" spans="1:3" x14ac:dyDescent="0.25">
      <c r="A951" s="52">
        <f t="shared" si="14"/>
        <v>44410</v>
      </c>
      <c r="B951" s="53">
        <v>950</v>
      </c>
      <c r="C951" s="53">
        <v>29467.809300000001</v>
      </c>
    </row>
    <row r="952" spans="1:3" x14ac:dyDescent="0.25">
      <c r="A952" s="52">
        <f t="shared" si="14"/>
        <v>44411</v>
      </c>
      <c r="B952" s="53">
        <v>951</v>
      </c>
      <c r="C952" s="53">
        <v>29469.672900000001</v>
      </c>
    </row>
    <row r="953" spans="1:3" x14ac:dyDescent="0.25">
      <c r="A953" s="52">
        <f t="shared" si="14"/>
        <v>44412</v>
      </c>
      <c r="B953" s="53">
        <v>952</v>
      </c>
      <c r="C953" s="53">
        <v>29471.536599999999</v>
      </c>
    </row>
    <row r="954" spans="1:3" x14ac:dyDescent="0.25">
      <c r="A954" s="52">
        <f t="shared" si="14"/>
        <v>44413</v>
      </c>
      <c r="B954" s="53">
        <v>953</v>
      </c>
      <c r="C954" s="53">
        <v>29473.400399999999</v>
      </c>
    </row>
    <row r="955" spans="1:3" x14ac:dyDescent="0.25">
      <c r="A955" s="52">
        <f t="shared" si="14"/>
        <v>44414</v>
      </c>
      <c r="B955" s="53">
        <v>954</v>
      </c>
      <c r="C955" s="53">
        <v>29475.2644</v>
      </c>
    </row>
    <row r="956" spans="1:3" x14ac:dyDescent="0.25">
      <c r="A956" s="52">
        <f t="shared" si="14"/>
        <v>44415</v>
      </c>
      <c r="B956" s="53">
        <v>955</v>
      </c>
      <c r="C956" s="53">
        <v>29477.128499999999</v>
      </c>
    </row>
    <row r="957" spans="1:3" x14ac:dyDescent="0.25">
      <c r="A957" s="52">
        <f t="shared" si="14"/>
        <v>44416</v>
      </c>
      <c r="B957" s="53">
        <v>956</v>
      </c>
      <c r="C957" s="53">
        <v>29478.992600000001</v>
      </c>
    </row>
    <row r="958" spans="1:3" x14ac:dyDescent="0.25">
      <c r="A958" s="52">
        <f t="shared" si="14"/>
        <v>44417</v>
      </c>
      <c r="B958" s="53">
        <v>957</v>
      </c>
      <c r="C958" s="53">
        <v>29480.856899999999</v>
      </c>
    </row>
    <row r="959" spans="1:3" x14ac:dyDescent="0.25">
      <c r="A959" s="52">
        <f t="shared" si="14"/>
        <v>44418</v>
      </c>
      <c r="B959" s="53">
        <v>958</v>
      </c>
      <c r="C959" s="53">
        <v>29483.3842</v>
      </c>
    </row>
    <row r="960" spans="1:3" x14ac:dyDescent="0.25">
      <c r="A960" s="52">
        <f t="shared" si="14"/>
        <v>44419</v>
      </c>
      <c r="B960" s="53">
        <v>959</v>
      </c>
      <c r="C960" s="53">
        <v>29485.911700000001</v>
      </c>
    </row>
    <row r="961" spans="1:3" x14ac:dyDescent="0.25">
      <c r="A961" s="52">
        <f t="shared" si="14"/>
        <v>44420</v>
      </c>
      <c r="B961" s="53">
        <v>960</v>
      </c>
      <c r="C961" s="53">
        <v>29488.439399999999</v>
      </c>
    </row>
    <row r="962" spans="1:3" x14ac:dyDescent="0.25">
      <c r="A962" s="52">
        <f t="shared" ref="A962:A1025" si="15">+$G$4+B962</f>
        <v>44421</v>
      </c>
      <c r="B962" s="53">
        <v>961</v>
      </c>
      <c r="C962" s="53">
        <v>29490.9673</v>
      </c>
    </row>
    <row r="963" spans="1:3" x14ac:dyDescent="0.25">
      <c r="A963" s="52">
        <f t="shared" si="15"/>
        <v>44422</v>
      </c>
      <c r="B963" s="53">
        <v>962</v>
      </c>
      <c r="C963" s="53">
        <v>29493.495500000001</v>
      </c>
    </row>
    <row r="964" spans="1:3" x14ac:dyDescent="0.25">
      <c r="A964" s="52">
        <f t="shared" si="15"/>
        <v>44423</v>
      </c>
      <c r="B964" s="53">
        <v>963</v>
      </c>
      <c r="C964" s="53">
        <v>29496.023799999999</v>
      </c>
    </row>
    <row r="965" spans="1:3" x14ac:dyDescent="0.25">
      <c r="A965" s="52">
        <f t="shared" si="15"/>
        <v>44424</v>
      </c>
      <c r="B965" s="53">
        <v>964</v>
      </c>
      <c r="C965" s="53">
        <v>29498.5524</v>
      </c>
    </row>
    <row r="966" spans="1:3" x14ac:dyDescent="0.25">
      <c r="A966" s="52">
        <f t="shared" si="15"/>
        <v>44425</v>
      </c>
      <c r="B966" s="53">
        <v>965</v>
      </c>
      <c r="C966" s="53">
        <v>29501.081200000001</v>
      </c>
    </row>
    <row r="967" spans="1:3" x14ac:dyDescent="0.25">
      <c r="A967" s="52">
        <f t="shared" si="15"/>
        <v>44426</v>
      </c>
      <c r="B967" s="53">
        <v>966</v>
      </c>
      <c r="C967" s="53">
        <v>29503.610199999999</v>
      </c>
    </row>
    <row r="968" spans="1:3" x14ac:dyDescent="0.25">
      <c r="A968" s="52">
        <f t="shared" si="15"/>
        <v>44427</v>
      </c>
      <c r="B968" s="53">
        <v>967</v>
      </c>
      <c r="C968" s="53">
        <v>29506.139500000001</v>
      </c>
    </row>
    <row r="969" spans="1:3" x14ac:dyDescent="0.25">
      <c r="A969" s="52">
        <f t="shared" si="15"/>
        <v>44428</v>
      </c>
      <c r="B969" s="53">
        <v>968</v>
      </c>
      <c r="C969" s="53">
        <v>29508.668900000001</v>
      </c>
    </row>
    <row r="970" spans="1:3" x14ac:dyDescent="0.25">
      <c r="A970" s="52">
        <f t="shared" si="15"/>
        <v>44429</v>
      </c>
      <c r="B970" s="53">
        <v>969</v>
      </c>
      <c r="C970" s="53">
        <v>29511.1986</v>
      </c>
    </row>
    <row r="971" spans="1:3" x14ac:dyDescent="0.25">
      <c r="A971" s="52">
        <f t="shared" si="15"/>
        <v>44430</v>
      </c>
      <c r="B971" s="53">
        <v>970</v>
      </c>
      <c r="C971" s="53">
        <v>29513.7284</v>
      </c>
    </row>
    <row r="972" spans="1:3" x14ac:dyDescent="0.25">
      <c r="A972" s="52">
        <f t="shared" si="15"/>
        <v>44431</v>
      </c>
      <c r="B972" s="53">
        <v>971</v>
      </c>
      <c r="C972" s="53">
        <v>29516.2585</v>
      </c>
    </row>
    <row r="973" spans="1:3" x14ac:dyDescent="0.25">
      <c r="A973" s="52">
        <f t="shared" si="15"/>
        <v>44432</v>
      </c>
      <c r="B973" s="53">
        <v>972</v>
      </c>
      <c r="C973" s="53">
        <v>29518.788799999998</v>
      </c>
    </row>
    <row r="974" spans="1:3" x14ac:dyDescent="0.25">
      <c r="A974" s="52">
        <f t="shared" si="15"/>
        <v>44433</v>
      </c>
      <c r="B974" s="53">
        <v>973</v>
      </c>
      <c r="C974" s="53">
        <v>29521.3194</v>
      </c>
    </row>
    <row r="975" spans="1:3" x14ac:dyDescent="0.25">
      <c r="A975" s="52">
        <f t="shared" si="15"/>
        <v>44434</v>
      </c>
      <c r="B975" s="53">
        <v>974</v>
      </c>
      <c r="C975" s="53">
        <v>29523.8501</v>
      </c>
    </row>
    <row r="976" spans="1:3" x14ac:dyDescent="0.25">
      <c r="A976" s="52">
        <f t="shared" si="15"/>
        <v>44435</v>
      </c>
      <c r="B976" s="53">
        <v>975</v>
      </c>
      <c r="C976" s="53">
        <v>29526.381099999999</v>
      </c>
    </row>
    <row r="977" spans="1:3" x14ac:dyDescent="0.25">
      <c r="A977" s="52">
        <f t="shared" si="15"/>
        <v>44436</v>
      </c>
      <c r="B977" s="53">
        <v>976</v>
      </c>
      <c r="C977" s="53">
        <v>29528.912199999999</v>
      </c>
    </row>
    <row r="978" spans="1:3" x14ac:dyDescent="0.25">
      <c r="A978" s="52">
        <f t="shared" si="15"/>
        <v>44437</v>
      </c>
      <c r="B978" s="53">
        <v>977</v>
      </c>
      <c r="C978" s="53">
        <v>29531.443599999999</v>
      </c>
    </row>
    <row r="979" spans="1:3" x14ac:dyDescent="0.25">
      <c r="A979" s="52">
        <f t="shared" si="15"/>
        <v>44438</v>
      </c>
      <c r="B979" s="53">
        <v>978</v>
      </c>
      <c r="C979" s="53">
        <v>29533.975299999998</v>
      </c>
    </row>
    <row r="980" spans="1:3" x14ac:dyDescent="0.25">
      <c r="A980" s="52">
        <f t="shared" si="15"/>
        <v>44439</v>
      </c>
      <c r="B980" s="53">
        <v>979</v>
      </c>
      <c r="C980" s="53">
        <v>29536.507099999999</v>
      </c>
    </row>
    <row r="981" spans="1:3" x14ac:dyDescent="0.25">
      <c r="A981" s="52">
        <f t="shared" si="15"/>
        <v>44440</v>
      </c>
      <c r="B981" s="53">
        <v>980</v>
      </c>
      <c r="C981" s="53">
        <v>29539.039100000002</v>
      </c>
    </row>
    <row r="982" spans="1:3" x14ac:dyDescent="0.25">
      <c r="A982" s="52">
        <f t="shared" si="15"/>
        <v>44441</v>
      </c>
      <c r="B982" s="53">
        <v>981</v>
      </c>
      <c r="C982" s="53">
        <v>29541.571400000001</v>
      </c>
    </row>
    <row r="983" spans="1:3" x14ac:dyDescent="0.25">
      <c r="A983" s="52">
        <f t="shared" si="15"/>
        <v>44442</v>
      </c>
      <c r="B983" s="53">
        <v>982</v>
      </c>
      <c r="C983" s="53">
        <v>29544.103899999998</v>
      </c>
    </row>
    <row r="984" spans="1:3" x14ac:dyDescent="0.25">
      <c r="A984" s="52">
        <f t="shared" si="15"/>
        <v>44443</v>
      </c>
      <c r="B984" s="53">
        <v>983</v>
      </c>
      <c r="C984" s="53">
        <v>29546.636600000002</v>
      </c>
    </row>
    <row r="985" spans="1:3" x14ac:dyDescent="0.25">
      <c r="A985" s="52">
        <f t="shared" si="15"/>
        <v>44444</v>
      </c>
      <c r="B985" s="53">
        <v>984</v>
      </c>
      <c r="C985" s="53">
        <v>29549.1695</v>
      </c>
    </row>
    <row r="986" spans="1:3" x14ac:dyDescent="0.25">
      <c r="A986" s="52">
        <f t="shared" si="15"/>
        <v>44445</v>
      </c>
      <c r="B986" s="53">
        <v>985</v>
      </c>
      <c r="C986" s="53">
        <v>29551.702600000001</v>
      </c>
    </row>
    <row r="987" spans="1:3" x14ac:dyDescent="0.25">
      <c r="A987" s="52">
        <f t="shared" si="15"/>
        <v>44446</v>
      </c>
      <c r="B987" s="53">
        <v>986</v>
      </c>
      <c r="C987" s="53">
        <v>29554.236000000001</v>
      </c>
    </row>
    <row r="988" spans="1:3" x14ac:dyDescent="0.25">
      <c r="A988" s="52">
        <f t="shared" si="15"/>
        <v>44447</v>
      </c>
      <c r="B988" s="53">
        <v>987</v>
      </c>
      <c r="C988" s="53">
        <v>29556.769499999999</v>
      </c>
    </row>
    <row r="989" spans="1:3" x14ac:dyDescent="0.25">
      <c r="A989" s="52">
        <f t="shared" si="15"/>
        <v>44448</v>
      </c>
      <c r="B989" s="53">
        <v>988</v>
      </c>
      <c r="C989" s="53">
        <v>29559.3033</v>
      </c>
    </row>
    <row r="990" spans="1:3" x14ac:dyDescent="0.25">
      <c r="A990" s="52">
        <f t="shared" si="15"/>
        <v>44449</v>
      </c>
      <c r="B990" s="53">
        <v>989</v>
      </c>
      <c r="C990" s="53">
        <v>29561.505000000001</v>
      </c>
    </row>
    <row r="991" spans="1:3" x14ac:dyDescent="0.25">
      <c r="A991" s="52">
        <f t="shared" si="15"/>
        <v>44450</v>
      </c>
      <c r="B991" s="53">
        <v>990</v>
      </c>
      <c r="C991" s="53">
        <v>29563.7068</v>
      </c>
    </row>
    <row r="992" spans="1:3" x14ac:dyDescent="0.25">
      <c r="A992" s="52">
        <f t="shared" si="15"/>
        <v>44451</v>
      </c>
      <c r="B992" s="53">
        <v>991</v>
      </c>
      <c r="C992" s="53">
        <v>29565.9087</v>
      </c>
    </row>
    <row r="993" spans="1:3" x14ac:dyDescent="0.25">
      <c r="A993" s="52">
        <f t="shared" si="15"/>
        <v>44452</v>
      </c>
      <c r="B993" s="53">
        <v>992</v>
      </c>
      <c r="C993" s="53">
        <v>29568.110799999999</v>
      </c>
    </row>
    <row r="994" spans="1:3" x14ac:dyDescent="0.25">
      <c r="A994" s="52">
        <f t="shared" si="15"/>
        <v>44453</v>
      </c>
      <c r="B994" s="53">
        <v>993</v>
      </c>
      <c r="C994" s="53">
        <v>29570.313099999999</v>
      </c>
    </row>
    <row r="995" spans="1:3" x14ac:dyDescent="0.25">
      <c r="A995" s="52">
        <f t="shared" si="15"/>
        <v>44454</v>
      </c>
      <c r="B995" s="53">
        <v>994</v>
      </c>
      <c r="C995" s="53">
        <v>29572.515599999999</v>
      </c>
    </row>
    <row r="996" spans="1:3" x14ac:dyDescent="0.25">
      <c r="A996" s="52">
        <f t="shared" si="15"/>
        <v>44455</v>
      </c>
      <c r="B996" s="53">
        <v>995</v>
      </c>
      <c r="C996" s="53">
        <v>29574.718199999999</v>
      </c>
    </row>
    <row r="997" spans="1:3" x14ac:dyDescent="0.25">
      <c r="A997" s="52">
        <f t="shared" si="15"/>
        <v>44456</v>
      </c>
      <c r="B997" s="53">
        <v>996</v>
      </c>
      <c r="C997" s="53">
        <v>29576.920999999998</v>
      </c>
    </row>
    <row r="998" spans="1:3" x14ac:dyDescent="0.25">
      <c r="A998" s="52">
        <f t="shared" si="15"/>
        <v>44457</v>
      </c>
      <c r="B998" s="53">
        <v>997</v>
      </c>
      <c r="C998" s="53">
        <v>29579.123899999999</v>
      </c>
    </row>
    <row r="999" spans="1:3" x14ac:dyDescent="0.25">
      <c r="A999" s="52">
        <f t="shared" si="15"/>
        <v>44458</v>
      </c>
      <c r="B999" s="53">
        <v>998</v>
      </c>
      <c r="C999" s="53">
        <v>29581.327099999999</v>
      </c>
    </row>
    <row r="1000" spans="1:3" x14ac:dyDescent="0.25">
      <c r="A1000" s="52">
        <f t="shared" si="15"/>
        <v>44459</v>
      </c>
      <c r="B1000" s="53">
        <v>999</v>
      </c>
      <c r="C1000" s="53">
        <v>29583.530299999999</v>
      </c>
    </row>
    <row r="1001" spans="1:3" x14ac:dyDescent="0.25">
      <c r="A1001" s="52">
        <f t="shared" si="15"/>
        <v>44460</v>
      </c>
      <c r="B1001" s="53">
        <v>1000</v>
      </c>
      <c r="C1001" s="53">
        <v>29585.733800000002</v>
      </c>
    </row>
    <row r="1002" spans="1:3" x14ac:dyDescent="0.25">
      <c r="A1002" s="52">
        <f t="shared" si="15"/>
        <v>44461</v>
      </c>
      <c r="B1002" s="53">
        <v>1001</v>
      </c>
      <c r="C1002" s="53">
        <v>29587.937399999999</v>
      </c>
    </row>
    <row r="1003" spans="1:3" x14ac:dyDescent="0.25">
      <c r="A1003" s="52">
        <f t="shared" si="15"/>
        <v>44462</v>
      </c>
      <c r="B1003" s="53">
        <v>1002</v>
      </c>
      <c r="C1003" s="53">
        <v>29590.141100000001</v>
      </c>
    </row>
    <row r="1004" spans="1:3" x14ac:dyDescent="0.25">
      <c r="A1004" s="52">
        <f t="shared" si="15"/>
        <v>44463</v>
      </c>
      <c r="B1004" s="53">
        <v>1003</v>
      </c>
      <c r="C1004" s="53">
        <v>29592.345099999999</v>
      </c>
    </row>
    <row r="1005" spans="1:3" x14ac:dyDescent="0.25">
      <c r="A1005" s="52">
        <f t="shared" si="15"/>
        <v>44464</v>
      </c>
      <c r="B1005" s="53">
        <v>1004</v>
      </c>
      <c r="C1005" s="53">
        <v>29594.549200000001</v>
      </c>
    </row>
    <row r="1006" spans="1:3" x14ac:dyDescent="0.25">
      <c r="A1006" s="52">
        <f t="shared" si="15"/>
        <v>44465</v>
      </c>
      <c r="B1006" s="53">
        <v>1005</v>
      </c>
      <c r="C1006" s="53">
        <v>29596.753400000001</v>
      </c>
    </row>
    <row r="1007" spans="1:3" x14ac:dyDescent="0.25">
      <c r="A1007" s="52">
        <f t="shared" si="15"/>
        <v>44466</v>
      </c>
      <c r="B1007" s="53">
        <v>1006</v>
      </c>
      <c r="C1007" s="53">
        <v>29598.957900000001</v>
      </c>
    </row>
    <row r="1008" spans="1:3" x14ac:dyDescent="0.25">
      <c r="A1008" s="52">
        <f t="shared" si="15"/>
        <v>44467</v>
      </c>
      <c r="B1008" s="53">
        <v>1007</v>
      </c>
      <c r="C1008" s="53">
        <v>29601.162499999999</v>
      </c>
    </row>
    <row r="1009" spans="1:3" x14ac:dyDescent="0.25">
      <c r="A1009" s="52">
        <f t="shared" si="15"/>
        <v>44468</v>
      </c>
      <c r="B1009" s="53">
        <v>1008</v>
      </c>
      <c r="C1009" s="53">
        <v>29603.367200000001</v>
      </c>
    </row>
    <row r="1010" spans="1:3" x14ac:dyDescent="0.25">
      <c r="A1010" s="52">
        <f t="shared" si="15"/>
        <v>44469</v>
      </c>
      <c r="B1010" s="53">
        <v>1009</v>
      </c>
      <c r="C1010" s="53">
        <v>29605.572100000001</v>
      </c>
    </row>
    <row r="1011" spans="1:3" x14ac:dyDescent="0.25">
      <c r="A1011" s="52">
        <f t="shared" si="15"/>
        <v>44470</v>
      </c>
      <c r="B1011" s="53">
        <v>1010</v>
      </c>
      <c r="C1011" s="53">
        <v>29607.7772</v>
      </c>
    </row>
    <row r="1012" spans="1:3" x14ac:dyDescent="0.25">
      <c r="A1012" s="52">
        <f t="shared" si="15"/>
        <v>44471</v>
      </c>
      <c r="B1012" s="53">
        <v>1011</v>
      </c>
      <c r="C1012" s="53">
        <v>29609.982499999998</v>
      </c>
    </row>
    <row r="1013" spans="1:3" x14ac:dyDescent="0.25">
      <c r="A1013" s="52">
        <f t="shared" si="15"/>
        <v>44472</v>
      </c>
      <c r="B1013" s="53">
        <v>1012</v>
      </c>
      <c r="C1013" s="53">
        <v>29612.187900000001</v>
      </c>
    </row>
    <row r="1014" spans="1:3" x14ac:dyDescent="0.25">
      <c r="A1014" s="52">
        <f t="shared" si="15"/>
        <v>44473</v>
      </c>
      <c r="B1014" s="53">
        <v>1013</v>
      </c>
      <c r="C1014" s="53">
        <v>29614.393400000001</v>
      </c>
    </row>
    <row r="1015" spans="1:3" x14ac:dyDescent="0.25">
      <c r="A1015" s="52">
        <f t="shared" si="15"/>
        <v>44474</v>
      </c>
      <c r="B1015" s="53">
        <v>1014</v>
      </c>
      <c r="C1015" s="53">
        <v>29616.599200000001</v>
      </c>
    </row>
    <row r="1016" spans="1:3" x14ac:dyDescent="0.25">
      <c r="A1016" s="52">
        <f t="shared" si="15"/>
        <v>44475</v>
      </c>
      <c r="B1016" s="53">
        <v>1015</v>
      </c>
      <c r="C1016" s="53">
        <v>29618.805100000001</v>
      </c>
    </row>
    <row r="1017" spans="1:3" x14ac:dyDescent="0.25">
      <c r="A1017" s="52">
        <f t="shared" si="15"/>
        <v>44476</v>
      </c>
      <c r="B1017" s="53">
        <v>1016</v>
      </c>
      <c r="C1017" s="53">
        <v>29621.011200000001</v>
      </c>
    </row>
    <row r="1018" spans="1:3" x14ac:dyDescent="0.25">
      <c r="A1018" s="52">
        <f t="shared" si="15"/>
        <v>44477</v>
      </c>
      <c r="B1018" s="53">
        <v>1017</v>
      </c>
      <c r="C1018" s="53">
        <v>29623.217400000001</v>
      </c>
    </row>
    <row r="1019" spans="1:3" x14ac:dyDescent="0.25">
      <c r="A1019" s="52">
        <f t="shared" si="15"/>
        <v>44478</v>
      </c>
      <c r="B1019" s="53">
        <v>1018</v>
      </c>
      <c r="C1019" s="53">
        <v>29625.4238</v>
      </c>
    </row>
    <row r="1020" spans="1:3" x14ac:dyDescent="0.25">
      <c r="A1020" s="52">
        <f t="shared" si="15"/>
        <v>44479</v>
      </c>
      <c r="B1020" s="53">
        <v>1019</v>
      </c>
      <c r="C1020" s="53">
        <v>29628.656800000001</v>
      </c>
    </row>
    <row r="1021" spans="1:3" x14ac:dyDescent="0.25">
      <c r="A1021" s="52">
        <f t="shared" si="15"/>
        <v>44480</v>
      </c>
      <c r="B1021" s="53">
        <v>1020</v>
      </c>
      <c r="C1021" s="53">
        <v>29631.890200000002</v>
      </c>
    </row>
    <row r="1022" spans="1:3" x14ac:dyDescent="0.25">
      <c r="A1022" s="52">
        <f t="shared" si="15"/>
        <v>44481</v>
      </c>
      <c r="B1022" s="53">
        <v>1021</v>
      </c>
      <c r="C1022" s="53">
        <v>29635.124</v>
      </c>
    </row>
    <row r="1023" spans="1:3" x14ac:dyDescent="0.25">
      <c r="A1023" s="52">
        <f t="shared" si="15"/>
        <v>44482</v>
      </c>
      <c r="B1023" s="53">
        <v>1022</v>
      </c>
      <c r="C1023" s="53">
        <v>29638.358100000001</v>
      </c>
    </row>
    <row r="1024" spans="1:3" x14ac:dyDescent="0.25">
      <c r="A1024" s="52">
        <f t="shared" si="15"/>
        <v>44483</v>
      </c>
      <c r="B1024" s="53">
        <v>1023</v>
      </c>
      <c r="C1024" s="53">
        <v>29641.5926</v>
      </c>
    </row>
    <row r="1025" spans="1:3" x14ac:dyDescent="0.25">
      <c r="A1025" s="52">
        <f t="shared" si="15"/>
        <v>44484</v>
      </c>
      <c r="B1025" s="53">
        <v>1024</v>
      </c>
      <c r="C1025" s="53">
        <v>29644.827399999998</v>
      </c>
    </row>
    <row r="1026" spans="1:3" x14ac:dyDescent="0.25">
      <c r="A1026" s="52">
        <f t="shared" ref="A1026:A1089" si="16">+$G$4+B1026</f>
        <v>44485</v>
      </c>
      <c r="B1026" s="53">
        <v>1025</v>
      </c>
      <c r="C1026" s="53">
        <v>29648.0625</v>
      </c>
    </row>
    <row r="1027" spans="1:3" x14ac:dyDescent="0.25">
      <c r="A1027" s="52">
        <f t="shared" si="16"/>
        <v>44486</v>
      </c>
      <c r="B1027" s="53">
        <v>1026</v>
      </c>
      <c r="C1027" s="53">
        <v>29651.2981</v>
      </c>
    </row>
    <row r="1028" spans="1:3" x14ac:dyDescent="0.25">
      <c r="A1028" s="52">
        <f t="shared" si="16"/>
        <v>44487</v>
      </c>
      <c r="B1028" s="53">
        <v>1027</v>
      </c>
      <c r="C1028" s="53">
        <v>29654.533899999999</v>
      </c>
    </row>
    <row r="1029" spans="1:3" x14ac:dyDescent="0.25">
      <c r="A1029" s="52">
        <f t="shared" si="16"/>
        <v>44488</v>
      </c>
      <c r="B1029" s="53">
        <v>1028</v>
      </c>
      <c r="C1029" s="53">
        <v>29657.770199999999</v>
      </c>
    </row>
    <row r="1030" spans="1:3" x14ac:dyDescent="0.25">
      <c r="A1030" s="52">
        <f t="shared" si="16"/>
        <v>44489</v>
      </c>
      <c r="B1030" s="53">
        <v>1029</v>
      </c>
      <c r="C1030" s="53">
        <v>29661.006700000002</v>
      </c>
    </row>
    <row r="1031" spans="1:3" x14ac:dyDescent="0.25">
      <c r="A1031" s="52">
        <f t="shared" si="16"/>
        <v>44490</v>
      </c>
      <c r="B1031" s="53">
        <v>1030</v>
      </c>
      <c r="C1031" s="53">
        <v>29664.243699999999</v>
      </c>
    </row>
    <row r="1032" spans="1:3" x14ac:dyDescent="0.25">
      <c r="A1032" s="52">
        <f t="shared" si="16"/>
        <v>44491</v>
      </c>
      <c r="B1032" s="53">
        <v>1031</v>
      </c>
      <c r="C1032" s="53">
        <v>29667.481</v>
      </c>
    </row>
    <row r="1033" spans="1:3" x14ac:dyDescent="0.25">
      <c r="A1033" s="52">
        <f t="shared" si="16"/>
        <v>44492</v>
      </c>
      <c r="B1033" s="53">
        <v>1032</v>
      </c>
      <c r="C1033" s="53">
        <v>29670.7186</v>
      </c>
    </row>
    <row r="1034" spans="1:3" x14ac:dyDescent="0.25">
      <c r="A1034" s="52">
        <f t="shared" si="16"/>
        <v>44493</v>
      </c>
      <c r="B1034" s="53">
        <v>1033</v>
      </c>
      <c r="C1034" s="53">
        <v>29673.956600000001</v>
      </c>
    </row>
    <row r="1035" spans="1:3" x14ac:dyDescent="0.25">
      <c r="A1035" s="52">
        <f t="shared" si="16"/>
        <v>44494</v>
      </c>
      <c r="B1035" s="53">
        <v>1034</v>
      </c>
      <c r="C1035" s="53">
        <v>29677.194899999999</v>
      </c>
    </row>
    <row r="1036" spans="1:3" x14ac:dyDescent="0.25">
      <c r="A1036" s="52">
        <f t="shared" si="16"/>
        <v>44495</v>
      </c>
      <c r="B1036" s="53">
        <v>1035</v>
      </c>
      <c r="C1036" s="53">
        <v>29680.433700000001</v>
      </c>
    </row>
    <row r="1037" spans="1:3" x14ac:dyDescent="0.25">
      <c r="A1037" s="52">
        <f t="shared" si="16"/>
        <v>44496</v>
      </c>
      <c r="B1037" s="53">
        <v>1036</v>
      </c>
      <c r="C1037" s="53">
        <v>29683.672699999999</v>
      </c>
    </row>
    <row r="1038" spans="1:3" x14ac:dyDescent="0.25">
      <c r="A1038" s="52">
        <f t="shared" si="16"/>
        <v>44497</v>
      </c>
      <c r="B1038" s="53">
        <v>1037</v>
      </c>
      <c r="C1038" s="53">
        <v>29686.912100000001</v>
      </c>
    </row>
    <row r="1039" spans="1:3" x14ac:dyDescent="0.25">
      <c r="A1039" s="52">
        <f t="shared" si="16"/>
        <v>44498</v>
      </c>
      <c r="B1039" s="53">
        <v>1038</v>
      </c>
      <c r="C1039" s="53">
        <v>29690.151900000001</v>
      </c>
    </row>
    <row r="1040" spans="1:3" x14ac:dyDescent="0.25">
      <c r="A1040" s="52">
        <f t="shared" si="16"/>
        <v>44499</v>
      </c>
      <c r="B1040" s="53">
        <v>1039</v>
      </c>
      <c r="C1040" s="53">
        <v>29693.392</v>
      </c>
    </row>
    <row r="1041" spans="1:3" x14ac:dyDescent="0.25">
      <c r="A1041" s="52">
        <f t="shared" si="16"/>
        <v>44500</v>
      </c>
      <c r="B1041" s="53">
        <v>1040</v>
      </c>
      <c r="C1041" s="53">
        <v>29696.6325</v>
      </c>
    </row>
    <row r="1042" spans="1:3" x14ac:dyDescent="0.25">
      <c r="A1042" s="52">
        <f t="shared" si="16"/>
        <v>44501</v>
      </c>
      <c r="B1042" s="53">
        <v>1041</v>
      </c>
      <c r="C1042" s="53">
        <v>29699.873299999999</v>
      </c>
    </row>
    <row r="1043" spans="1:3" x14ac:dyDescent="0.25">
      <c r="A1043" s="52">
        <f t="shared" si="16"/>
        <v>44502</v>
      </c>
      <c r="B1043" s="53">
        <v>1042</v>
      </c>
      <c r="C1043" s="53">
        <v>29703.1145</v>
      </c>
    </row>
    <row r="1044" spans="1:3" x14ac:dyDescent="0.25">
      <c r="A1044" s="52">
        <f t="shared" si="16"/>
        <v>44503</v>
      </c>
      <c r="B1044" s="53">
        <v>1043</v>
      </c>
      <c r="C1044" s="53">
        <v>29706.356</v>
      </c>
    </row>
    <row r="1045" spans="1:3" x14ac:dyDescent="0.25">
      <c r="A1045" s="52">
        <f t="shared" si="16"/>
        <v>44504</v>
      </c>
      <c r="B1045" s="53">
        <v>1044</v>
      </c>
      <c r="C1045" s="53">
        <v>29709.597900000001</v>
      </c>
    </row>
    <row r="1046" spans="1:3" x14ac:dyDescent="0.25">
      <c r="A1046" s="52">
        <f t="shared" si="16"/>
        <v>44505</v>
      </c>
      <c r="B1046" s="53">
        <v>1045</v>
      </c>
      <c r="C1046" s="53">
        <v>29712.840100000001</v>
      </c>
    </row>
    <row r="1047" spans="1:3" x14ac:dyDescent="0.25">
      <c r="A1047" s="52">
        <f t="shared" si="16"/>
        <v>44506</v>
      </c>
      <c r="B1047" s="53">
        <v>1046</v>
      </c>
      <c r="C1047" s="53">
        <v>29716.082699999999</v>
      </c>
    </row>
    <row r="1048" spans="1:3" x14ac:dyDescent="0.25">
      <c r="A1048" s="52">
        <f t="shared" si="16"/>
        <v>44507</v>
      </c>
      <c r="B1048" s="53">
        <v>1047</v>
      </c>
      <c r="C1048" s="53">
        <v>29719.3256</v>
      </c>
    </row>
    <row r="1049" spans="1:3" x14ac:dyDescent="0.25">
      <c r="A1049" s="52">
        <f t="shared" si="16"/>
        <v>44508</v>
      </c>
      <c r="B1049" s="53">
        <v>1048</v>
      </c>
      <c r="C1049" s="53">
        <v>29722.568899999998</v>
      </c>
    </row>
    <row r="1050" spans="1:3" x14ac:dyDescent="0.25">
      <c r="A1050" s="52">
        <f t="shared" si="16"/>
        <v>44509</v>
      </c>
      <c r="B1050" s="53">
        <v>1049</v>
      </c>
      <c r="C1050" s="53">
        <v>29725.812600000001</v>
      </c>
    </row>
    <row r="1051" spans="1:3" x14ac:dyDescent="0.25">
      <c r="A1051" s="52">
        <f t="shared" si="16"/>
        <v>44510</v>
      </c>
      <c r="B1051" s="53">
        <v>1050</v>
      </c>
      <c r="C1051" s="53">
        <v>29729.1397</v>
      </c>
    </row>
    <row r="1052" spans="1:3" x14ac:dyDescent="0.25">
      <c r="A1052" s="52">
        <f t="shared" si="16"/>
        <v>44511</v>
      </c>
      <c r="B1052" s="53">
        <v>1051</v>
      </c>
      <c r="C1052" s="53">
        <v>29732.467100000002</v>
      </c>
    </row>
    <row r="1053" spans="1:3" x14ac:dyDescent="0.25">
      <c r="A1053" s="52">
        <f t="shared" si="16"/>
        <v>44512</v>
      </c>
      <c r="B1053" s="53">
        <v>1052</v>
      </c>
      <c r="C1053" s="53">
        <v>29735.794999999998</v>
      </c>
    </row>
    <row r="1054" spans="1:3" x14ac:dyDescent="0.25">
      <c r="A1054" s="52">
        <f t="shared" si="16"/>
        <v>44513</v>
      </c>
      <c r="B1054" s="53">
        <v>1053</v>
      </c>
      <c r="C1054" s="53">
        <v>29739.123200000002</v>
      </c>
    </row>
    <row r="1055" spans="1:3" x14ac:dyDescent="0.25">
      <c r="A1055" s="52">
        <f t="shared" si="16"/>
        <v>44514</v>
      </c>
      <c r="B1055" s="53">
        <v>1054</v>
      </c>
      <c r="C1055" s="53">
        <v>29742.451700000001</v>
      </c>
    </row>
    <row r="1056" spans="1:3" x14ac:dyDescent="0.25">
      <c r="A1056" s="52">
        <f t="shared" si="16"/>
        <v>44515</v>
      </c>
      <c r="B1056" s="53">
        <v>1055</v>
      </c>
      <c r="C1056" s="53">
        <v>29745.780699999999</v>
      </c>
    </row>
    <row r="1057" spans="1:3" x14ac:dyDescent="0.25">
      <c r="A1057" s="52">
        <f t="shared" si="16"/>
        <v>44516</v>
      </c>
      <c r="B1057" s="53">
        <v>1056</v>
      </c>
      <c r="C1057" s="53">
        <v>29749.11</v>
      </c>
    </row>
    <row r="1058" spans="1:3" x14ac:dyDescent="0.25">
      <c r="A1058" s="52">
        <f t="shared" si="16"/>
        <v>44517</v>
      </c>
      <c r="B1058" s="53">
        <v>1057</v>
      </c>
      <c r="C1058" s="53">
        <v>29752.439699999999</v>
      </c>
    </row>
    <row r="1059" spans="1:3" x14ac:dyDescent="0.25">
      <c r="A1059" s="52">
        <f t="shared" si="16"/>
        <v>44518</v>
      </c>
      <c r="B1059" s="53">
        <v>1058</v>
      </c>
      <c r="C1059" s="53">
        <v>29755.769799999998</v>
      </c>
    </row>
    <row r="1060" spans="1:3" x14ac:dyDescent="0.25">
      <c r="A1060" s="52">
        <f t="shared" si="16"/>
        <v>44519</v>
      </c>
      <c r="B1060" s="53">
        <v>1059</v>
      </c>
      <c r="C1060" s="53">
        <v>29759.100200000001</v>
      </c>
    </row>
    <row r="1061" spans="1:3" x14ac:dyDescent="0.25">
      <c r="A1061" s="52">
        <f t="shared" si="16"/>
        <v>44520</v>
      </c>
      <c r="B1061" s="53">
        <v>1060</v>
      </c>
      <c r="C1061" s="53">
        <v>29762.431</v>
      </c>
    </row>
    <row r="1062" spans="1:3" x14ac:dyDescent="0.25">
      <c r="A1062" s="52">
        <f t="shared" si="16"/>
        <v>44521</v>
      </c>
      <c r="B1062" s="53">
        <v>1061</v>
      </c>
      <c r="C1062" s="53">
        <v>29765.762200000001</v>
      </c>
    </row>
    <row r="1063" spans="1:3" x14ac:dyDescent="0.25">
      <c r="A1063" s="52">
        <f t="shared" si="16"/>
        <v>44522</v>
      </c>
      <c r="B1063" s="53">
        <v>1062</v>
      </c>
      <c r="C1063" s="53">
        <v>29769.093799999999</v>
      </c>
    </row>
    <row r="1064" spans="1:3" x14ac:dyDescent="0.25">
      <c r="A1064" s="52">
        <f t="shared" si="16"/>
        <v>44523</v>
      </c>
      <c r="B1064" s="53">
        <v>1063</v>
      </c>
      <c r="C1064" s="53">
        <v>29772.4257</v>
      </c>
    </row>
    <row r="1065" spans="1:3" x14ac:dyDescent="0.25">
      <c r="A1065" s="52">
        <f t="shared" si="16"/>
        <v>44524</v>
      </c>
      <c r="B1065" s="53">
        <v>1064</v>
      </c>
      <c r="C1065" s="53">
        <v>29775.758000000002</v>
      </c>
    </row>
    <row r="1066" spans="1:3" x14ac:dyDescent="0.25">
      <c r="A1066" s="52">
        <f t="shared" si="16"/>
        <v>44525</v>
      </c>
      <c r="B1066" s="53">
        <v>1065</v>
      </c>
      <c r="C1066" s="53">
        <v>29779.090700000001</v>
      </c>
    </row>
    <row r="1067" spans="1:3" x14ac:dyDescent="0.25">
      <c r="A1067" s="52">
        <f t="shared" si="16"/>
        <v>44526</v>
      </c>
      <c r="B1067" s="53">
        <v>1066</v>
      </c>
      <c r="C1067" s="53">
        <v>29782.423699999999</v>
      </c>
    </row>
    <row r="1068" spans="1:3" x14ac:dyDescent="0.25">
      <c r="A1068" s="52">
        <f t="shared" si="16"/>
        <v>44527</v>
      </c>
      <c r="B1068" s="53">
        <v>1067</v>
      </c>
      <c r="C1068" s="53">
        <v>29785.7572</v>
      </c>
    </row>
    <row r="1069" spans="1:3" x14ac:dyDescent="0.25">
      <c r="A1069" s="52">
        <f t="shared" si="16"/>
        <v>44528</v>
      </c>
      <c r="B1069" s="53">
        <v>1068</v>
      </c>
      <c r="C1069" s="53">
        <v>29789.090899999999</v>
      </c>
    </row>
    <row r="1070" spans="1:3" x14ac:dyDescent="0.25">
      <c r="A1070" s="52">
        <f t="shared" si="16"/>
        <v>44529</v>
      </c>
      <c r="B1070" s="53">
        <v>1069</v>
      </c>
      <c r="C1070" s="53">
        <v>29792.4251</v>
      </c>
    </row>
    <row r="1071" spans="1:3" x14ac:dyDescent="0.25">
      <c r="A1071" s="52">
        <f t="shared" si="16"/>
        <v>44530</v>
      </c>
      <c r="B1071" s="53">
        <v>1070</v>
      </c>
      <c r="C1071" s="53">
        <v>29795.759699999999</v>
      </c>
    </row>
    <row r="1072" spans="1:3" x14ac:dyDescent="0.25">
      <c r="A1072" s="52">
        <f t="shared" si="16"/>
        <v>44531</v>
      </c>
      <c r="B1072" s="53">
        <v>1071</v>
      </c>
      <c r="C1072" s="53">
        <v>29799.0946</v>
      </c>
    </row>
    <row r="1073" spans="1:3" x14ac:dyDescent="0.25">
      <c r="A1073" s="52">
        <f t="shared" si="16"/>
        <v>44532</v>
      </c>
      <c r="B1073" s="53">
        <v>1072</v>
      </c>
      <c r="C1073" s="53">
        <v>29802.429899999999</v>
      </c>
    </row>
    <row r="1074" spans="1:3" x14ac:dyDescent="0.25">
      <c r="A1074" s="52">
        <f t="shared" si="16"/>
        <v>44533</v>
      </c>
      <c r="B1074" s="53">
        <v>1073</v>
      </c>
      <c r="C1074" s="53">
        <v>29805.765500000001</v>
      </c>
    </row>
    <row r="1075" spans="1:3" x14ac:dyDescent="0.25">
      <c r="A1075" s="52">
        <f t="shared" si="16"/>
        <v>44534</v>
      </c>
      <c r="B1075" s="53">
        <v>1074</v>
      </c>
      <c r="C1075" s="53">
        <v>29809.101600000002</v>
      </c>
    </row>
    <row r="1076" spans="1:3" x14ac:dyDescent="0.25">
      <c r="A1076" s="52">
        <f t="shared" si="16"/>
        <v>44535</v>
      </c>
      <c r="B1076" s="53">
        <v>1075</v>
      </c>
      <c r="C1076" s="53">
        <v>29812.437999999998</v>
      </c>
    </row>
    <row r="1077" spans="1:3" x14ac:dyDescent="0.25">
      <c r="A1077" s="52">
        <f t="shared" si="16"/>
        <v>44536</v>
      </c>
      <c r="B1077" s="53">
        <v>1076</v>
      </c>
      <c r="C1077" s="53">
        <v>29815.774700000002</v>
      </c>
    </row>
    <row r="1078" spans="1:3" x14ac:dyDescent="0.25">
      <c r="A1078" s="52">
        <f t="shared" si="16"/>
        <v>44537</v>
      </c>
      <c r="B1078" s="53">
        <v>1077</v>
      </c>
      <c r="C1078" s="53">
        <v>29819.1119</v>
      </c>
    </row>
    <row r="1079" spans="1:3" x14ac:dyDescent="0.25">
      <c r="A1079" s="52">
        <f t="shared" si="16"/>
        <v>44538</v>
      </c>
      <c r="B1079" s="53">
        <v>1078</v>
      </c>
      <c r="C1079" s="53">
        <v>29822.449400000001</v>
      </c>
    </row>
    <row r="1080" spans="1:3" x14ac:dyDescent="0.25">
      <c r="A1080" s="52">
        <f t="shared" si="16"/>
        <v>44539</v>
      </c>
      <c r="B1080" s="53">
        <v>1079</v>
      </c>
      <c r="C1080" s="53">
        <v>29825.7873</v>
      </c>
    </row>
    <row r="1081" spans="1:3" x14ac:dyDescent="0.25">
      <c r="A1081" s="52">
        <f t="shared" si="16"/>
        <v>44540</v>
      </c>
      <c r="B1081" s="53">
        <v>1080</v>
      </c>
      <c r="C1081" s="53">
        <v>29826.5818</v>
      </c>
    </row>
    <row r="1082" spans="1:3" x14ac:dyDescent="0.25">
      <c r="A1082" s="52">
        <f t="shared" si="16"/>
        <v>44541</v>
      </c>
      <c r="B1082" s="53">
        <v>1081</v>
      </c>
      <c r="C1082" s="53">
        <v>29827.376199999999</v>
      </c>
    </row>
    <row r="1083" spans="1:3" x14ac:dyDescent="0.25">
      <c r="A1083" s="52">
        <f t="shared" si="16"/>
        <v>44542</v>
      </c>
      <c r="B1083" s="53">
        <v>1082</v>
      </c>
      <c r="C1083" s="53">
        <v>29828.170699999999</v>
      </c>
    </row>
    <row r="1084" spans="1:3" x14ac:dyDescent="0.25">
      <c r="A1084" s="52">
        <f t="shared" si="16"/>
        <v>44543</v>
      </c>
      <c r="B1084" s="53">
        <v>1083</v>
      </c>
      <c r="C1084" s="53">
        <v>29828.965199999999</v>
      </c>
    </row>
    <row r="1085" spans="1:3" x14ac:dyDescent="0.25">
      <c r="A1085" s="52">
        <f t="shared" si="16"/>
        <v>44544</v>
      </c>
      <c r="B1085" s="53">
        <v>1084</v>
      </c>
      <c r="C1085" s="53">
        <v>29829.759699999999</v>
      </c>
    </row>
    <row r="1086" spans="1:3" x14ac:dyDescent="0.25">
      <c r="A1086" s="52">
        <f t="shared" si="16"/>
        <v>44545</v>
      </c>
      <c r="B1086" s="53">
        <v>1085</v>
      </c>
      <c r="C1086" s="53">
        <v>29830.5543</v>
      </c>
    </row>
    <row r="1087" spans="1:3" x14ac:dyDescent="0.25">
      <c r="A1087" s="52">
        <f t="shared" si="16"/>
        <v>44546</v>
      </c>
      <c r="B1087" s="53">
        <v>1086</v>
      </c>
      <c r="C1087" s="53">
        <v>29831.3488</v>
      </c>
    </row>
    <row r="1088" spans="1:3" x14ac:dyDescent="0.25">
      <c r="A1088" s="52">
        <f t="shared" si="16"/>
        <v>44547</v>
      </c>
      <c r="B1088" s="53">
        <v>1087</v>
      </c>
      <c r="C1088" s="53">
        <v>29832.143400000001</v>
      </c>
    </row>
    <row r="1089" spans="1:3" x14ac:dyDescent="0.25">
      <c r="A1089" s="52">
        <f t="shared" si="16"/>
        <v>44548</v>
      </c>
      <c r="B1089" s="53">
        <v>1088</v>
      </c>
      <c r="C1089" s="53">
        <v>29832.937999999998</v>
      </c>
    </row>
    <row r="1090" spans="1:3" x14ac:dyDescent="0.25">
      <c r="A1090" s="52">
        <f t="shared" ref="A1090:A1153" si="17">+$G$4+B1090</f>
        <v>44549</v>
      </c>
      <c r="B1090" s="53">
        <v>1089</v>
      </c>
      <c r="C1090" s="53">
        <v>29833.7327</v>
      </c>
    </row>
    <row r="1091" spans="1:3" x14ac:dyDescent="0.25">
      <c r="A1091" s="52">
        <f t="shared" si="17"/>
        <v>44550</v>
      </c>
      <c r="B1091" s="53">
        <v>1090</v>
      </c>
      <c r="C1091" s="53">
        <v>29834.527300000002</v>
      </c>
    </row>
    <row r="1092" spans="1:3" x14ac:dyDescent="0.25">
      <c r="A1092" s="52">
        <f t="shared" si="17"/>
        <v>44551</v>
      </c>
      <c r="B1092" s="53">
        <v>1091</v>
      </c>
      <c r="C1092" s="53">
        <v>29835.322</v>
      </c>
    </row>
    <row r="1093" spans="1:3" x14ac:dyDescent="0.25">
      <c r="A1093" s="52">
        <f t="shared" si="17"/>
        <v>44552</v>
      </c>
      <c r="B1093" s="53">
        <v>1092</v>
      </c>
      <c r="C1093" s="53">
        <v>29836.116699999999</v>
      </c>
    </row>
    <row r="1094" spans="1:3" x14ac:dyDescent="0.25">
      <c r="A1094" s="52">
        <f t="shared" si="17"/>
        <v>44553</v>
      </c>
      <c r="B1094" s="53">
        <v>1093</v>
      </c>
      <c r="C1094" s="53">
        <v>29836.911400000001</v>
      </c>
    </row>
    <row r="1095" spans="1:3" x14ac:dyDescent="0.25">
      <c r="A1095" s="52">
        <f t="shared" si="17"/>
        <v>44554</v>
      </c>
      <c r="B1095" s="53">
        <v>1094</v>
      </c>
      <c r="C1095" s="53">
        <v>29837.706099999999</v>
      </c>
    </row>
    <row r="1096" spans="1:3" x14ac:dyDescent="0.25">
      <c r="A1096" s="52">
        <f t="shared" si="17"/>
        <v>44555</v>
      </c>
      <c r="B1096" s="53">
        <v>1095</v>
      </c>
      <c r="C1096" s="53">
        <v>29838.500899999999</v>
      </c>
    </row>
    <row r="1097" spans="1:3" x14ac:dyDescent="0.25">
      <c r="A1097" s="52">
        <f t="shared" si="17"/>
        <v>44556</v>
      </c>
      <c r="B1097" s="53">
        <v>1096</v>
      </c>
      <c r="C1097" s="53">
        <v>29839.295600000001</v>
      </c>
    </row>
    <row r="1098" spans="1:3" x14ac:dyDescent="0.25">
      <c r="A1098" s="52">
        <f t="shared" si="17"/>
        <v>44557</v>
      </c>
      <c r="B1098" s="53">
        <v>1097</v>
      </c>
      <c r="C1098" s="53">
        <v>29840.090400000001</v>
      </c>
    </row>
    <row r="1099" spans="1:3" x14ac:dyDescent="0.25">
      <c r="A1099" s="52">
        <f t="shared" si="17"/>
        <v>44558</v>
      </c>
      <c r="B1099" s="53">
        <v>1098</v>
      </c>
      <c r="C1099" s="53">
        <v>29840.885300000002</v>
      </c>
    </row>
    <row r="1100" spans="1:3" x14ac:dyDescent="0.25">
      <c r="A1100" s="52">
        <f t="shared" si="17"/>
        <v>44559</v>
      </c>
      <c r="B1100" s="53">
        <v>1099</v>
      </c>
      <c r="C1100" s="53">
        <v>29841.680100000001</v>
      </c>
    </row>
    <row r="1101" spans="1:3" x14ac:dyDescent="0.25">
      <c r="A1101" s="52">
        <f t="shared" si="17"/>
        <v>44560</v>
      </c>
      <c r="B1101" s="53">
        <v>1100</v>
      </c>
      <c r="C1101" s="53">
        <v>29842.474999999999</v>
      </c>
    </row>
    <row r="1102" spans="1:3" x14ac:dyDescent="0.25">
      <c r="A1102" s="52">
        <f t="shared" si="17"/>
        <v>44561</v>
      </c>
      <c r="B1102" s="53">
        <v>1101</v>
      </c>
      <c r="C1102" s="53">
        <v>29843.269799999998</v>
      </c>
    </row>
    <row r="1103" spans="1:3" x14ac:dyDescent="0.25">
      <c r="A1103" s="52">
        <f t="shared" si="17"/>
        <v>44562</v>
      </c>
      <c r="B1103" s="53">
        <v>1102</v>
      </c>
      <c r="C1103" s="53">
        <v>29844.064699999999</v>
      </c>
    </row>
    <row r="1104" spans="1:3" x14ac:dyDescent="0.25">
      <c r="A1104" s="52">
        <f t="shared" si="17"/>
        <v>44563</v>
      </c>
      <c r="B1104" s="53">
        <v>1103</v>
      </c>
      <c r="C1104" s="53">
        <v>29844.859700000001</v>
      </c>
    </row>
    <row r="1105" spans="1:3" x14ac:dyDescent="0.25">
      <c r="A1105" s="52">
        <f t="shared" si="17"/>
        <v>44564</v>
      </c>
      <c r="B1105" s="53">
        <v>1104</v>
      </c>
      <c r="C1105" s="53">
        <v>29845.654600000002</v>
      </c>
    </row>
    <row r="1106" spans="1:3" x14ac:dyDescent="0.25">
      <c r="A1106" s="52">
        <f t="shared" si="17"/>
        <v>44565</v>
      </c>
      <c r="B1106" s="53">
        <v>1105</v>
      </c>
      <c r="C1106" s="53">
        <v>29846.4496</v>
      </c>
    </row>
    <row r="1107" spans="1:3" x14ac:dyDescent="0.25">
      <c r="A1107" s="52">
        <f t="shared" si="17"/>
        <v>44566</v>
      </c>
      <c r="B1107" s="53">
        <v>1106</v>
      </c>
      <c r="C1107" s="53">
        <v>29847.244600000002</v>
      </c>
    </row>
    <row r="1108" spans="1:3" x14ac:dyDescent="0.25">
      <c r="A1108" s="52">
        <f t="shared" si="17"/>
        <v>44567</v>
      </c>
      <c r="B1108" s="53">
        <v>1107</v>
      </c>
      <c r="C1108" s="53">
        <v>29848.0396</v>
      </c>
    </row>
    <row r="1109" spans="1:3" x14ac:dyDescent="0.25">
      <c r="A1109" s="52">
        <f t="shared" si="17"/>
        <v>44568</v>
      </c>
      <c r="B1109" s="53">
        <v>1108</v>
      </c>
      <c r="C1109" s="53">
        <v>29848.834599999998</v>
      </c>
    </row>
    <row r="1110" spans="1:3" x14ac:dyDescent="0.25">
      <c r="A1110" s="52">
        <f t="shared" si="17"/>
        <v>44569</v>
      </c>
      <c r="B1110" s="53">
        <v>1109</v>
      </c>
      <c r="C1110" s="53">
        <v>29849.629700000001</v>
      </c>
    </row>
    <row r="1111" spans="1:3" x14ac:dyDescent="0.25">
      <c r="A1111" s="52">
        <f t="shared" si="17"/>
        <v>44570</v>
      </c>
      <c r="B1111" s="53">
        <v>1110</v>
      </c>
      <c r="C1111" s="53">
        <v>29850.4247</v>
      </c>
    </row>
    <row r="1112" spans="1:3" x14ac:dyDescent="0.25">
      <c r="A1112" s="52">
        <f t="shared" si="17"/>
        <v>44571</v>
      </c>
      <c r="B1112" s="53">
        <v>1111</v>
      </c>
      <c r="C1112" s="53">
        <v>29851.264999999999</v>
      </c>
    </row>
    <row r="1113" spans="1:3" x14ac:dyDescent="0.25">
      <c r="A1113" s="52">
        <f t="shared" si="17"/>
        <v>44572</v>
      </c>
      <c r="B1113" s="53">
        <v>1112</v>
      </c>
      <c r="C1113" s="53">
        <v>29852.105299999999</v>
      </c>
    </row>
    <row r="1114" spans="1:3" x14ac:dyDescent="0.25">
      <c r="A1114" s="52">
        <f t="shared" si="17"/>
        <v>44573</v>
      </c>
      <c r="B1114" s="53">
        <v>1113</v>
      </c>
      <c r="C1114" s="53">
        <v>29852.9457</v>
      </c>
    </row>
    <row r="1115" spans="1:3" x14ac:dyDescent="0.25">
      <c r="A1115" s="52">
        <f t="shared" si="17"/>
        <v>44574</v>
      </c>
      <c r="B1115" s="53">
        <v>1114</v>
      </c>
      <c r="C1115" s="53">
        <v>29853.786</v>
      </c>
    </row>
    <row r="1116" spans="1:3" x14ac:dyDescent="0.25">
      <c r="A1116" s="52">
        <f t="shared" si="17"/>
        <v>44575</v>
      </c>
      <c r="B1116" s="53">
        <v>1115</v>
      </c>
      <c r="C1116" s="53">
        <v>29854.626400000001</v>
      </c>
    </row>
    <row r="1117" spans="1:3" x14ac:dyDescent="0.25">
      <c r="A1117" s="52">
        <f t="shared" si="17"/>
        <v>44576</v>
      </c>
      <c r="B1117" s="53">
        <v>1116</v>
      </c>
      <c r="C1117" s="53">
        <v>29855.466799999998</v>
      </c>
    </row>
    <row r="1118" spans="1:3" x14ac:dyDescent="0.25">
      <c r="A1118" s="52">
        <f t="shared" si="17"/>
        <v>44577</v>
      </c>
      <c r="B1118" s="53">
        <v>1117</v>
      </c>
      <c r="C1118" s="53">
        <v>29856.3073</v>
      </c>
    </row>
    <row r="1119" spans="1:3" x14ac:dyDescent="0.25">
      <c r="A1119" s="52">
        <f t="shared" si="17"/>
        <v>44578</v>
      </c>
      <c r="B1119" s="53">
        <v>1118</v>
      </c>
      <c r="C1119" s="53">
        <v>29857.147700000001</v>
      </c>
    </row>
    <row r="1120" spans="1:3" x14ac:dyDescent="0.25">
      <c r="A1120" s="52">
        <f t="shared" si="17"/>
        <v>44579</v>
      </c>
      <c r="B1120" s="53">
        <v>1119</v>
      </c>
      <c r="C1120" s="53">
        <v>29857.9882</v>
      </c>
    </row>
    <row r="1121" spans="1:3" x14ac:dyDescent="0.25">
      <c r="A1121" s="52">
        <f t="shared" si="17"/>
        <v>44580</v>
      </c>
      <c r="B1121" s="53">
        <v>1120</v>
      </c>
      <c r="C1121" s="53">
        <v>29858.828699999998</v>
      </c>
    </row>
    <row r="1122" spans="1:3" x14ac:dyDescent="0.25">
      <c r="A1122" s="52">
        <f t="shared" si="17"/>
        <v>44581</v>
      </c>
      <c r="B1122" s="53">
        <v>1121</v>
      </c>
      <c r="C1122" s="53">
        <v>29859.6692</v>
      </c>
    </row>
    <row r="1123" spans="1:3" x14ac:dyDescent="0.25">
      <c r="A1123" s="52">
        <f t="shared" si="17"/>
        <v>44582</v>
      </c>
      <c r="B1123" s="53">
        <v>1122</v>
      </c>
      <c r="C1123" s="53">
        <v>29860.5098</v>
      </c>
    </row>
    <row r="1124" spans="1:3" x14ac:dyDescent="0.25">
      <c r="A1124" s="52">
        <f t="shared" si="17"/>
        <v>44583</v>
      </c>
      <c r="B1124" s="53">
        <v>1123</v>
      </c>
      <c r="C1124" s="53">
        <v>29861.350399999999</v>
      </c>
    </row>
    <row r="1125" spans="1:3" x14ac:dyDescent="0.25">
      <c r="A1125" s="52">
        <f t="shared" si="17"/>
        <v>44584</v>
      </c>
      <c r="B1125" s="53">
        <v>1124</v>
      </c>
      <c r="C1125" s="53">
        <v>29862.190999999999</v>
      </c>
    </row>
    <row r="1126" spans="1:3" x14ac:dyDescent="0.25">
      <c r="A1126" s="52">
        <f t="shared" si="17"/>
        <v>44585</v>
      </c>
      <c r="B1126" s="53">
        <v>1125</v>
      </c>
      <c r="C1126" s="53">
        <v>29863.031599999998</v>
      </c>
    </row>
    <row r="1127" spans="1:3" x14ac:dyDescent="0.25">
      <c r="A1127" s="52">
        <f t="shared" si="17"/>
        <v>44586</v>
      </c>
      <c r="B1127" s="53">
        <v>1126</v>
      </c>
      <c r="C1127" s="53">
        <v>29863.872200000002</v>
      </c>
    </row>
    <row r="1128" spans="1:3" x14ac:dyDescent="0.25">
      <c r="A1128" s="52">
        <f t="shared" si="17"/>
        <v>44587</v>
      </c>
      <c r="B1128" s="53">
        <v>1127</v>
      </c>
      <c r="C1128" s="53">
        <v>29864.712899999999</v>
      </c>
    </row>
    <row r="1129" spans="1:3" x14ac:dyDescent="0.25">
      <c r="A1129" s="52">
        <f t="shared" si="17"/>
        <v>44588</v>
      </c>
      <c r="B1129" s="53">
        <v>1128</v>
      </c>
      <c r="C1129" s="53">
        <v>29865.553599999999</v>
      </c>
    </row>
    <row r="1130" spans="1:3" x14ac:dyDescent="0.25">
      <c r="A1130" s="52">
        <f t="shared" si="17"/>
        <v>44589</v>
      </c>
      <c r="B1130" s="53">
        <v>1129</v>
      </c>
      <c r="C1130" s="53">
        <v>29866.3943</v>
      </c>
    </row>
    <row r="1131" spans="1:3" x14ac:dyDescent="0.25">
      <c r="A1131" s="52">
        <f t="shared" si="17"/>
        <v>44590</v>
      </c>
      <c r="B1131" s="53">
        <v>1130</v>
      </c>
      <c r="C1131" s="53">
        <v>29867.235100000002</v>
      </c>
    </row>
    <row r="1132" spans="1:3" x14ac:dyDescent="0.25">
      <c r="A1132" s="52">
        <f t="shared" si="17"/>
        <v>44591</v>
      </c>
      <c r="B1132" s="53">
        <v>1131</v>
      </c>
      <c r="C1132" s="53">
        <v>29868.075799999999</v>
      </c>
    </row>
    <row r="1133" spans="1:3" x14ac:dyDescent="0.25">
      <c r="A1133" s="52">
        <f t="shared" si="17"/>
        <v>44592</v>
      </c>
      <c r="B1133" s="53">
        <v>1132</v>
      </c>
      <c r="C1133" s="53">
        <v>29868.9166</v>
      </c>
    </row>
    <row r="1134" spans="1:3" x14ac:dyDescent="0.25">
      <c r="A1134" s="52">
        <f t="shared" si="17"/>
        <v>44593</v>
      </c>
      <c r="B1134" s="53">
        <v>1133</v>
      </c>
      <c r="C1134" s="53">
        <v>29869.757399999999</v>
      </c>
    </row>
    <row r="1135" spans="1:3" x14ac:dyDescent="0.25">
      <c r="A1135" s="52">
        <f t="shared" si="17"/>
        <v>44594</v>
      </c>
      <c r="B1135" s="53">
        <v>1134</v>
      </c>
      <c r="C1135" s="53">
        <v>29870.598300000001</v>
      </c>
    </row>
    <row r="1136" spans="1:3" x14ac:dyDescent="0.25">
      <c r="A1136" s="52">
        <f t="shared" si="17"/>
        <v>44595</v>
      </c>
      <c r="B1136" s="53">
        <v>1135</v>
      </c>
      <c r="C1136" s="53">
        <v>29871.4391</v>
      </c>
    </row>
    <row r="1137" spans="1:3" x14ac:dyDescent="0.25">
      <c r="A1137" s="52">
        <f t="shared" si="17"/>
        <v>44596</v>
      </c>
      <c r="B1137" s="53">
        <v>1136</v>
      </c>
      <c r="C1137" s="53">
        <v>29872.28</v>
      </c>
    </row>
    <row r="1138" spans="1:3" x14ac:dyDescent="0.25">
      <c r="A1138" s="52">
        <f t="shared" si="17"/>
        <v>44597</v>
      </c>
      <c r="B1138" s="53">
        <v>1137</v>
      </c>
      <c r="C1138" s="53">
        <v>29873.120900000002</v>
      </c>
    </row>
    <row r="1139" spans="1:3" x14ac:dyDescent="0.25">
      <c r="A1139" s="52">
        <f t="shared" si="17"/>
        <v>44598</v>
      </c>
      <c r="B1139" s="53">
        <v>1138</v>
      </c>
      <c r="C1139" s="53">
        <v>29873.961899999998</v>
      </c>
    </row>
    <row r="1140" spans="1:3" x14ac:dyDescent="0.25">
      <c r="A1140" s="52">
        <f t="shared" si="17"/>
        <v>44599</v>
      </c>
      <c r="B1140" s="53">
        <v>1139</v>
      </c>
      <c r="C1140" s="53">
        <v>29874.802800000001</v>
      </c>
    </row>
    <row r="1141" spans="1:3" x14ac:dyDescent="0.25">
      <c r="A1141" s="52">
        <f t="shared" si="17"/>
        <v>44600</v>
      </c>
      <c r="B1141" s="53">
        <v>1140</v>
      </c>
      <c r="C1141" s="53">
        <v>29875.643800000002</v>
      </c>
    </row>
    <row r="1142" spans="1:3" x14ac:dyDescent="0.25">
      <c r="A1142" s="52">
        <f t="shared" si="17"/>
        <v>44601</v>
      </c>
      <c r="B1142" s="53">
        <v>1141</v>
      </c>
      <c r="C1142" s="53">
        <v>29876.484799999998</v>
      </c>
    </row>
    <row r="1143" spans="1:3" x14ac:dyDescent="0.25">
      <c r="A1143" s="52">
        <f t="shared" si="17"/>
        <v>44602</v>
      </c>
      <c r="B1143" s="53">
        <v>1142</v>
      </c>
      <c r="C1143" s="53">
        <v>29879.625899999999</v>
      </c>
    </row>
    <row r="1144" spans="1:3" x14ac:dyDescent="0.25">
      <c r="A1144" s="52">
        <f t="shared" si="17"/>
        <v>44603</v>
      </c>
      <c r="B1144" s="53">
        <v>1143</v>
      </c>
      <c r="C1144" s="53">
        <v>29882.7673</v>
      </c>
    </row>
    <row r="1145" spans="1:3" x14ac:dyDescent="0.25">
      <c r="A1145" s="52">
        <f t="shared" si="17"/>
        <v>44604</v>
      </c>
      <c r="B1145" s="53">
        <v>1144</v>
      </c>
      <c r="C1145" s="53">
        <v>29885.909</v>
      </c>
    </row>
    <row r="1146" spans="1:3" x14ac:dyDescent="0.25">
      <c r="A1146" s="52">
        <f t="shared" si="17"/>
        <v>44605</v>
      </c>
      <c r="B1146" s="53">
        <v>1145</v>
      </c>
      <c r="C1146" s="53">
        <v>29889.051100000001</v>
      </c>
    </row>
    <row r="1147" spans="1:3" x14ac:dyDescent="0.25">
      <c r="A1147" s="52">
        <f t="shared" si="17"/>
        <v>44606</v>
      </c>
      <c r="B1147" s="53">
        <v>1146</v>
      </c>
      <c r="C1147" s="53">
        <v>29892.1934</v>
      </c>
    </row>
    <row r="1148" spans="1:3" x14ac:dyDescent="0.25">
      <c r="A1148" s="52">
        <f t="shared" si="17"/>
        <v>44607</v>
      </c>
      <c r="B1148" s="53">
        <v>1147</v>
      </c>
      <c r="C1148" s="53">
        <v>29895.336200000002</v>
      </c>
    </row>
    <row r="1149" spans="1:3" x14ac:dyDescent="0.25">
      <c r="A1149" s="52">
        <f t="shared" si="17"/>
        <v>44608</v>
      </c>
      <c r="B1149" s="53">
        <v>1148</v>
      </c>
      <c r="C1149" s="53">
        <v>29898.479200000002</v>
      </c>
    </row>
    <row r="1150" spans="1:3" x14ac:dyDescent="0.25">
      <c r="A1150" s="52">
        <f t="shared" si="17"/>
        <v>44609</v>
      </c>
      <c r="B1150" s="53">
        <v>1149</v>
      </c>
      <c r="C1150" s="53">
        <v>29901.622599999999</v>
      </c>
    </row>
    <row r="1151" spans="1:3" x14ac:dyDescent="0.25">
      <c r="A1151" s="52">
        <f t="shared" si="17"/>
        <v>44610</v>
      </c>
      <c r="B1151" s="53">
        <v>1150</v>
      </c>
      <c r="C1151" s="53">
        <v>29904.766299999999</v>
      </c>
    </row>
    <row r="1152" spans="1:3" x14ac:dyDescent="0.25">
      <c r="A1152" s="52">
        <f t="shared" si="17"/>
        <v>44611</v>
      </c>
      <c r="B1152" s="53">
        <v>1151</v>
      </c>
      <c r="C1152" s="53">
        <v>29907.910400000001</v>
      </c>
    </row>
    <row r="1153" spans="1:3" x14ac:dyDescent="0.25">
      <c r="A1153" s="52">
        <f t="shared" si="17"/>
        <v>44612</v>
      </c>
      <c r="B1153" s="53">
        <v>1152</v>
      </c>
      <c r="C1153" s="53">
        <v>29911.054700000001</v>
      </c>
    </row>
    <row r="1154" spans="1:3" x14ac:dyDescent="0.25">
      <c r="A1154" s="52">
        <f t="shared" ref="A1154:A1217" si="18">+$G$4+B1154</f>
        <v>44613</v>
      </c>
      <c r="B1154" s="53">
        <v>1153</v>
      </c>
      <c r="C1154" s="53">
        <v>29914.199400000001</v>
      </c>
    </row>
    <row r="1155" spans="1:3" x14ac:dyDescent="0.25">
      <c r="A1155" s="52">
        <f t="shared" si="18"/>
        <v>44614</v>
      </c>
      <c r="B1155" s="53">
        <v>1154</v>
      </c>
      <c r="C1155" s="53">
        <v>29917.344499999999</v>
      </c>
    </row>
    <row r="1156" spans="1:3" x14ac:dyDescent="0.25">
      <c r="A1156" s="52">
        <f t="shared" si="18"/>
        <v>44615</v>
      </c>
      <c r="B1156" s="53">
        <v>1155</v>
      </c>
      <c r="C1156" s="53">
        <v>29920.489799999999</v>
      </c>
    </row>
    <row r="1157" spans="1:3" x14ac:dyDescent="0.25">
      <c r="A1157" s="52">
        <f t="shared" si="18"/>
        <v>44616</v>
      </c>
      <c r="B1157" s="53">
        <v>1156</v>
      </c>
      <c r="C1157" s="53">
        <v>29923.6355</v>
      </c>
    </row>
    <row r="1158" spans="1:3" x14ac:dyDescent="0.25">
      <c r="A1158" s="52">
        <f t="shared" si="18"/>
        <v>44617</v>
      </c>
      <c r="B1158" s="53">
        <v>1157</v>
      </c>
      <c r="C1158" s="53">
        <v>29926.781599999998</v>
      </c>
    </row>
    <row r="1159" spans="1:3" x14ac:dyDescent="0.25">
      <c r="A1159" s="52">
        <f t="shared" si="18"/>
        <v>44618</v>
      </c>
      <c r="B1159" s="53">
        <v>1158</v>
      </c>
      <c r="C1159" s="53">
        <v>29929.927899999999</v>
      </c>
    </row>
    <row r="1160" spans="1:3" x14ac:dyDescent="0.25">
      <c r="A1160" s="52">
        <f t="shared" si="18"/>
        <v>44619</v>
      </c>
      <c r="B1160" s="53">
        <v>1159</v>
      </c>
      <c r="C1160" s="53">
        <v>29933.0746</v>
      </c>
    </row>
    <row r="1161" spans="1:3" x14ac:dyDescent="0.25">
      <c r="A1161" s="52">
        <f t="shared" si="18"/>
        <v>44620</v>
      </c>
      <c r="B1161" s="53">
        <v>1160</v>
      </c>
      <c r="C1161" s="53">
        <v>29936.221600000001</v>
      </c>
    </row>
    <row r="1162" spans="1:3" x14ac:dyDescent="0.25">
      <c r="A1162" s="52">
        <f t="shared" si="18"/>
        <v>44621</v>
      </c>
      <c r="B1162" s="53">
        <v>1161</v>
      </c>
      <c r="C1162" s="53">
        <v>29939.368999999999</v>
      </c>
    </row>
    <row r="1163" spans="1:3" x14ac:dyDescent="0.25">
      <c r="A1163" s="52">
        <f t="shared" si="18"/>
        <v>44622</v>
      </c>
      <c r="B1163" s="53">
        <v>1162</v>
      </c>
      <c r="C1163" s="53">
        <v>29942.5167</v>
      </c>
    </row>
    <row r="1164" spans="1:3" x14ac:dyDescent="0.25">
      <c r="A1164" s="52">
        <f t="shared" si="18"/>
        <v>44623</v>
      </c>
      <c r="B1164" s="53">
        <v>1163</v>
      </c>
      <c r="C1164" s="53">
        <v>29945.664700000001</v>
      </c>
    </row>
    <row r="1165" spans="1:3" x14ac:dyDescent="0.25">
      <c r="A1165" s="52">
        <f t="shared" si="18"/>
        <v>44624</v>
      </c>
      <c r="B1165" s="53">
        <v>1164</v>
      </c>
      <c r="C1165" s="53">
        <v>29948.812999999998</v>
      </c>
    </row>
    <row r="1166" spans="1:3" x14ac:dyDescent="0.25">
      <c r="A1166" s="52">
        <f t="shared" si="18"/>
        <v>44625</v>
      </c>
      <c r="B1166" s="53">
        <v>1165</v>
      </c>
      <c r="C1166" s="53">
        <v>29951.9617</v>
      </c>
    </row>
    <row r="1167" spans="1:3" x14ac:dyDescent="0.25">
      <c r="A1167" s="52">
        <f t="shared" si="18"/>
        <v>44626</v>
      </c>
      <c r="B1167" s="53">
        <v>1166</v>
      </c>
      <c r="C1167" s="53">
        <v>29955.110700000001</v>
      </c>
    </row>
    <row r="1168" spans="1:3" x14ac:dyDescent="0.25">
      <c r="A1168" s="52">
        <f t="shared" si="18"/>
        <v>44627</v>
      </c>
      <c r="B1168" s="53">
        <v>1167</v>
      </c>
      <c r="C1168" s="53">
        <v>29958.26</v>
      </c>
    </row>
    <row r="1169" spans="1:3" x14ac:dyDescent="0.25">
      <c r="A1169" s="52">
        <f t="shared" si="18"/>
        <v>44628</v>
      </c>
      <c r="B1169" s="53">
        <v>1168</v>
      </c>
      <c r="C1169" s="53">
        <v>29961.4097</v>
      </c>
    </row>
    <row r="1170" spans="1:3" x14ac:dyDescent="0.25">
      <c r="A1170" s="52">
        <f t="shared" si="18"/>
        <v>44629</v>
      </c>
      <c r="B1170" s="53">
        <v>1169</v>
      </c>
      <c r="C1170" s="53">
        <v>29964.559700000002</v>
      </c>
    </row>
    <row r="1171" spans="1:3" x14ac:dyDescent="0.25">
      <c r="A1171" s="52">
        <f t="shared" si="18"/>
        <v>44630</v>
      </c>
      <c r="B1171" s="53">
        <v>1170</v>
      </c>
      <c r="C1171" s="53">
        <v>29966.816299999999</v>
      </c>
    </row>
    <row r="1172" spans="1:3" x14ac:dyDescent="0.25">
      <c r="A1172" s="52">
        <f t="shared" si="18"/>
        <v>44631</v>
      </c>
      <c r="B1172" s="53">
        <v>1171</v>
      </c>
      <c r="C1172" s="53">
        <v>29969.073100000001</v>
      </c>
    </row>
    <row r="1173" spans="1:3" x14ac:dyDescent="0.25">
      <c r="A1173" s="52">
        <f t="shared" si="18"/>
        <v>44632</v>
      </c>
      <c r="B1173" s="53">
        <v>1172</v>
      </c>
      <c r="C1173" s="53">
        <v>29971.33</v>
      </c>
    </row>
    <row r="1174" spans="1:3" x14ac:dyDescent="0.25">
      <c r="A1174" s="52">
        <f t="shared" si="18"/>
        <v>44633</v>
      </c>
      <c r="B1174" s="53">
        <v>1173</v>
      </c>
      <c r="C1174" s="53">
        <v>29973.587100000001</v>
      </c>
    </row>
    <row r="1175" spans="1:3" x14ac:dyDescent="0.25">
      <c r="A1175" s="52">
        <f t="shared" si="18"/>
        <v>44634</v>
      </c>
      <c r="B1175" s="53">
        <v>1174</v>
      </c>
      <c r="C1175" s="53">
        <v>29975.844400000002</v>
      </c>
    </row>
    <row r="1176" spans="1:3" x14ac:dyDescent="0.25">
      <c r="A1176" s="52">
        <f t="shared" si="18"/>
        <v>44635</v>
      </c>
      <c r="B1176" s="53">
        <v>1175</v>
      </c>
      <c r="C1176" s="53">
        <v>29978.101900000001</v>
      </c>
    </row>
    <row r="1177" spans="1:3" x14ac:dyDescent="0.25">
      <c r="A1177" s="52">
        <f t="shared" si="18"/>
        <v>44636</v>
      </c>
      <c r="B1177" s="53">
        <v>1176</v>
      </c>
      <c r="C1177" s="53">
        <v>29980.359499999999</v>
      </c>
    </row>
    <row r="1178" spans="1:3" x14ac:dyDescent="0.25">
      <c r="A1178" s="52">
        <f t="shared" si="18"/>
        <v>44637</v>
      </c>
      <c r="B1178" s="53">
        <v>1177</v>
      </c>
      <c r="C1178" s="53">
        <v>29982.617300000002</v>
      </c>
    </row>
    <row r="1179" spans="1:3" x14ac:dyDescent="0.25">
      <c r="A1179" s="52">
        <f t="shared" si="18"/>
        <v>44638</v>
      </c>
      <c r="B1179" s="53">
        <v>1178</v>
      </c>
      <c r="C1179" s="53">
        <v>29984.8753</v>
      </c>
    </row>
    <row r="1180" spans="1:3" x14ac:dyDescent="0.25">
      <c r="A1180" s="52">
        <f t="shared" si="18"/>
        <v>44639</v>
      </c>
      <c r="B1180" s="53">
        <v>1179</v>
      </c>
      <c r="C1180" s="53">
        <v>29987.133399999999</v>
      </c>
    </row>
    <row r="1181" spans="1:3" x14ac:dyDescent="0.25">
      <c r="A1181" s="52">
        <f t="shared" si="18"/>
        <v>44640</v>
      </c>
      <c r="B1181" s="53">
        <v>1180</v>
      </c>
      <c r="C1181" s="53">
        <v>29989.391800000001</v>
      </c>
    </row>
    <row r="1182" spans="1:3" x14ac:dyDescent="0.25">
      <c r="A1182" s="52">
        <f t="shared" si="18"/>
        <v>44641</v>
      </c>
      <c r="B1182" s="53">
        <v>1181</v>
      </c>
      <c r="C1182" s="53">
        <v>29991.6502</v>
      </c>
    </row>
    <row r="1183" spans="1:3" x14ac:dyDescent="0.25">
      <c r="A1183" s="52">
        <f t="shared" si="18"/>
        <v>44642</v>
      </c>
      <c r="B1183" s="53">
        <v>1182</v>
      </c>
      <c r="C1183" s="53">
        <v>29993.908899999999</v>
      </c>
    </row>
    <row r="1184" spans="1:3" x14ac:dyDescent="0.25">
      <c r="A1184" s="52">
        <f t="shared" si="18"/>
        <v>44643</v>
      </c>
      <c r="B1184" s="53">
        <v>1183</v>
      </c>
      <c r="C1184" s="53">
        <v>29996.167700000002</v>
      </c>
    </row>
    <row r="1185" spans="1:3" x14ac:dyDescent="0.25">
      <c r="A1185" s="52">
        <f t="shared" si="18"/>
        <v>44644</v>
      </c>
      <c r="B1185" s="53">
        <v>1184</v>
      </c>
      <c r="C1185" s="53">
        <v>29998.4267</v>
      </c>
    </row>
    <row r="1186" spans="1:3" x14ac:dyDescent="0.25">
      <c r="A1186" s="52">
        <f t="shared" si="18"/>
        <v>44645</v>
      </c>
      <c r="B1186" s="53">
        <v>1185</v>
      </c>
      <c r="C1186" s="53">
        <v>30000.6859</v>
      </c>
    </row>
    <row r="1187" spans="1:3" x14ac:dyDescent="0.25">
      <c r="A1187" s="52">
        <f t="shared" si="18"/>
        <v>44646</v>
      </c>
      <c r="B1187" s="53">
        <v>1186</v>
      </c>
      <c r="C1187" s="53">
        <v>30002.945199999998</v>
      </c>
    </row>
    <row r="1188" spans="1:3" x14ac:dyDescent="0.25">
      <c r="A1188" s="52">
        <f t="shared" si="18"/>
        <v>44647</v>
      </c>
      <c r="B1188" s="53">
        <v>1187</v>
      </c>
      <c r="C1188" s="53">
        <v>30005.204699999998</v>
      </c>
    </row>
    <row r="1189" spans="1:3" x14ac:dyDescent="0.25">
      <c r="A1189" s="52">
        <f t="shared" si="18"/>
        <v>44648</v>
      </c>
      <c r="B1189" s="53">
        <v>1188</v>
      </c>
      <c r="C1189" s="53">
        <v>30007.464400000001</v>
      </c>
    </row>
    <row r="1190" spans="1:3" x14ac:dyDescent="0.25">
      <c r="A1190" s="52">
        <f t="shared" si="18"/>
        <v>44649</v>
      </c>
      <c r="B1190" s="53">
        <v>1189</v>
      </c>
      <c r="C1190" s="53">
        <v>30009.724200000001</v>
      </c>
    </row>
    <row r="1191" spans="1:3" x14ac:dyDescent="0.25">
      <c r="A1191" s="52">
        <f t="shared" si="18"/>
        <v>44650</v>
      </c>
      <c r="B1191" s="53">
        <v>1190</v>
      </c>
      <c r="C1191" s="53">
        <v>30011.984199999999</v>
      </c>
    </row>
    <row r="1192" spans="1:3" x14ac:dyDescent="0.25">
      <c r="A1192" s="52">
        <f t="shared" si="18"/>
        <v>44651</v>
      </c>
      <c r="B1192" s="53">
        <v>1191</v>
      </c>
      <c r="C1192" s="53">
        <v>30014.2444</v>
      </c>
    </row>
    <row r="1193" spans="1:3" x14ac:dyDescent="0.25">
      <c r="A1193" s="52">
        <f t="shared" si="18"/>
        <v>44652</v>
      </c>
      <c r="B1193" s="53">
        <v>1192</v>
      </c>
      <c r="C1193" s="53">
        <v>30016.504700000001</v>
      </c>
    </row>
    <row r="1194" spans="1:3" x14ac:dyDescent="0.25">
      <c r="A1194" s="52">
        <f t="shared" si="18"/>
        <v>44653</v>
      </c>
      <c r="B1194" s="53">
        <v>1193</v>
      </c>
      <c r="C1194" s="53">
        <v>30018.765299999999</v>
      </c>
    </row>
    <row r="1195" spans="1:3" x14ac:dyDescent="0.25">
      <c r="A1195" s="52">
        <f t="shared" si="18"/>
        <v>44654</v>
      </c>
      <c r="B1195" s="53">
        <v>1194</v>
      </c>
      <c r="C1195" s="53">
        <v>30021.026000000002</v>
      </c>
    </row>
    <row r="1196" spans="1:3" x14ac:dyDescent="0.25">
      <c r="A1196" s="52">
        <f t="shared" si="18"/>
        <v>44655</v>
      </c>
      <c r="B1196" s="53">
        <v>1195</v>
      </c>
      <c r="C1196" s="53">
        <v>30023.286800000002</v>
      </c>
    </row>
    <row r="1197" spans="1:3" x14ac:dyDescent="0.25">
      <c r="A1197" s="52">
        <f t="shared" si="18"/>
        <v>44656</v>
      </c>
      <c r="B1197" s="53">
        <v>1196</v>
      </c>
      <c r="C1197" s="53">
        <v>30025.547900000001</v>
      </c>
    </row>
    <row r="1198" spans="1:3" x14ac:dyDescent="0.25">
      <c r="A1198" s="52">
        <f t="shared" si="18"/>
        <v>44657</v>
      </c>
      <c r="B1198" s="53">
        <v>1197</v>
      </c>
      <c r="C1198" s="53">
        <v>30027.809099999999</v>
      </c>
    </row>
    <row r="1199" spans="1:3" x14ac:dyDescent="0.25">
      <c r="A1199" s="52">
        <f t="shared" si="18"/>
        <v>44658</v>
      </c>
      <c r="B1199" s="53">
        <v>1198</v>
      </c>
      <c r="C1199" s="53">
        <v>30030.070400000001</v>
      </c>
    </row>
    <row r="1200" spans="1:3" x14ac:dyDescent="0.25">
      <c r="A1200" s="52">
        <f t="shared" si="18"/>
        <v>44659</v>
      </c>
      <c r="B1200" s="53">
        <v>1199</v>
      </c>
      <c r="C1200" s="53">
        <v>30032.331999999999</v>
      </c>
    </row>
    <row r="1201" spans="1:3" x14ac:dyDescent="0.25">
      <c r="A1201" s="52">
        <f t="shared" si="18"/>
        <v>44660</v>
      </c>
      <c r="B1201" s="53">
        <v>1200</v>
      </c>
      <c r="C1201" s="53">
        <v>30034.593700000001</v>
      </c>
    </row>
    <row r="1202" spans="1:3" x14ac:dyDescent="0.25">
      <c r="A1202" s="52">
        <f t="shared" si="18"/>
        <v>44661</v>
      </c>
      <c r="B1202" s="53">
        <v>1201</v>
      </c>
      <c r="C1202" s="53">
        <v>30037.811099999999</v>
      </c>
    </row>
    <row r="1203" spans="1:3" x14ac:dyDescent="0.25">
      <c r="A1203" s="52">
        <f t="shared" si="18"/>
        <v>44662</v>
      </c>
      <c r="B1203" s="53">
        <v>1202</v>
      </c>
      <c r="C1203" s="53">
        <v>30041.0288</v>
      </c>
    </row>
    <row r="1204" spans="1:3" x14ac:dyDescent="0.25">
      <c r="A1204" s="52">
        <f t="shared" si="18"/>
        <v>44663</v>
      </c>
      <c r="B1204" s="53">
        <v>1203</v>
      </c>
      <c r="C1204" s="53">
        <v>30044.246899999998</v>
      </c>
    </row>
    <row r="1205" spans="1:3" x14ac:dyDescent="0.25">
      <c r="A1205" s="52">
        <f t="shared" si="18"/>
        <v>44664</v>
      </c>
      <c r="B1205" s="53">
        <v>1204</v>
      </c>
      <c r="C1205" s="53">
        <v>30047.4653</v>
      </c>
    </row>
    <row r="1206" spans="1:3" x14ac:dyDescent="0.25">
      <c r="A1206" s="52">
        <f t="shared" si="18"/>
        <v>44665</v>
      </c>
      <c r="B1206" s="53">
        <v>1205</v>
      </c>
      <c r="C1206" s="53">
        <v>30050.684000000001</v>
      </c>
    </row>
    <row r="1207" spans="1:3" x14ac:dyDescent="0.25">
      <c r="A1207" s="52">
        <f t="shared" si="18"/>
        <v>44666</v>
      </c>
      <c r="B1207" s="53">
        <v>1206</v>
      </c>
      <c r="C1207" s="53">
        <v>30053.9031</v>
      </c>
    </row>
    <row r="1208" spans="1:3" x14ac:dyDescent="0.25">
      <c r="A1208" s="52">
        <f t="shared" si="18"/>
        <v>44667</v>
      </c>
      <c r="B1208" s="53">
        <v>1207</v>
      </c>
      <c r="C1208" s="53">
        <v>30057.122599999999</v>
      </c>
    </row>
    <row r="1209" spans="1:3" x14ac:dyDescent="0.25">
      <c r="A1209" s="52">
        <f t="shared" si="18"/>
        <v>44668</v>
      </c>
      <c r="B1209" s="53">
        <v>1208</v>
      </c>
      <c r="C1209" s="53">
        <v>30060.342400000001</v>
      </c>
    </row>
    <row r="1210" spans="1:3" x14ac:dyDescent="0.25">
      <c r="A1210" s="52">
        <f t="shared" si="18"/>
        <v>44669</v>
      </c>
      <c r="B1210" s="53">
        <v>1209</v>
      </c>
      <c r="C1210" s="53">
        <v>30063.5625</v>
      </c>
    </row>
    <row r="1211" spans="1:3" x14ac:dyDescent="0.25">
      <c r="A1211" s="52">
        <f t="shared" si="18"/>
        <v>44670</v>
      </c>
      <c r="B1211" s="53">
        <v>1210</v>
      </c>
      <c r="C1211" s="53">
        <v>30066.782999999999</v>
      </c>
    </row>
    <row r="1212" spans="1:3" x14ac:dyDescent="0.25">
      <c r="A1212" s="52">
        <f t="shared" si="18"/>
        <v>44671</v>
      </c>
      <c r="B1212" s="53">
        <v>1211</v>
      </c>
      <c r="C1212" s="53">
        <v>30070.003799999999</v>
      </c>
    </row>
    <row r="1213" spans="1:3" x14ac:dyDescent="0.25">
      <c r="A1213" s="52">
        <f t="shared" si="18"/>
        <v>44672</v>
      </c>
      <c r="B1213" s="53">
        <v>1212</v>
      </c>
      <c r="C1213" s="53">
        <v>30073.224999999999</v>
      </c>
    </row>
    <row r="1214" spans="1:3" x14ac:dyDescent="0.25">
      <c r="A1214" s="52">
        <f t="shared" si="18"/>
        <v>44673</v>
      </c>
      <c r="B1214" s="53">
        <v>1213</v>
      </c>
      <c r="C1214" s="53">
        <v>30076.446499999998</v>
      </c>
    </row>
    <row r="1215" spans="1:3" x14ac:dyDescent="0.25">
      <c r="A1215" s="52">
        <f t="shared" si="18"/>
        <v>44674</v>
      </c>
      <c r="B1215" s="53">
        <v>1214</v>
      </c>
      <c r="C1215" s="53">
        <v>30079.668399999999</v>
      </c>
    </row>
    <row r="1216" spans="1:3" x14ac:dyDescent="0.25">
      <c r="A1216" s="52">
        <f t="shared" si="18"/>
        <v>44675</v>
      </c>
      <c r="B1216" s="53">
        <v>1215</v>
      </c>
      <c r="C1216" s="53">
        <v>30082.890599999999</v>
      </c>
    </row>
    <row r="1217" spans="1:3" x14ac:dyDescent="0.25">
      <c r="A1217" s="52">
        <f t="shared" si="18"/>
        <v>44676</v>
      </c>
      <c r="B1217" s="53">
        <v>1216</v>
      </c>
      <c r="C1217" s="53">
        <v>30086.1132</v>
      </c>
    </row>
    <row r="1218" spans="1:3" x14ac:dyDescent="0.25">
      <c r="A1218" s="52">
        <f t="shared" ref="A1218:A1281" si="19">+$G$4+B1218</f>
        <v>44677</v>
      </c>
      <c r="B1218" s="53">
        <v>1217</v>
      </c>
      <c r="C1218" s="53">
        <v>30089.3361</v>
      </c>
    </row>
    <row r="1219" spans="1:3" x14ac:dyDescent="0.25">
      <c r="A1219" s="52">
        <f t="shared" si="19"/>
        <v>44678</v>
      </c>
      <c r="B1219" s="53">
        <v>1218</v>
      </c>
      <c r="C1219" s="53">
        <v>30092.559300000001</v>
      </c>
    </row>
    <row r="1220" spans="1:3" x14ac:dyDescent="0.25">
      <c r="A1220" s="52">
        <f t="shared" si="19"/>
        <v>44679</v>
      </c>
      <c r="B1220" s="53">
        <v>1219</v>
      </c>
      <c r="C1220" s="53">
        <v>30095.782899999998</v>
      </c>
    </row>
    <row r="1221" spans="1:3" x14ac:dyDescent="0.25">
      <c r="A1221" s="52">
        <f t="shared" si="19"/>
        <v>44680</v>
      </c>
      <c r="B1221" s="53">
        <v>1220</v>
      </c>
      <c r="C1221" s="53">
        <v>30099.006799999999</v>
      </c>
    </row>
    <row r="1222" spans="1:3" x14ac:dyDescent="0.25">
      <c r="A1222" s="52">
        <f t="shared" si="19"/>
        <v>44681</v>
      </c>
      <c r="B1222" s="53">
        <v>1221</v>
      </c>
      <c r="C1222" s="53">
        <v>30102.231100000001</v>
      </c>
    </row>
    <row r="1223" spans="1:3" x14ac:dyDescent="0.25">
      <c r="A1223" s="52">
        <f t="shared" si="19"/>
        <v>44682</v>
      </c>
      <c r="B1223" s="53">
        <v>1222</v>
      </c>
      <c r="C1223" s="53">
        <v>30105.455699999999</v>
      </c>
    </row>
    <row r="1224" spans="1:3" x14ac:dyDescent="0.25">
      <c r="A1224" s="52">
        <f t="shared" si="19"/>
        <v>44683</v>
      </c>
      <c r="B1224" s="53">
        <v>1223</v>
      </c>
      <c r="C1224" s="53">
        <v>30108.680700000001</v>
      </c>
    </row>
    <row r="1225" spans="1:3" x14ac:dyDescent="0.25">
      <c r="A1225" s="52">
        <f t="shared" si="19"/>
        <v>44684</v>
      </c>
      <c r="B1225" s="53">
        <v>1224</v>
      </c>
      <c r="C1225" s="53">
        <v>30111.905999999999</v>
      </c>
    </row>
    <row r="1226" spans="1:3" x14ac:dyDescent="0.25">
      <c r="A1226" s="52">
        <f t="shared" si="19"/>
        <v>44685</v>
      </c>
      <c r="B1226" s="53">
        <v>1225</v>
      </c>
      <c r="C1226" s="53">
        <v>30115.131700000002</v>
      </c>
    </row>
    <row r="1227" spans="1:3" x14ac:dyDescent="0.25">
      <c r="A1227" s="52">
        <f t="shared" si="19"/>
        <v>44686</v>
      </c>
      <c r="B1227" s="53">
        <v>1226</v>
      </c>
      <c r="C1227" s="53">
        <v>30118.3577</v>
      </c>
    </row>
    <row r="1228" spans="1:3" x14ac:dyDescent="0.25">
      <c r="A1228" s="52">
        <f t="shared" si="19"/>
        <v>44687</v>
      </c>
      <c r="B1228" s="53">
        <v>1227</v>
      </c>
      <c r="C1228" s="53">
        <v>30121.583999999999</v>
      </c>
    </row>
    <row r="1229" spans="1:3" x14ac:dyDescent="0.25">
      <c r="A1229" s="52">
        <f t="shared" si="19"/>
        <v>44688</v>
      </c>
      <c r="B1229" s="53">
        <v>1228</v>
      </c>
      <c r="C1229" s="53">
        <v>30124.810700000002</v>
      </c>
    </row>
    <row r="1230" spans="1:3" x14ac:dyDescent="0.25">
      <c r="A1230" s="52">
        <f t="shared" si="19"/>
        <v>44689</v>
      </c>
      <c r="B1230" s="53">
        <v>1229</v>
      </c>
      <c r="C1230" s="53">
        <v>30128.037799999998</v>
      </c>
    </row>
    <row r="1231" spans="1:3" x14ac:dyDescent="0.25">
      <c r="A1231" s="52">
        <f t="shared" si="19"/>
        <v>44690</v>
      </c>
      <c r="B1231" s="53">
        <v>1230</v>
      </c>
      <c r="C1231" s="53">
        <v>30131.265200000002</v>
      </c>
    </row>
    <row r="1232" spans="1:3" x14ac:dyDescent="0.25">
      <c r="A1232" s="52">
        <f t="shared" si="19"/>
        <v>44691</v>
      </c>
      <c r="B1232" s="53">
        <v>1231</v>
      </c>
      <c r="C1232" s="53">
        <v>30133.858800000002</v>
      </c>
    </row>
    <row r="1233" spans="1:3" x14ac:dyDescent="0.25">
      <c r="A1233" s="52">
        <f t="shared" si="19"/>
        <v>44692</v>
      </c>
      <c r="B1233" s="53">
        <v>1232</v>
      </c>
      <c r="C1233" s="53">
        <v>30136.452600000001</v>
      </c>
    </row>
    <row r="1234" spans="1:3" x14ac:dyDescent="0.25">
      <c r="A1234" s="52">
        <f t="shared" si="19"/>
        <v>44693</v>
      </c>
      <c r="B1234" s="53">
        <v>1233</v>
      </c>
      <c r="C1234" s="53">
        <v>30139.046600000001</v>
      </c>
    </row>
    <row r="1235" spans="1:3" x14ac:dyDescent="0.25">
      <c r="A1235" s="52">
        <f t="shared" si="19"/>
        <v>44694</v>
      </c>
      <c r="B1235" s="53">
        <v>1234</v>
      </c>
      <c r="C1235" s="53">
        <v>30141.640899999999</v>
      </c>
    </row>
    <row r="1236" spans="1:3" x14ac:dyDescent="0.25">
      <c r="A1236" s="52">
        <f t="shared" si="19"/>
        <v>44695</v>
      </c>
      <c r="B1236" s="53">
        <v>1235</v>
      </c>
      <c r="C1236" s="53">
        <v>30144.235400000001</v>
      </c>
    </row>
    <row r="1237" spans="1:3" x14ac:dyDescent="0.25">
      <c r="A1237" s="52">
        <f t="shared" si="19"/>
        <v>44696</v>
      </c>
      <c r="B1237" s="53">
        <v>1236</v>
      </c>
      <c r="C1237" s="53">
        <v>30146.830099999999</v>
      </c>
    </row>
    <row r="1238" spans="1:3" x14ac:dyDescent="0.25">
      <c r="A1238" s="52">
        <f t="shared" si="19"/>
        <v>44697</v>
      </c>
      <c r="B1238" s="53">
        <v>1237</v>
      </c>
      <c r="C1238" s="53">
        <v>30149.424999999999</v>
      </c>
    </row>
    <row r="1239" spans="1:3" x14ac:dyDescent="0.25">
      <c r="A1239" s="52">
        <f t="shared" si="19"/>
        <v>44698</v>
      </c>
      <c r="B1239" s="53">
        <v>1238</v>
      </c>
      <c r="C1239" s="53">
        <v>30152.020199999999</v>
      </c>
    </row>
    <row r="1240" spans="1:3" x14ac:dyDescent="0.25">
      <c r="A1240" s="52">
        <f t="shared" si="19"/>
        <v>44699</v>
      </c>
      <c r="B1240" s="53">
        <v>1239</v>
      </c>
      <c r="C1240" s="53">
        <v>30154.6155</v>
      </c>
    </row>
    <row r="1241" spans="1:3" x14ac:dyDescent="0.25">
      <c r="A1241" s="52">
        <f t="shared" si="19"/>
        <v>44700</v>
      </c>
      <c r="B1241" s="53">
        <v>1240</v>
      </c>
      <c r="C1241" s="53">
        <v>30157.2111</v>
      </c>
    </row>
    <row r="1242" spans="1:3" x14ac:dyDescent="0.25">
      <c r="A1242" s="52">
        <f t="shared" si="19"/>
        <v>44701</v>
      </c>
      <c r="B1242" s="53">
        <v>1241</v>
      </c>
      <c r="C1242" s="53">
        <v>30159.807000000001</v>
      </c>
    </row>
    <row r="1243" spans="1:3" x14ac:dyDescent="0.25">
      <c r="A1243" s="52">
        <f t="shared" si="19"/>
        <v>44702</v>
      </c>
      <c r="B1243" s="53">
        <v>1242</v>
      </c>
      <c r="C1243" s="53">
        <v>30162.402999999998</v>
      </c>
    </row>
    <row r="1244" spans="1:3" x14ac:dyDescent="0.25">
      <c r="A1244" s="52">
        <f t="shared" si="19"/>
        <v>44703</v>
      </c>
      <c r="B1244" s="53">
        <v>1243</v>
      </c>
      <c r="C1244" s="53">
        <v>30164.999299999999</v>
      </c>
    </row>
    <row r="1245" spans="1:3" x14ac:dyDescent="0.25">
      <c r="A1245" s="52">
        <f t="shared" si="19"/>
        <v>44704</v>
      </c>
      <c r="B1245" s="53">
        <v>1244</v>
      </c>
      <c r="C1245" s="53">
        <v>30167.595799999999</v>
      </c>
    </row>
    <row r="1246" spans="1:3" x14ac:dyDescent="0.25">
      <c r="A1246" s="52">
        <f t="shared" si="19"/>
        <v>44705</v>
      </c>
      <c r="B1246" s="53">
        <v>1245</v>
      </c>
      <c r="C1246" s="53">
        <v>30170.192500000001</v>
      </c>
    </row>
    <row r="1247" spans="1:3" x14ac:dyDescent="0.25">
      <c r="A1247" s="52">
        <f t="shared" si="19"/>
        <v>44706</v>
      </c>
      <c r="B1247" s="53">
        <v>1246</v>
      </c>
      <c r="C1247" s="53">
        <v>30172.789400000001</v>
      </c>
    </row>
    <row r="1248" spans="1:3" x14ac:dyDescent="0.25">
      <c r="A1248" s="52">
        <f t="shared" si="19"/>
        <v>44707</v>
      </c>
      <c r="B1248" s="53">
        <v>1247</v>
      </c>
      <c r="C1248" s="53">
        <v>30175.386600000002</v>
      </c>
    </row>
    <row r="1249" spans="1:3" x14ac:dyDescent="0.25">
      <c r="A1249" s="52">
        <f t="shared" si="19"/>
        <v>44708</v>
      </c>
      <c r="B1249" s="53">
        <v>1248</v>
      </c>
      <c r="C1249" s="53">
        <v>30177.984</v>
      </c>
    </row>
    <row r="1250" spans="1:3" x14ac:dyDescent="0.25">
      <c r="A1250" s="52">
        <f t="shared" si="19"/>
        <v>44709</v>
      </c>
      <c r="B1250" s="53">
        <v>1249</v>
      </c>
      <c r="C1250" s="53">
        <v>30180.581600000001</v>
      </c>
    </row>
    <row r="1251" spans="1:3" x14ac:dyDescent="0.25">
      <c r="A1251" s="52">
        <f t="shared" si="19"/>
        <v>44710</v>
      </c>
      <c r="B1251" s="53">
        <v>1250</v>
      </c>
      <c r="C1251" s="53">
        <v>30183.179400000001</v>
      </c>
    </row>
    <row r="1252" spans="1:3" x14ac:dyDescent="0.25">
      <c r="A1252" s="52">
        <f t="shared" si="19"/>
        <v>44711</v>
      </c>
      <c r="B1252" s="53">
        <v>1251</v>
      </c>
      <c r="C1252" s="53">
        <v>30185.7775</v>
      </c>
    </row>
    <row r="1253" spans="1:3" x14ac:dyDescent="0.25">
      <c r="A1253" s="52">
        <f t="shared" si="19"/>
        <v>44712</v>
      </c>
      <c r="B1253" s="53">
        <v>1252</v>
      </c>
      <c r="C1253" s="53">
        <v>30188.375800000002</v>
      </c>
    </row>
    <row r="1254" spans="1:3" x14ac:dyDescent="0.25">
      <c r="A1254" s="52">
        <f t="shared" si="19"/>
        <v>44713</v>
      </c>
      <c r="B1254" s="53">
        <v>1253</v>
      </c>
      <c r="C1254" s="53">
        <v>30190.974300000002</v>
      </c>
    </row>
    <row r="1255" spans="1:3" x14ac:dyDescent="0.25">
      <c r="A1255" s="52">
        <f t="shared" si="19"/>
        <v>44714</v>
      </c>
      <c r="B1255" s="53">
        <v>1254</v>
      </c>
      <c r="C1255" s="53">
        <v>30193.573</v>
      </c>
    </row>
    <row r="1256" spans="1:3" x14ac:dyDescent="0.25">
      <c r="A1256" s="52">
        <f t="shared" si="19"/>
        <v>44715</v>
      </c>
      <c r="B1256" s="53">
        <v>1255</v>
      </c>
      <c r="C1256" s="53">
        <v>30196.171999999999</v>
      </c>
    </row>
    <row r="1257" spans="1:3" x14ac:dyDescent="0.25">
      <c r="A1257" s="52">
        <f t="shared" si="19"/>
        <v>44716</v>
      </c>
      <c r="B1257" s="53">
        <v>1256</v>
      </c>
      <c r="C1257" s="53">
        <v>30198.771100000002</v>
      </c>
    </row>
    <row r="1258" spans="1:3" x14ac:dyDescent="0.25">
      <c r="A1258" s="52">
        <f t="shared" si="19"/>
        <v>44717</v>
      </c>
      <c r="B1258" s="53">
        <v>1257</v>
      </c>
      <c r="C1258" s="53">
        <v>30201.370500000001</v>
      </c>
    </row>
    <row r="1259" spans="1:3" x14ac:dyDescent="0.25">
      <c r="A1259" s="52">
        <f t="shared" si="19"/>
        <v>44718</v>
      </c>
      <c r="B1259" s="53">
        <v>1258</v>
      </c>
      <c r="C1259" s="53">
        <v>30203.9702</v>
      </c>
    </row>
    <row r="1260" spans="1:3" x14ac:dyDescent="0.25">
      <c r="A1260" s="52">
        <f t="shared" si="19"/>
        <v>44719</v>
      </c>
      <c r="B1260" s="53">
        <v>1259</v>
      </c>
      <c r="C1260" s="53">
        <v>30206.57</v>
      </c>
    </row>
    <row r="1261" spans="1:3" x14ac:dyDescent="0.25">
      <c r="A1261" s="52">
        <f t="shared" si="19"/>
        <v>44720</v>
      </c>
      <c r="B1261" s="53">
        <v>1260</v>
      </c>
      <c r="C1261" s="53">
        <v>30209.170099999999</v>
      </c>
    </row>
    <row r="1262" spans="1:3" x14ac:dyDescent="0.25">
      <c r="A1262" s="52">
        <f t="shared" si="19"/>
        <v>44721</v>
      </c>
      <c r="B1262" s="53">
        <v>1261</v>
      </c>
      <c r="C1262" s="53">
        <v>30211.770400000001</v>
      </c>
    </row>
    <row r="1263" spans="1:3" x14ac:dyDescent="0.25">
      <c r="A1263" s="52">
        <f t="shared" si="19"/>
        <v>44722</v>
      </c>
      <c r="B1263" s="53">
        <v>1262</v>
      </c>
      <c r="C1263" s="53">
        <v>30214.366600000001</v>
      </c>
    </row>
    <row r="1264" spans="1:3" x14ac:dyDescent="0.25">
      <c r="A1264" s="52">
        <f t="shared" si="19"/>
        <v>44723</v>
      </c>
      <c r="B1264" s="53">
        <v>1263</v>
      </c>
      <c r="C1264" s="53">
        <v>30216.963100000001</v>
      </c>
    </row>
    <row r="1265" spans="1:3" x14ac:dyDescent="0.25">
      <c r="A1265" s="52">
        <f t="shared" si="19"/>
        <v>44724</v>
      </c>
      <c r="B1265" s="53">
        <v>1264</v>
      </c>
      <c r="C1265" s="53">
        <v>30219.559799999999</v>
      </c>
    </row>
    <row r="1266" spans="1:3" x14ac:dyDescent="0.25">
      <c r="A1266" s="52">
        <f t="shared" si="19"/>
        <v>44725</v>
      </c>
      <c r="B1266" s="53">
        <v>1265</v>
      </c>
      <c r="C1266" s="53">
        <v>30222.1567</v>
      </c>
    </row>
    <row r="1267" spans="1:3" x14ac:dyDescent="0.25">
      <c r="A1267" s="52">
        <f t="shared" si="19"/>
        <v>44726</v>
      </c>
      <c r="B1267" s="53">
        <v>1266</v>
      </c>
      <c r="C1267" s="53">
        <v>30224.7539</v>
      </c>
    </row>
    <row r="1268" spans="1:3" x14ac:dyDescent="0.25">
      <c r="A1268" s="52">
        <f t="shared" si="19"/>
        <v>44727</v>
      </c>
      <c r="B1268" s="53">
        <v>1267</v>
      </c>
      <c r="C1268" s="53">
        <v>30227.351299999998</v>
      </c>
    </row>
    <row r="1269" spans="1:3" x14ac:dyDescent="0.25">
      <c r="A1269" s="52">
        <f t="shared" si="19"/>
        <v>44728</v>
      </c>
      <c r="B1269" s="53">
        <v>1268</v>
      </c>
      <c r="C1269" s="53">
        <v>30229.948899999999</v>
      </c>
    </row>
    <row r="1270" spans="1:3" x14ac:dyDescent="0.25">
      <c r="A1270" s="52">
        <f t="shared" si="19"/>
        <v>44729</v>
      </c>
      <c r="B1270" s="53">
        <v>1269</v>
      </c>
      <c r="C1270" s="53">
        <v>30232.546699999999</v>
      </c>
    </row>
    <row r="1271" spans="1:3" x14ac:dyDescent="0.25">
      <c r="A1271" s="52">
        <f t="shared" si="19"/>
        <v>44730</v>
      </c>
      <c r="B1271" s="53">
        <v>1270</v>
      </c>
      <c r="C1271" s="53">
        <v>30235.144700000001</v>
      </c>
    </row>
    <row r="1272" spans="1:3" x14ac:dyDescent="0.25">
      <c r="A1272" s="52">
        <f t="shared" si="19"/>
        <v>44731</v>
      </c>
      <c r="B1272" s="53">
        <v>1271</v>
      </c>
      <c r="C1272" s="53">
        <v>30237.742999999999</v>
      </c>
    </row>
    <row r="1273" spans="1:3" x14ac:dyDescent="0.25">
      <c r="A1273" s="52">
        <f t="shared" si="19"/>
        <v>44732</v>
      </c>
      <c r="B1273" s="53">
        <v>1272</v>
      </c>
      <c r="C1273" s="53">
        <v>30240.341499999999</v>
      </c>
    </row>
    <row r="1274" spans="1:3" x14ac:dyDescent="0.25">
      <c r="A1274" s="52">
        <f t="shared" si="19"/>
        <v>44733</v>
      </c>
      <c r="B1274" s="53">
        <v>1273</v>
      </c>
      <c r="C1274" s="53">
        <v>30242.940200000001</v>
      </c>
    </row>
    <row r="1275" spans="1:3" x14ac:dyDescent="0.25">
      <c r="A1275" s="52">
        <f t="shared" si="19"/>
        <v>44734</v>
      </c>
      <c r="B1275" s="53">
        <v>1274</v>
      </c>
      <c r="C1275" s="53">
        <v>30245.539100000002</v>
      </c>
    </row>
    <row r="1276" spans="1:3" x14ac:dyDescent="0.25">
      <c r="A1276" s="52">
        <f t="shared" si="19"/>
        <v>44735</v>
      </c>
      <c r="B1276" s="53">
        <v>1275</v>
      </c>
      <c r="C1276" s="53">
        <v>30248.138299999999</v>
      </c>
    </row>
    <row r="1277" spans="1:3" x14ac:dyDescent="0.25">
      <c r="A1277" s="52">
        <f t="shared" si="19"/>
        <v>44736</v>
      </c>
      <c r="B1277" s="53">
        <v>1276</v>
      </c>
      <c r="C1277" s="53">
        <v>30250.737700000001</v>
      </c>
    </row>
    <row r="1278" spans="1:3" x14ac:dyDescent="0.25">
      <c r="A1278" s="52">
        <f t="shared" si="19"/>
        <v>44737</v>
      </c>
      <c r="B1278" s="53">
        <v>1277</v>
      </c>
      <c r="C1278" s="53">
        <v>30253.337299999999</v>
      </c>
    </row>
    <row r="1279" spans="1:3" x14ac:dyDescent="0.25">
      <c r="A1279" s="52">
        <f t="shared" si="19"/>
        <v>44738</v>
      </c>
      <c r="B1279" s="53">
        <v>1278</v>
      </c>
      <c r="C1279" s="53">
        <v>30255.937099999999</v>
      </c>
    </row>
    <row r="1280" spans="1:3" x14ac:dyDescent="0.25">
      <c r="A1280" s="52">
        <f t="shared" si="19"/>
        <v>44739</v>
      </c>
      <c r="B1280" s="53">
        <v>1279</v>
      </c>
      <c r="C1280" s="53">
        <v>30258.537199999999</v>
      </c>
    </row>
    <row r="1281" spans="1:3" x14ac:dyDescent="0.25">
      <c r="A1281" s="52">
        <f t="shared" si="19"/>
        <v>44740</v>
      </c>
      <c r="B1281" s="53">
        <v>1280</v>
      </c>
      <c r="C1281" s="53">
        <v>30261.137500000001</v>
      </c>
    </row>
    <row r="1282" spans="1:3" x14ac:dyDescent="0.25">
      <c r="A1282" s="52">
        <f t="shared" ref="A1282:A1345" si="20">+$G$4+B1282</f>
        <v>44741</v>
      </c>
      <c r="B1282" s="53">
        <v>1281</v>
      </c>
      <c r="C1282" s="53">
        <v>30263.738000000001</v>
      </c>
    </row>
    <row r="1283" spans="1:3" x14ac:dyDescent="0.25">
      <c r="A1283" s="52">
        <f t="shared" si="20"/>
        <v>44742</v>
      </c>
      <c r="B1283" s="53">
        <v>1282</v>
      </c>
      <c r="C1283" s="53">
        <v>30266.3387</v>
      </c>
    </row>
    <row r="1284" spans="1:3" x14ac:dyDescent="0.25">
      <c r="A1284" s="52">
        <f t="shared" si="20"/>
        <v>44743</v>
      </c>
      <c r="B1284" s="53">
        <v>1283</v>
      </c>
      <c r="C1284" s="53">
        <v>30268.939600000002</v>
      </c>
    </row>
    <row r="1285" spans="1:3" x14ac:dyDescent="0.25">
      <c r="A1285" s="52">
        <f t="shared" si="20"/>
        <v>44744</v>
      </c>
      <c r="B1285" s="53">
        <v>1284</v>
      </c>
      <c r="C1285" s="53">
        <v>30271.540799999999</v>
      </c>
    </row>
    <row r="1286" spans="1:3" x14ac:dyDescent="0.25">
      <c r="A1286" s="52">
        <f t="shared" si="20"/>
        <v>44745</v>
      </c>
      <c r="B1286" s="53">
        <v>1285</v>
      </c>
      <c r="C1286" s="53">
        <v>30274.142199999998</v>
      </c>
    </row>
    <row r="1287" spans="1:3" x14ac:dyDescent="0.25">
      <c r="A1287" s="52">
        <f t="shared" si="20"/>
        <v>44746</v>
      </c>
      <c r="B1287" s="53">
        <v>1286</v>
      </c>
      <c r="C1287" s="53">
        <v>30276.7438</v>
      </c>
    </row>
    <row r="1288" spans="1:3" x14ac:dyDescent="0.25">
      <c r="A1288" s="52">
        <f t="shared" si="20"/>
        <v>44747</v>
      </c>
      <c r="B1288" s="53">
        <v>1287</v>
      </c>
      <c r="C1288" s="53">
        <v>30279.345700000002</v>
      </c>
    </row>
    <row r="1289" spans="1:3" x14ac:dyDescent="0.25">
      <c r="A1289" s="52">
        <f t="shared" si="20"/>
        <v>44748</v>
      </c>
      <c r="B1289" s="53">
        <v>1288</v>
      </c>
      <c r="C1289" s="53">
        <v>30281.947700000001</v>
      </c>
    </row>
    <row r="1290" spans="1:3" x14ac:dyDescent="0.25">
      <c r="A1290" s="52">
        <f t="shared" si="20"/>
        <v>44749</v>
      </c>
      <c r="B1290" s="53">
        <v>1289</v>
      </c>
      <c r="C1290" s="53">
        <v>30284.55</v>
      </c>
    </row>
    <row r="1291" spans="1:3" x14ac:dyDescent="0.25">
      <c r="A1291" s="52">
        <f t="shared" si="20"/>
        <v>44750</v>
      </c>
      <c r="B1291" s="53">
        <v>1290</v>
      </c>
      <c r="C1291" s="53">
        <v>30287.1525</v>
      </c>
    </row>
    <row r="1292" spans="1:3" x14ac:dyDescent="0.25">
      <c r="A1292" s="52">
        <f t="shared" si="20"/>
        <v>44751</v>
      </c>
      <c r="B1292" s="53">
        <v>1291</v>
      </c>
      <c r="C1292" s="53">
        <v>30289.755300000001</v>
      </c>
    </row>
    <row r="1293" spans="1:3" x14ac:dyDescent="0.25">
      <c r="A1293" s="52">
        <f t="shared" si="20"/>
        <v>44752</v>
      </c>
      <c r="B1293" s="53">
        <v>1292</v>
      </c>
      <c r="C1293" s="53">
        <v>30291.795600000001</v>
      </c>
    </row>
    <row r="1294" spans="1:3" x14ac:dyDescent="0.25">
      <c r="A1294" s="52">
        <f t="shared" si="20"/>
        <v>44753</v>
      </c>
      <c r="B1294" s="53">
        <v>1293</v>
      </c>
      <c r="C1294" s="53">
        <v>30293.835999999999</v>
      </c>
    </row>
    <row r="1295" spans="1:3" x14ac:dyDescent="0.25">
      <c r="A1295" s="52">
        <f t="shared" si="20"/>
        <v>44754</v>
      </c>
      <c r="B1295" s="53">
        <v>1294</v>
      </c>
      <c r="C1295" s="53">
        <v>30295.8766</v>
      </c>
    </row>
    <row r="1296" spans="1:3" x14ac:dyDescent="0.25">
      <c r="A1296" s="52">
        <f t="shared" si="20"/>
        <v>44755</v>
      </c>
      <c r="B1296" s="53">
        <v>1295</v>
      </c>
      <c r="C1296" s="53">
        <v>30297.917300000001</v>
      </c>
    </row>
    <row r="1297" spans="1:3" x14ac:dyDescent="0.25">
      <c r="A1297" s="52">
        <f t="shared" si="20"/>
        <v>44756</v>
      </c>
      <c r="B1297" s="53">
        <v>1296</v>
      </c>
      <c r="C1297" s="53">
        <v>30299.9581</v>
      </c>
    </row>
    <row r="1298" spans="1:3" x14ac:dyDescent="0.25">
      <c r="A1298" s="52">
        <f t="shared" si="20"/>
        <v>44757</v>
      </c>
      <c r="B1298" s="53">
        <v>1297</v>
      </c>
      <c r="C1298" s="53">
        <v>30301.999100000001</v>
      </c>
    </row>
    <row r="1299" spans="1:3" x14ac:dyDescent="0.25">
      <c r="A1299" s="52">
        <f t="shared" si="20"/>
        <v>44758</v>
      </c>
      <c r="B1299" s="53">
        <v>1298</v>
      </c>
      <c r="C1299" s="53">
        <v>30304.040199999999</v>
      </c>
    </row>
    <row r="1300" spans="1:3" x14ac:dyDescent="0.25">
      <c r="A1300" s="52">
        <f t="shared" si="20"/>
        <v>44759</v>
      </c>
      <c r="B1300" s="53">
        <v>1299</v>
      </c>
      <c r="C1300" s="53">
        <v>30306.081399999999</v>
      </c>
    </row>
    <row r="1301" spans="1:3" x14ac:dyDescent="0.25">
      <c r="A1301" s="52">
        <f t="shared" si="20"/>
        <v>44760</v>
      </c>
      <c r="B1301" s="53">
        <v>1300</v>
      </c>
      <c r="C1301" s="53">
        <v>30308.122800000001</v>
      </c>
    </row>
    <row r="1302" spans="1:3" x14ac:dyDescent="0.25">
      <c r="A1302" s="52">
        <f t="shared" si="20"/>
        <v>44761</v>
      </c>
      <c r="B1302" s="53">
        <v>1301</v>
      </c>
      <c r="C1302" s="53">
        <v>30310.164400000001</v>
      </c>
    </row>
    <row r="1303" spans="1:3" x14ac:dyDescent="0.25">
      <c r="A1303" s="52">
        <f t="shared" si="20"/>
        <v>44762</v>
      </c>
      <c r="B1303" s="53">
        <v>1302</v>
      </c>
      <c r="C1303" s="53">
        <v>30312.205999999998</v>
      </c>
    </row>
    <row r="1304" spans="1:3" x14ac:dyDescent="0.25">
      <c r="A1304" s="52">
        <f t="shared" si="20"/>
        <v>44763</v>
      </c>
      <c r="B1304" s="53">
        <v>1303</v>
      </c>
      <c r="C1304" s="53">
        <v>30314.247800000001</v>
      </c>
    </row>
    <row r="1305" spans="1:3" x14ac:dyDescent="0.25">
      <c r="A1305" s="52">
        <f t="shared" si="20"/>
        <v>44764</v>
      </c>
      <c r="B1305" s="53">
        <v>1304</v>
      </c>
      <c r="C1305" s="53">
        <v>30316.289799999999</v>
      </c>
    </row>
    <row r="1306" spans="1:3" x14ac:dyDescent="0.25">
      <c r="A1306" s="52">
        <f t="shared" si="20"/>
        <v>44765</v>
      </c>
      <c r="B1306" s="53">
        <v>1305</v>
      </c>
      <c r="C1306" s="53">
        <v>30318.331900000001</v>
      </c>
    </row>
    <row r="1307" spans="1:3" x14ac:dyDescent="0.25">
      <c r="A1307" s="52">
        <f t="shared" si="20"/>
        <v>44766</v>
      </c>
      <c r="B1307" s="53">
        <v>1306</v>
      </c>
      <c r="C1307" s="53">
        <v>30320.374100000001</v>
      </c>
    </row>
    <row r="1308" spans="1:3" x14ac:dyDescent="0.25">
      <c r="A1308" s="52">
        <f t="shared" si="20"/>
        <v>44767</v>
      </c>
      <c r="B1308" s="53">
        <v>1307</v>
      </c>
      <c r="C1308" s="53">
        <v>30322.416399999998</v>
      </c>
    </row>
    <row r="1309" spans="1:3" x14ac:dyDescent="0.25">
      <c r="A1309" s="52">
        <f t="shared" si="20"/>
        <v>44768</v>
      </c>
      <c r="B1309" s="53">
        <v>1308</v>
      </c>
      <c r="C1309" s="53">
        <v>30324.458900000001</v>
      </c>
    </row>
    <row r="1310" spans="1:3" x14ac:dyDescent="0.25">
      <c r="A1310" s="52">
        <f t="shared" si="20"/>
        <v>44769</v>
      </c>
      <c r="B1310" s="53">
        <v>1309</v>
      </c>
      <c r="C1310" s="53">
        <v>30326.5016</v>
      </c>
    </row>
    <row r="1311" spans="1:3" x14ac:dyDescent="0.25">
      <c r="A1311" s="52">
        <f t="shared" si="20"/>
        <v>44770</v>
      </c>
      <c r="B1311" s="53">
        <v>1310</v>
      </c>
      <c r="C1311" s="53">
        <v>30328.544300000001</v>
      </c>
    </row>
    <row r="1312" spans="1:3" x14ac:dyDescent="0.25">
      <c r="A1312" s="52">
        <f t="shared" si="20"/>
        <v>44771</v>
      </c>
      <c r="B1312" s="53">
        <v>1311</v>
      </c>
      <c r="C1312" s="53">
        <v>30330.587200000002</v>
      </c>
    </row>
    <row r="1313" spans="1:3" x14ac:dyDescent="0.25">
      <c r="A1313" s="52">
        <f t="shared" si="20"/>
        <v>44772</v>
      </c>
      <c r="B1313" s="53">
        <v>1312</v>
      </c>
      <c r="C1313" s="53">
        <v>30332.630300000001</v>
      </c>
    </row>
    <row r="1314" spans="1:3" x14ac:dyDescent="0.25">
      <c r="A1314" s="52">
        <f t="shared" si="20"/>
        <v>44773</v>
      </c>
      <c r="B1314" s="53">
        <v>1313</v>
      </c>
      <c r="C1314" s="53">
        <v>30334.6734</v>
      </c>
    </row>
    <row r="1315" spans="1:3" x14ac:dyDescent="0.25">
      <c r="A1315" s="52">
        <f t="shared" si="20"/>
        <v>44774</v>
      </c>
      <c r="B1315" s="53">
        <v>1314</v>
      </c>
      <c r="C1315" s="53">
        <v>30336.716799999998</v>
      </c>
    </row>
    <row r="1316" spans="1:3" x14ac:dyDescent="0.25">
      <c r="A1316" s="52">
        <f t="shared" si="20"/>
        <v>44775</v>
      </c>
      <c r="B1316" s="53">
        <v>1315</v>
      </c>
      <c r="C1316" s="53">
        <v>30338.760200000001</v>
      </c>
    </row>
    <row r="1317" spans="1:3" x14ac:dyDescent="0.25">
      <c r="A1317" s="52">
        <f t="shared" si="20"/>
        <v>44776</v>
      </c>
      <c r="B1317" s="53">
        <v>1316</v>
      </c>
      <c r="C1317" s="53">
        <v>30340.803800000002</v>
      </c>
    </row>
    <row r="1318" spans="1:3" x14ac:dyDescent="0.25">
      <c r="A1318" s="52">
        <f t="shared" si="20"/>
        <v>44777</v>
      </c>
      <c r="B1318" s="53">
        <v>1317</v>
      </c>
      <c r="C1318" s="53">
        <v>30342.8475</v>
      </c>
    </row>
    <row r="1319" spans="1:3" x14ac:dyDescent="0.25">
      <c r="A1319" s="52">
        <f t="shared" si="20"/>
        <v>44778</v>
      </c>
      <c r="B1319" s="53">
        <v>1318</v>
      </c>
      <c r="C1319" s="53">
        <v>30344.8914</v>
      </c>
    </row>
    <row r="1320" spans="1:3" x14ac:dyDescent="0.25">
      <c r="A1320" s="52">
        <f t="shared" si="20"/>
        <v>44779</v>
      </c>
      <c r="B1320" s="53">
        <v>1319</v>
      </c>
      <c r="C1320" s="53">
        <v>30346.935399999998</v>
      </c>
    </row>
    <row r="1321" spans="1:3" x14ac:dyDescent="0.25">
      <c r="A1321" s="52">
        <f t="shared" si="20"/>
        <v>44780</v>
      </c>
      <c r="B1321" s="53">
        <v>1320</v>
      </c>
      <c r="C1321" s="53">
        <v>30348.979599999999</v>
      </c>
    </row>
    <row r="1322" spans="1:3" x14ac:dyDescent="0.25">
      <c r="A1322" s="52">
        <f t="shared" si="20"/>
        <v>44781</v>
      </c>
      <c r="B1322" s="53">
        <v>1321</v>
      </c>
      <c r="C1322" s="53">
        <v>30351.023799999999</v>
      </c>
    </row>
    <row r="1323" spans="1:3" x14ac:dyDescent="0.25">
      <c r="A1323" s="52">
        <f t="shared" si="20"/>
        <v>44782</v>
      </c>
      <c r="B1323" s="53">
        <v>1322</v>
      </c>
      <c r="C1323" s="53">
        <v>30353.068299999999</v>
      </c>
    </row>
    <row r="1324" spans="1:3" x14ac:dyDescent="0.25">
      <c r="A1324" s="52">
        <f t="shared" si="20"/>
        <v>44783</v>
      </c>
      <c r="B1324" s="53">
        <v>1323</v>
      </c>
      <c r="C1324" s="53">
        <v>30355.8393</v>
      </c>
    </row>
    <row r="1325" spans="1:3" x14ac:dyDescent="0.25">
      <c r="A1325" s="52">
        <f t="shared" si="20"/>
        <v>44784</v>
      </c>
      <c r="B1325" s="53">
        <v>1324</v>
      </c>
      <c r="C1325" s="53">
        <v>30358.6106</v>
      </c>
    </row>
    <row r="1326" spans="1:3" x14ac:dyDescent="0.25">
      <c r="A1326" s="52">
        <f t="shared" si="20"/>
        <v>44785</v>
      </c>
      <c r="B1326" s="53">
        <v>1325</v>
      </c>
      <c r="C1326" s="53">
        <v>30361.382099999999</v>
      </c>
    </row>
    <row r="1327" spans="1:3" x14ac:dyDescent="0.25">
      <c r="A1327" s="52">
        <f t="shared" si="20"/>
        <v>44786</v>
      </c>
      <c r="B1327" s="53">
        <v>1326</v>
      </c>
      <c r="C1327" s="53">
        <v>30364.153900000001</v>
      </c>
    </row>
    <row r="1328" spans="1:3" x14ac:dyDescent="0.25">
      <c r="A1328" s="52">
        <f t="shared" si="20"/>
        <v>44787</v>
      </c>
      <c r="B1328" s="53">
        <v>1327</v>
      </c>
      <c r="C1328" s="53">
        <v>30366.925999999999</v>
      </c>
    </row>
    <row r="1329" spans="1:3" x14ac:dyDescent="0.25">
      <c r="A1329" s="52">
        <f t="shared" si="20"/>
        <v>44788</v>
      </c>
      <c r="B1329" s="53">
        <v>1328</v>
      </c>
      <c r="C1329" s="53">
        <v>30369.6983</v>
      </c>
    </row>
    <row r="1330" spans="1:3" x14ac:dyDescent="0.25">
      <c r="A1330" s="52">
        <f t="shared" si="20"/>
        <v>44789</v>
      </c>
      <c r="B1330" s="53">
        <v>1329</v>
      </c>
      <c r="C1330" s="53">
        <v>30372.470799999999</v>
      </c>
    </row>
    <row r="1331" spans="1:3" x14ac:dyDescent="0.25">
      <c r="A1331" s="52">
        <f t="shared" si="20"/>
        <v>44790</v>
      </c>
      <c r="B1331" s="53">
        <v>1330</v>
      </c>
      <c r="C1331" s="53">
        <v>30375.243699999999</v>
      </c>
    </row>
    <row r="1332" spans="1:3" x14ac:dyDescent="0.25">
      <c r="A1332" s="52">
        <f t="shared" si="20"/>
        <v>44791</v>
      </c>
      <c r="B1332" s="53">
        <v>1331</v>
      </c>
      <c r="C1332" s="53">
        <v>30378.0167</v>
      </c>
    </row>
    <row r="1333" spans="1:3" x14ac:dyDescent="0.25">
      <c r="A1333" s="52">
        <f t="shared" si="20"/>
        <v>44792</v>
      </c>
      <c r="B1333" s="53">
        <v>1332</v>
      </c>
      <c r="C1333" s="53">
        <v>30380.79</v>
      </c>
    </row>
    <row r="1334" spans="1:3" x14ac:dyDescent="0.25">
      <c r="A1334" s="52">
        <f t="shared" si="20"/>
        <v>44793</v>
      </c>
      <c r="B1334" s="53">
        <v>1333</v>
      </c>
      <c r="C1334" s="53">
        <v>30383.563600000001</v>
      </c>
    </row>
    <row r="1335" spans="1:3" x14ac:dyDescent="0.25">
      <c r="A1335" s="52">
        <f t="shared" si="20"/>
        <v>44794</v>
      </c>
      <c r="B1335" s="53">
        <v>1334</v>
      </c>
      <c r="C1335" s="53">
        <v>30386.3374</v>
      </c>
    </row>
    <row r="1336" spans="1:3" x14ac:dyDescent="0.25">
      <c r="A1336" s="52">
        <f t="shared" si="20"/>
        <v>44795</v>
      </c>
      <c r="B1336" s="53">
        <v>1335</v>
      </c>
      <c r="C1336" s="53">
        <v>30389.111499999999</v>
      </c>
    </row>
    <row r="1337" spans="1:3" x14ac:dyDescent="0.25">
      <c r="A1337" s="52">
        <f t="shared" si="20"/>
        <v>44796</v>
      </c>
      <c r="B1337" s="53">
        <v>1336</v>
      </c>
      <c r="C1337" s="53">
        <v>30391.8858</v>
      </c>
    </row>
    <row r="1338" spans="1:3" x14ac:dyDescent="0.25">
      <c r="A1338" s="52">
        <f t="shared" si="20"/>
        <v>44797</v>
      </c>
      <c r="B1338" s="53">
        <v>1337</v>
      </c>
      <c r="C1338" s="53">
        <v>30394.660400000001</v>
      </c>
    </row>
    <row r="1339" spans="1:3" x14ac:dyDescent="0.25">
      <c r="A1339" s="52">
        <f t="shared" si="20"/>
        <v>44798</v>
      </c>
      <c r="B1339" s="53">
        <v>1338</v>
      </c>
      <c r="C1339" s="53">
        <v>30397.4352</v>
      </c>
    </row>
    <row r="1340" spans="1:3" x14ac:dyDescent="0.25">
      <c r="A1340" s="52">
        <f t="shared" si="20"/>
        <v>44799</v>
      </c>
      <c r="B1340" s="53">
        <v>1339</v>
      </c>
      <c r="C1340" s="53">
        <v>30400.210299999999</v>
      </c>
    </row>
    <row r="1341" spans="1:3" x14ac:dyDescent="0.25">
      <c r="A1341" s="52">
        <f t="shared" si="20"/>
        <v>44800</v>
      </c>
      <c r="B1341" s="53">
        <v>1340</v>
      </c>
      <c r="C1341" s="53">
        <v>30402.985700000001</v>
      </c>
    </row>
    <row r="1342" spans="1:3" x14ac:dyDescent="0.25">
      <c r="A1342" s="52">
        <f t="shared" si="20"/>
        <v>44801</v>
      </c>
      <c r="B1342" s="53">
        <v>1341</v>
      </c>
      <c r="C1342" s="53">
        <v>30405.761299999998</v>
      </c>
    </row>
    <row r="1343" spans="1:3" x14ac:dyDescent="0.25">
      <c r="A1343" s="52">
        <f t="shared" si="20"/>
        <v>44802</v>
      </c>
      <c r="B1343" s="53">
        <v>1342</v>
      </c>
      <c r="C1343" s="53">
        <v>30408.537100000001</v>
      </c>
    </row>
    <row r="1344" spans="1:3" x14ac:dyDescent="0.25">
      <c r="A1344" s="52">
        <f t="shared" si="20"/>
        <v>44803</v>
      </c>
      <c r="B1344" s="53">
        <v>1343</v>
      </c>
      <c r="C1344" s="53">
        <v>30411.313200000001</v>
      </c>
    </row>
    <row r="1345" spans="1:3" x14ac:dyDescent="0.25">
      <c r="A1345" s="52">
        <f t="shared" si="20"/>
        <v>44804</v>
      </c>
      <c r="B1345" s="53">
        <v>1344</v>
      </c>
      <c r="C1345" s="53">
        <v>30414.089599999999</v>
      </c>
    </row>
    <row r="1346" spans="1:3" x14ac:dyDescent="0.25">
      <c r="A1346" s="52">
        <f t="shared" ref="A1346:A1409" si="21">+$G$4+B1346</f>
        <v>44805</v>
      </c>
      <c r="B1346" s="53">
        <v>1345</v>
      </c>
      <c r="C1346" s="53">
        <v>30416.8662</v>
      </c>
    </row>
    <row r="1347" spans="1:3" x14ac:dyDescent="0.25">
      <c r="A1347" s="52">
        <f t="shared" si="21"/>
        <v>44806</v>
      </c>
      <c r="B1347" s="53">
        <v>1346</v>
      </c>
      <c r="C1347" s="53">
        <v>30419.643</v>
      </c>
    </row>
    <row r="1348" spans="1:3" x14ac:dyDescent="0.25">
      <c r="A1348" s="52">
        <f t="shared" si="21"/>
        <v>44807</v>
      </c>
      <c r="B1348" s="53">
        <v>1347</v>
      </c>
      <c r="C1348" s="53">
        <v>30422.4202</v>
      </c>
    </row>
    <row r="1349" spans="1:3" x14ac:dyDescent="0.25">
      <c r="A1349" s="52">
        <f t="shared" si="21"/>
        <v>44808</v>
      </c>
      <c r="B1349" s="53">
        <v>1348</v>
      </c>
      <c r="C1349" s="53">
        <v>30425.197499999998</v>
      </c>
    </row>
    <row r="1350" spans="1:3" x14ac:dyDescent="0.25">
      <c r="A1350" s="52">
        <f t="shared" si="21"/>
        <v>44809</v>
      </c>
      <c r="B1350" s="53">
        <v>1349</v>
      </c>
      <c r="C1350" s="53">
        <v>30427.975200000001</v>
      </c>
    </row>
    <row r="1351" spans="1:3" x14ac:dyDescent="0.25">
      <c r="A1351" s="52">
        <f t="shared" si="21"/>
        <v>44810</v>
      </c>
      <c r="B1351" s="53">
        <v>1350</v>
      </c>
      <c r="C1351" s="53">
        <v>30430.753000000001</v>
      </c>
    </row>
    <row r="1352" spans="1:3" x14ac:dyDescent="0.25">
      <c r="A1352" s="52">
        <f t="shared" si="21"/>
        <v>44811</v>
      </c>
      <c r="B1352" s="53">
        <v>1351</v>
      </c>
      <c r="C1352" s="53">
        <v>30433.531200000001</v>
      </c>
    </row>
    <row r="1353" spans="1:3" x14ac:dyDescent="0.25">
      <c r="A1353" s="52">
        <f t="shared" si="21"/>
        <v>44812</v>
      </c>
      <c r="B1353" s="53">
        <v>1352</v>
      </c>
      <c r="C1353" s="53">
        <v>30436.309499999999</v>
      </c>
    </row>
    <row r="1354" spans="1:3" x14ac:dyDescent="0.25">
      <c r="A1354" s="52">
        <f t="shared" si="21"/>
        <v>44813</v>
      </c>
      <c r="B1354" s="53">
        <v>1353</v>
      </c>
      <c r="C1354" s="53">
        <v>30439.088199999998</v>
      </c>
    </row>
    <row r="1355" spans="1:3" x14ac:dyDescent="0.25">
      <c r="A1355" s="52">
        <f t="shared" si="21"/>
        <v>44814</v>
      </c>
      <c r="B1355" s="53">
        <v>1354</v>
      </c>
      <c r="C1355" s="53">
        <v>30441.502199999999</v>
      </c>
    </row>
    <row r="1356" spans="1:3" x14ac:dyDescent="0.25">
      <c r="A1356" s="52">
        <f t="shared" si="21"/>
        <v>44815</v>
      </c>
      <c r="B1356" s="53">
        <v>1355</v>
      </c>
      <c r="C1356" s="53">
        <v>30443.916399999998</v>
      </c>
    </row>
    <row r="1357" spans="1:3" x14ac:dyDescent="0.25">
      <c r="A1357" s="52">
        <f t="shared" si="21"/>
        <v>44816</v>
      </c>
      <c r="B1357" s="53">
        <v>1356</v>
      </c>
      <c r="C1357" s="53">
        <v>30446.3308</v>
      </c>
    </row>
    <row r="1358" spans="1:3" x14ac:dyDescent="0.25">
      <c r="A1358" s="52">
        <f t="shared" si="21"/>
        <v>44817</v>
      </c>
      <c r="B1358" s="53">
        <v>1357</v>
      </c>
      <c r="C1358" s="53">
        <v>30448.7454</v>
      </c>
    </row>
    <row r="1359" spans="1:3" x14ac:dyDescent="0.25">
      <c r="A1359" s="52">
        <f t="shared" si="21"/>
        <v>44818</v>
      </c>
      <c r="B1359" s="53">
        <v>1358</v>
      </c>
      <c r="C1359" s="53">
        <v>30451.160199999998</v>
      </c>
    </row>
    <row r="1360" spans="1:3" x14ac:dyDescent="0.25">
      <c r="A1360" s="52">
        <f t="shared" si="21"/>
        <v>44819</v>
      </c>
      <c r="B1360" s="53">
        <v>1359</v>
      </c>
      <c r="C1360" s="53">
        <v>30453.575199999999</v>
      </c>
    </row>
    <row r="1361" spans="1:3" x14ac:dyDescent="0.25">
      <c r="A1361" s="52">
        <f t="shared" si="21"/>
        <v>44820</v>
      </c>
      <c r="B1361" s="53">
        <v>1360</v>
      </c>
      <c r="C1361" s="53">
        <v>30455.990399999999</v>
      </c>
    </row>
    <row r="1362" spans="1:3" x14ac:dyDescent="0.25">
      <c r="A1362" s="52">
        <f t="shared" si="21"/>
        <v>44821</v>
      </c>
      <c r="B1362" s="53">
        <v>1361</v>
      </c>
      <c r="C1362" s="53">
        <v>30458.405699999999</v>
      </c>
    </row>
    <row r="1363" spans="1:3" x14ac:dyDescent="0.25">
      <c r="A1363" s="52">
        <f t="shared" si="21"/>
        <v>44822</v>
      </c>
      <c r="B1363" s="53">
        <v>1362</v>
      </c>
      <c r="C1363" s="53">
        <v>30460.8213</v>
      </c>
    </row>
    <row r="1364" spans="1:3" x14ac:dyDescent="0.25">
      <c r="A1364" s="52">
        <f t="shared" si="21"/>
        <v>44823</v>
      </c>
      <c r="B1364" s="53">
        <v>1363</v>
      </c>
      <c r="C1364" s="53">
        <v>30463.237000000001</v>
      </c>
    </row>
    <row r="1365" spans="1:3" x14ac:dyDescent="0.25">
      <c r="A1365" s="52">
        <f t="shared" si="21"/>
        <v>44824</v>
      </c>
      <c r="B1365" s="53">
        <v>1364</v>
      </c>
      <c r="C1365" s="53">
        <v>30465.652999999998</v>
      </c>
    </row>
    <row r="1366" spans="1:3" x14ac:dyDescent="0.25">
      <c r="A1366" s="52">
        <f t="shared" si="21"/>
        <v>44825</v>
      </c>
      <c r="B1366" s="53">
        <v>1365</v>
      </c>
      <c r="C1366" s="53">
        <v>30468.069100000001</v>
      </c>
    </row>
    <row r="1367" spans="1:3" x14ac:dyDescent="0.25">
      <c r="A1367" s="52">
        <f t="shared" si="21"/>
        <v>44826</v>
      </c>
      <c r="B1367" s="53">
        <v>1366</v>
      </c>
      <c r="C1367" s="53">
        <v>30470.485400000001</v>
      </c>
    </row>
    <row r="1368" spans="1:3" x14ac:dyDescent="0.25">
      <c r="A1368" s="52">
        <f t="shared" si="21"/>
        <v>44827</v>
      </c>
      <c r="B1368" s="53">
        <v>1367</v>
      </c>
      <c r="C1368" s="53">
        <v>30472.901900000001</v>
      </c>
    </row>
    <row r="1369" spans="1:3" x14ac:dyDescent="0.25">
      <c r="A1369" s="52">
        <f t="shared" si="21"/>
        <v>44828</v>
      </c>
      <c r="B1369" s="53">
        <v>1368</v>
      </c>
      <c r="C1369" s="53">
        <v>30475.318599999999</v>
      </c>
    </row>
    <row r="1370" spans="1:3" x14ac:dyDescent="0.25">
      <c r="A1370" s="52">
        <f t="shared" si="21"/>
        <v>44829</v>
      </c>
      <c r="B1370" s="53">
        <v>1369</v>
      </c>
      <c r="C1370" s="53">
        <v>30477.735499999999</v>
      </c>
    </row>
    <row r="1371" spans="1:3" x14ac:dyDescent="0.25">
      <c r="A1371" s="52">
        <f t="shared" si="21"/>
        <v>44830</v>
      </c>
      <c r="B1371" s="53">
        <v>1370</v>
      </c>
      <c r="C1371" s="53">
        <v>30480.152600000001</v>
      </c>
    </row>
    <row r="1372" spans="1:3" x14ac:dyDescent="0.25">
      <c r="A1372" s="52">
        <f t="shared" si="21"/>
        <v>44831</v>
      </c>
      <c r="B1372" s="53">
        <v>1371</v>
      </c>
      <c r="C1372" s="53">
        <v>30482.569899999999</v>
      </c>
    </row>
    <row r="1373" spans="1:3" x14ac:dyDescent="0.25">
      <c r="A1373" s="52">
        <f t="shared" si="21"/>
        <v>44832</v>
      </c>
      <c r="B1373" s="53">
        <v>1372</v>
      </c>
      <c r="C1373" s="53">
        <v>30484.987400000002</v>
      </c>
    </row>
    <row r="1374" spans="1:3" x14ac:dyDescent="0.25">
      <c r="A1374" s="52">
        <f t="shared" si="21"/>
        <v>44833</v>
      </c>
      <c r="B1374" s="53">
        <v>1373</v>
      </c>
      <c r="C1374" s="53">
        <v>30487.404999999999</v>
      </c>
    </row>
    <row r="1375" spans="1:3" x14ac:dyDescent="0.25">
      <c r="A1375" s="52">
        <f t="shared" si="21"/>
        <v>44834</v>
      </c>
      <c r="B1375" s="53">
        <v>1374</v>
      </c>
      <c r="C1375" s="53">
        <v>30489.822899999999</v>
      </c>
    </row>
    <row r="1376" spans="1:3" x14ac:dyDescent="0.25">
      <c r="A1376" s="52">
        <f t="shared" si="21"/>
        <v>44835</v>
      </c>
      <c r="B1376" s="53">
        <v>1375</v>
      </c>
      <c r="C1376" s="53">
        <v>30492.240900000001</v>
      </c>
    </row>
    <row r="1377" spans="1:3" x14ac:dyDescent="0.25">
      <c r="A1377" s="52">
        <f t="shared" si="21"/>
        <v>44836</v>
      </c>
      <c r="B1377" s="53">
        <v>1376</v>
      </c>
      <c r="C1377" s="53">
        <v>30494.659199999998</v>
      </c>
    </row>
    <row r="1378" spans="1:3" x14ac:dyDescent="0.25">
      <c r="A1378" s="52">
        <f t="shared" si="21"/>
        <v>44837</v>
      </c>
      <c r="B1378" s="53">
        <v>1377</v>
      </c>
      <c r="C1378" s="53">
        <v>30497.077600000001</v>
      </c>
    </row>
    <row r="1379" spans="1:3" x14ac:dyDescent="0.25">
      <c r="A1379" s="52">
        <f t="shared" si="21"/>
        <v>44838</v>
      </c>
      <c r="B1379" s="53">
        <v>1378</v>
      </c>
      <c r="C1379" s="53">
        <v>30499.496200000001</v>
      </c>
    </row>
    <row r="1380" spans="1:3" x14ac:dyDescent="0.25">
      <c r="A1380" s="52">
        <f t="shared" si="21"/>
        <v>44839</v>
      </c>
      <c r="B1380" s="53">
        <v>1379</v>
      </c>
      <c r="C1380" s="53">
        <v>30501.915000000001</v>
      </c>
    </row>
    <row r="1381" spans="1:3" x14ac:dyDescent="0.25">
      <c r="A1381" s="52">
        <f t="shared" si="21"/>
        <v>44840</v>
      </c>
      <c r="B1381" s="53">
        <v>1380</v>
      </c>
      <c r="C1381" s="53">
        <v>30504.333999999999</v>
      </c>
    </row>
    <row r="1382" spans="1:3" x14ac:dyDescent="0.25">
      <c r="A1382" s="52">
        <f t="shared" si="21"/>
        <v>44841</v>
      </c>
      <c r="B1382" s="53">
        <v>1381</v>
      </c>
      <c r="C1382" s="53">
        <v>30506.753199999999</v>
      </c>
    </row>
    <row r="1383" spans="1:3" x14ac:dyDescent="0.25">
      <c r="A1383" s="52">
        <f t="shared" si="21"/>
        <v>44842</v>
      </c>
      <c r="B1383" s="53">
        <v>1382</v>
      </c>
      <c r="C1383" s="53">
        <v>30509.172600000002</v>
      </c>
    </row>
    <row r="1384" spans="1:3" x14ac:dyDescent="0.25">
      <c r="A1384" s="52">
        <f t="shared" si="21"/>
        <v>44843</v>
      </c>
      <c r="B1384" s="53">
        <v>1383</v>
      </c>
      <c r="C1384" s="53">
        <v>30511.592199999999</v>
      </c>
    </row>
    <row r="1385" spans="1:3" x14ac:dyDescent="0.25">
      <c r="A1385" s="52">
        <f t="shared" si="21"/>
        <v>44844</v>
      </c>
      <c r="B1385" s="53">
        <v>1384</v>
      </c>
      <c r="C1385" s="53">
        <v>30515.136999999999</v>
      </c>
    </row>
    <row r="1386" spans="1:3" x14ac:dyDescent="0.25">
      <c r="A1386" s="52">
        <f t="shared" si="21"/>
        <v>44845</v>
      </c>
      <c r="B1386" s="53">
        <v>1385</v>
      </c>
      <c r="C1386" s="53">
        <v>30518.682199999999</v>
      </c>
    </row>
    <row r="1387" spans="1:3" x14ac:dyDescent="0.25">
      <c r="A1387" s="52">
        <f t="shared" si="21"/>
        <v>44846</v>
      </c>
      <c r="B1387" s="53">
        <v>1386</v>
      </c>
      <c r="C1387" s="53">
        <v>30522.227900000002</v>
      </c>
    </row>
    <row r="1388" spans="1:3" x14ac:dyDescent="0.25">
      <c r="A1388" s="52">
        <f t="shared" si="21"/>
        <v>44847</v>
      </c>
      <c r="B1388" s="53">
        <v>1387</v>
      </c>
      <c r="C1388" s="53">
        <v>30525.7739</v>
      </c>
    </row>
    <row r="1389" spans="1:3" x14ac:dyDescent="0.25">
      <c r="A1389" s="52">
        <f t="shared" si="21"/>
        <v>44848</v>
      </c>
      <c r="B1389" s="53">
        <v>1388</v>
      </c>
      <c r="C1389" s="53">
        <v>30529.320400000001</v>
      </c>
    </row>
    <row r="1390" spans="1:3" x14ac:dyDescent="0.25">
      <c r="A1390" s="52">
        <f t="shared" si="21"/>
        <v>44849</v>
      </c>
      <c r="B1390" s="53">
        <v>1389</v>
      </c>
      <c r="C1390" s="53">
        <v>30532.867200000001</v>
      </c>
    </row>
    <row r="1391" spans="1:3" x14ac:dyDescent="0.25">
      <c r="A1391" s="52">
        <f t="shared" si="21"/>
        <v>44850</v>
      </c>
      <c r="B1391" s="53">
        <v>1390</v>
      </c>
      <c r="C1391" s="53">
        <v>30536.414499999999</v>
      </c>
    </row>
    <row r="1392" spans="1:3" x14ac:dyDescent="0.25">
      <c r="A1392" s="52">
        <f t="shared" si="21"/>
        <v>44851</v>
      </c>
      <c r="B1392" s="53">
        <v>1391</v>
      </c>
      <c r="C1392" s="53">
        <v>30539.962200000002</v>
      </c>
    </row>
    <row r="1393" spans="1:3" x14ac:dyDescent="0.25">
      <c r="A1393" s="52">
        <f t="shared" si="21"/>
        <v>44852</v>
      </c>
      <c r="B1393" s="53">
        <v>1392</v>
      </c>
      <c r="C1393" s="53">
        <v>30543.510300000002</v>
      </c>
    </row>
    <row r="1394" spans="1:3" x14ac:dyDescent="0.25">
      <c r="A1394" s="52">
        <f t="shared" si="21"/>
        <v>44853</v>
      </c>
      <c r="B1394" s="53">
        <v>1393</v>
      </c>
      <c r="C1394" s="53">
        <v>30547.058799999999</v>
      </c>
    </row>
    <row r="1395" spans="1:3" x14ac:dyDescent="0.25">
      <c r="A1395" s="52">
        <f t="shared" si="21"/>
        <v>44854</v>
      </c>
      <c r="B1395" s="53">
        <v>1394</v>
      </c>
      <c r="C1395" s="53">
        <v>30550.6077</v>
      </c>
    </row>
    <row r="1396" spans="1:3" x14ac:dyDescent="0.25">
      <c r="A1396" s="52">
        <f t="shared" si="21"/>
        <v>44855</v>
      </c>
      <c r="B1396" s="53">
        <v>1395</v>
      </c>
      <c r="C1396" s="53">
        <v>30554.1571</v>
      </c>
    </row>
    <row r="1397" spans="1:3" x14ac:dyDescent="0.25">
      <c r="A1397" s="52">
        <f t="shared" si="21"/>
        <v>44856</v>
      </c>
      <c r="B1397" s="53">
        <v>1396</v>
      </c>
      <c r="C1397" s="53">
        <v>30557.7068</v>
      </c>
    </row>
    <row r="1398" spans="1:3" x14ac:dyDescent="0.25">
      <c r="A1398" s="52">
        <f t="shared" si="21"/>
        <v>44857</v>
      </c>
      <c r="B1398" s="53">
        <v>1397</v>
      </c>
      <c r="C1398" s="53">
        <v>30561.257000000001</v>
      </c>
    </row>
    <row r="1399" spans="1:3" x14ac:dyDescent="0.25">
      <c r="A1399" s="52">
        <f t="shared" si="21"/>
        <v>44858</v>
      </c>
      <c r="B1399" s="53">
        <v>1398</v>
      </c>
      <c r="C1399" s="53">
        <v>30564.8076</v>
      </c>
    </row>
    <row r="1400" spans="1:3" x14ac:dyDescent="0.25">
      <c r="A1400" s="52">
        <f t="shared" si="21"/>
        <v>44859</v>
      </c>
      <c r="B1400" s="53">
        <v>1399</v>
      </c>
      <c r="C1400" s="53">
        <v>30568.3586</v>
      </c>
    </row>
    <row r="1401" spans="1:3" x14ac:dyDescent="0.25">
      <c r="A1401" s="52">
        <f t="shared" si="21"/>
        <v>44860</v>
      </c>
      <c r="B1401" s="53">
        <v>1400</v>
      </c>
      <c r="C1401" s="53">
        <v>30571.91</v>
      </c>
    </row>
    <row r="1402" spans="1:3" x14ac:dyDescent="0.25">
      <c r="A1402" s="52">
        <f t="shared" si="21"/>
        <v>44861</v>
      </c>
      <c r="B1402" s="53">
        <v>1401</v>
      </c>
      <c r="C1402" s="53">
        <v>30575.461800000001</v>
      </c>
    </row>
    <row r="1403" spans="1:3" x14ac:dyDescent="0.25">
      <c r="A1403" s="52">
        <f t="shared" si="21"/>
        <v>44862</v>
      </c>
      <c r="B1403" s="53">
        <v>1402</v>
      </c>
      <c r="C1403" s="53">
        <v>30579.013999999999</v>
      </c>
    </row>
    <row r="1404" spans="1:3" x14ac:dyDescent="0.25">
      <c r="A1404" s="52">
        <f t="shared" si="21"/>
        <v>44863</v>
      </c>
      <c r="B1404" s="53">
        <v>1403</v>
      </c>
      <c r="C1404" s="53">
        <v>30582.566699999999</v>
      </c>
    </row>
    <row r="1405" spans="1:3" x14ac:dyDescent="0.25">
      <c r="A1405" s="52">
        <f t="shared" si="21"/>
        <v>44864</v>
      </c>
      <c r="B1405" s="53">
        <v>1404</v>
      </c>
      <c r="C1405" s="53">
        <v>30586.119699999999</v>
      </c>
    </row>
    <row r="1406" spans="1:3" x14ac:dyDescent="0.25">
      <c r="A1406" s="52">
        <f t="shared" si="21"/>
        <v>44865</v>
      </c>
      <c r="B1406" s="53">
        <v>1405</v>
      </c>
      <c r="C1406" s="53">
        <v>30589.673200000001</v>
      </c>
    </row>
    <row r="1407" spans="1:3" x14ac:dyDescent="0.25">
      <c r="A1407" s="52">
        <f t="shared" si="21"/>
        <v>44866</v>
      </c>
      <c r="B1407" s="53">
        <v>1406</v>
      </c>
      <c r="C1407" s="53">
        <v>30593.2271</v>
      </c>
    </row>
    <row r="1408" spans="1:3" x14ac:dyDescent="0.25">
      <c r="A1408" s="52">
        <f t="shared" si="21"/>
        <v>44867</v>
      </c>
      <c r="B1408" s="53">
        <v>1407</v>
      </c>
      <c r="C1408" s="53">
        <v>30596.7814</v>
      </c>
    </row>
    <row r="1409" spans="1:3" x14ac:dyDescent="0.25">
      <c r="A1409" s="52">
        <f t="shared" si="21"/>
        <v>44868</v>
      </c>
      <c r="B1409" s="53">
        <v>1408</v>
      </c>
      <c r="C1409" s="53">
        <v>30600.3361</v>
      </c>
    </row>
    <row r="1410" spans="1:3" x14ac:dyDescent="0.25">
      <c r="A1410" s="52">
        <f t="shared" ref="A1410:A1473" si="22">+$G$4+B1410</f>
        <v>44869</v>
      </c>
      <c r="B1410" s="53">
        <v>1409</v>
      </c>
      <c r="C1410" s="53">
        <v>30603.891199999998</v>
      </c>
    </row>
    <row r="1411" spans="1:3" x14ac:dyDescent="0.25">
      <c r="A1411" s="52">
        <f t="shared" si="22"/>
        <v>44870</v>
      </c>
      <c r="B1411" s="53">
        <v>1410</v>
      </c>
      <c r="C1411" s="53">
        <v>30607.4467</v>
      </c>
    </row>
    <row r="1412" spans="1:3" x14ac:dyDescent="0.25">
      <c r="A1412" s="52">
        <f t="shared" si="22"/>
        <v>44871</v>
      </c>
      <c r="B1412" s="53">
        <v>1411</v>
      </c>
      <c r="C1412" s="53">
        <v>30611.002700000001</v>
      </c>
    </row>
    <row r="1413" spans="1:3" x14ac:dyDescent="0.25">
      <c r="A1413" s="52">
        <f t="shared" si="22"/>
        <v>44872</v>
      </c>
      <c r="B1413" s="53">
        <v>1412</v>
      </c>
      <c r="C1413" s="53">
        <v>30614.559000000001</v>
      </c>
    </row>
    <row r="1414" spans="1:3" x14ac:dyDescent="0.25">
      <c r="A1414" s="52">
        <f t="shared" si="22"/>
        <v>44873</v>
      </c>
      <c r="B1414" s="53">
        <v>1413</v>
      </c>
      <c r="C1414" s="53">
        <v>30618.1158</v>
      </c>
    </row>
    <row r="1415" spans="1:3" x14ac:dyDescent="0.25">
      <c r="A1415" s="52">
        <f t="shared" si="22"/>
        <v>44874</v>
      </c>
      <c r="B1415" s="53">
        <v>1414</v>
      </c>
      <c r="C1415" s="53">
        <v>30621.672999999999</v>
      </c>
    </row>
    <row r="1416" spans="1:3" x14ac:dyDescent="0.25">
      <c r="A1416" s="52">
        <f t="shared" si="22"/>
        <v>44875</v>
      </c>
      <c r="B1416" s="53">
        <v>1415</v>
      </c>
      <c r="C1416" s="53">
        <v>30625.320899999999</v>
      </c>
    </row>
    <row r="1417" spans="1:3" x14ac:dyDescent="0.25">
      <c r="A1417" s="52">
        <f t="shared" si="22"/>
        <v>44876</v>
      </c>
      <c r="B1417" s="53">
        <v>1416</v>
      </c>
      <c r="C1417" s="53">
        <v>30628.9692</v>
      </c>
    </row>
    <row r="1418" spans="1:3" x14ac:dyDescent="0.25">
      <c r="A1418" s="52">
        <f t="shared" si="22"/>
        <v>44877</v>
      </c>
      <c r="B1418" s="53">
        <v>1417</v>
      </c>
      <c r="C1418" s="53">
        <v>30632.617999999999</v>
      </c>
    </row>
    <row r="1419" spans="1:3" x14ac:dyDescent="0.25">
      <c r="A1419" s="52">
        <f t="shared" si="22"/>
        <v>44878</v>
      </c>
      <c r="B1419" s="53">
        <v>1418</v>
      </c>
      <c r="C1419" s="53">
        <v>30636.267199999998</v>
      </c>
    </row>
    <row r="1420" spans="1:3" x14ac:dyDescent="0.25">
      <c r="A1420" s="52">
        <f t="shared" si="22"/>
        <v>44879</v>
      </c>
      <c r="B1420" s="53">
        <v>1419</v>
      </c>
      <c r="C1420" s="53">
        <v>30639.9169</v>
      </c>
    </row>
    <row r="1421" spans="1:3" x14ac:dyDescent="0.25">
      <c r="A1421" s="52">
        <f t="shared" si="22"/>
        <v>44880</v>
      </c>
      <c r="B1421" s="53">
        <v>1420</v>
      </c>
      <c r="C1421" s="53">
        <v>30643.566999999999</v>
      </c>
    </row>
    <row r="1422" spans="1:3" x14ac:dyDescent="0.25">
      <c r="A1422" s="52">
        <f t="shared" si="22"/>
        <v>44881</v>
      </c>
      <c r="B1422" s="53">
        <v>1421</v>
      </c>
      <c r="C1422" s="53">
        <v>30647.217499999999</v>
      </c>
    </row>
    <row r="1423" spans="1:3" x14ac:dyDescent="0.25">
      <c r="A1423" s="52">
        <f t="shared" si="22"/>
        <v>44882</v>
      </c>
      <c r="B1423" s="53">
        <v>1422</v>
      </c>
      <c r="C1423" s="53">
        <v>30650.8685</v>
      </c>
    </row>
    <row r="1424" spans="1:3" x14ac:dyDescent="0.25">
      <c r="A1424" s="52">
        <f t="shared" si="22"/>
        <v>44883</v>
      </c>
      <c r="B1424" s="53">
        <v>1423</v>
      </c>
      <c r="C1424" s="53">
        <v>30654.519899999999</v>
      </c>
    </row>
    <row r="1425" spans="1:3" x14ac:dyDescent="0.25">
      <c r="A1425" s="52">
        <f t="shared" si="22"/>
        <v>44884</v>
      </c>
      <c r="B1425" s="53">
        <v>1424</v>
      </c>
      <c r="C1425" s="53">
        <v>30658.171699999999</v>
      </c>
    </row>
    <row r="1426" spans="1:3" x14ac:dyDescent="0.25">
      <c r="A1426" s="52">
        <f t="shared" si="22"/>
        <v>44885</v>
      </c>
      <c r="B1426" s="53">
        <v>1425</v>
      </c>
      <c r="C1426" s="53">
        <v>30661.824000000001</v>
      </c>
    </row>
    <row r="1427" spans="1:3" x14ac:dyDescent="0.25">
      <c r="A1427" s="52">
        <f t="shared" si="22"/>
        <v>44886</v>
      </c>
      <c r="B1427" s="53">
        <v>1426</v>
      </c>
      <c r="C1427" s="53">
        <v>30665.476699999999</v>
      </c>
    </row>
    <row r="1428" spans="1:3" x14ac:dyDescent="0.25">
      <c r="A1428" s="52">
        <f t="shared" si="22"/>
        <v>44887</v>
      </c>
      <c r="B1428" s="53">
        <v>1427</v>
      </c>
      <c r="C1428" s="53">
        <v>30669.129799999999</v>
      </c>
    </row>
    <row r="1429" spans="1:3" x14ac:dyDescent="0.25">
      <c r="A1429" s="52">
        <f t="shared" si="22"/>
        <v>44888</v>
      </c>
      <c r="B1429" s="53">
        <v>1428</v>
      </c>
      <c r="C1429" s="53">
        <v>30672.7834</v>
      </c>
    </row>
    <row r="1430" spans="1:3" x14ac:dyDescent="0.25">
      <c r="A1430" s="52">
        <f t="shared" si="22"/>
        <v>44889</v>
      </c>
      <c r="B1430" s="53">
        <v>1429</v>
      </c>
      <c r="C1430" s="53">
        <v>30676.437399999999</v>
      </c>
    </row>
    <row r="1431" spans="1:3" x14ac:dyDescent="0.25">
      <c r="A1431" s="52">
        <f t="shared" si="22"/>
        <v>44890</v>
      </c>
      <c r="B1431" s="53">
        <v>1430</v>
      </c>
      <c r="C1431" s="53">
        <v>30680.091799999998</v>
      </c>
    </row>
    <row r="1432" spans="1:3" x14ac:dyDescent="0.25">
      <c r="A1432" s="52">
        <f t="shared" si="22"/>
        <v>44891</v>
      </c>
      <c r="B1432" s="53">
        <v>1431</v>
      </c>
      <c r="C1432" s="53">
        <v>30683.7467</v>
      </c>
    </row>
    <row r="1433" spans="1:3" x14ac:dyDescent="0.25">
      <c r="A1433" s="52">
        <f t="shared" si="22"/>
        <v>44892</v>
      </c>
      <c r="B1433" s="53">
        <v>1432</v>
      </c>
      <c r="C1433" s="53">
        <v>30687.401999999998</v>
      </c>
    </row>
    <row r="1434" spans="1:3" x14ac:dyDescent="0.25">
      <c r="A1434" s="52">
        <f t="shared" si="22"/>
        <v>44893</v>
      </c>
      <c r="B1434" s="53">
        <v>1433</v>
      </c>
      <c r="C1434" s="53">
        <v>30691.057700000001</v>
      </c>
    </row>
    <row r="1435" spans="1:3" x14ac:dyDescent="0.25">
      <c r="A1435" s="52">
        <f t="shared" si="22"/>
        <v>44894</v>
      </c>
      <c r="B1435" s="53">
        <v>1434</v>
      </c>
      <c r="C1435" s="53">
        <v>30694.713899999999</v>
      </c>
    </row>
    <row r="1436" spans="1:3" x14ac:dyDescent="0.25">
      <c r="A1436" s="52">
        <f t="shared" si="22"/>
        <v>44895</v>
      </c>
      <c r="B1436" s="53">
        <v>1435</v>
      </c>
      <c r="C1436" s="53">
        <v>30698.370500000001</v>
      </c>
    </row>
    <row r="1437" spans="1:3" x14ac:dyDescent="0.25">
      <c r="A1437" s="52">
        <f t="shared" si="22"/>
        <v>44896</v>
      </c>
      <c r="B1437" s="53">
        <v>1436</v>
      </c>
      <c r="C1437" s="53">
        <v>30702.027600000001</v>
      </c>
    </row>
    <row r="1438" spans="1:3" x14ac:dyDescent="0.25">
      <c r="A1438" s="52">
        <f t="shared" si="22"/>
        <v>44897</v>
      </c>
      <c r="B1438" s="53">
        <v>1437</v>
      </c>
      <c r="C1438" s="53">
        <v>30705.685099999999</v>
      </c>
    </row>
    <row r="1439" spans="1:3" x14ac:dyDescent="0.25">
      <c r="A1439" s="52">
        <f t="shared" si="22"/>
        <v>44898</v>
      </c>
      <c r="B1439" s="53">
        <v>1438</v>
      </c>
      <c r="C1439" s="53">
        <v>30709.343000000001</v>
      </c>
    </row>
    <row r="1440" spans="1:3" x14ac:dyDescent="0.25">
      <c r="A1440" s="52">
        <f t="shared" si="22"/>
        <v>44899</v>
      </c>
      <c r="B1440" s="53">
        <v>1439</v>
      </c>
      <c r="C1440" s="53">
        <v>30713.001400000001</v>
      </c>
    </row>
    <row r="1441" spans="1:3" x14ac:dyDescent="0.25">
      <c r="A1441" s="52">
        <f t="shared" si="22"/>
        <v>44900</v>
      </c>
      <c r="B1441" s="53">
        <v>1440</v>
      </c>
      <c r="C1441" s="53">
        <v>30716.660199999998</v>
      </c>
    </row>
    <row r="1442" spans="1:3" x14ac:dyDescent="0.25">
      <c r="A1442" s="52">
        <f t="shared" si="22"/>
        <v>44901</v>
      </c>
      <c r="B1442" s="53">
        <v>1441</v>
      </c>
      <c r="C1442" s="53">
        <v>30720.3194</v>
      </c>
    </row>
    <row r="1443" spans="1:3" x14ac:dyDescent="0.25">
      <c r="A1443" s="52">
        <f t="shared" si="22"/>
        <v>44902</v>
      </c>
      <c r="B1443" s="53">
        <v>1442</v>
      </c>
      <c r="C1443" s="53">
        <v>30723.9791</v>
      </c>
    </row>
    <row r="1444" spans="1:3" x14ac:dyDescent="0.25">
      <c r="A1444" s="52">
        <f t="shared" si="22"/>
        <v>44903</v>
      </c>
      <c r="B1444" s="53">
        <v>1443</v>
      </c>
      <c r="C1444" s="53">
        <v>30727.639200000001</v>
      </c>
    </row>
    <row r="1445" spans="1:3" x14ac:dyDescent="0.25">
      <c r="A1445" s="52">
        <f t="shared" si="22"/>
        <v>44904</v>
      </c>
      <c r="B1445" s="53">
        <v>1444</v>
      </c>
      <c r="C1445" s="53">
        <v>30731.2997</v>
      </c>
    </row>
    <row r="1446" spans="1:3" x14ac:dyDescent="0.25">
      <c r="A1446" s="52">
        <f t="shared" si="22"/>
        <v>44905</v>
      </c>
      <c r="B1446" s="53">
        <v>1445</v>
      </c>
      <c r="C1446" s="53">
        <v>30732.117099999999</v>
      </c>
    </row>
    <row r="1447" spans="1:3" x14ac:dyDescent="0.25">
      <c r="A1447" s="52">
        <f t="shared" si="22"/>
        <v>44906</v>
      </c>
      <c r="B1447" s="53">
        <v>1446</v>
      </c>
      <c r="C1447" s="53">
        <v>30732.934600000001</v>
      </c>
    </row>
    <row r="1448" spans="1:3" x14ac:dyDescent="0.25">
      <c r="A1448" s="52">
        <f t="shared" si="22"/>
        <v>44907</v>
      </c>
      <c r="B1448" s="53">
        <v>1447</v>
      </c>
      <c r="C1448" s="53">
        <v>30733.752100000002</v>
      </c>
    </row>
    <row r="1449" spans="1:3" x14ac:dyDescent="0.25">
      <c r="A1449" s="52">
        <f t="shared" si="22"/>
        <v>44908</v>
      </c>
      <c r="B1449" s="53">
        <v>1448</v>
      </c>
      <c r="C1449" s="53">
        <v>30734.569500000001</v>
      </c>
    </row>
    <row r="1450" spans="1:3" x14ac:dyDescent="0.25">
      <c r="A1450" s="52">
        <f t="shared" si="22"/>
        <v>44909</v>
      </c>
      <c r="B1450" s="53">
        <v>1449</v>
      </c>
      <c r="C1450" s="53">
        <v>30735.3871</v>
      </c>
    </row>
    <row r="1451" spans="1:3" x14ac:dyDescent="0.25">
      <c r="A1451" s="52">
        <f t="shared" si="22"/>
        <v>44910</v>
      </c>
      <c r="B1451" s="53">
        <v>1450</v>
      </c>
      <c r="C1451" s="53">
        <v>30736.204600000001</v>
      </c>
    </row>
    <row r="1452" spans="1:3" x14ac:dyDescent="0.25">
      <c r="A1452" s="52">
        <f t="shared" si="22"/>
        <v>44911</v>
      </c>
      <c r="B1452" s="53">
        <v>1451</v>
      </c>
      <c r="C1452" s="53">
        <v>30737.022199999999</v>
      </c>
    </row>
    <row r="1453" spans="1:3" x14ac:dyDescent="0.25">
      <c r="A1453" s="52">
        <f t="shared" si="22"/>
        <v>44912</v>
      </c>
      <c r="B1453" s="53">
        <v>1452</v>
      </c>
      <c r="C1453" s="53">
        <v>30737.8397</v>
      </c>
    </row>
    <row r="1454" spans="1:3" x14ac:dyDescent="0.25">
      <c r="A1454" s="52">
        <f t="shared" si="22"/>
        <v>44913</v>
      </c>
      <c r="B1454" s="53">
        <v>1453</v>
      </c>
      <c r="C1454" s="53">
        <v>30738.657299999999</v>
      </c>
    </row>
    <row r="1455" spans="1:3" x14ac:dyDescent="0.25">
      <c r="A1455" s="52">
        <f t="shared" si="22"/>
        <v>44914</v>
      </c>
      <c r="B1455" s="53">
        <v>1454</v>
      </c>
      <c r="C1455" s="53">
        <v>30739.474999999999</v>
      </c>
    </row>
    <row r="1456" spans="1:3" x14ac:dyDescent="0.25">
      <c r="A1456" s="52">
        <f t="shared" si="22"/>
        <v>44915</v>
      </c>
      <c r="B1456" s="53">
        <v>1455</v>
      </c>
      <c r="C1456" s="53">
        <v>30740.292600000001</v>
      </c>
    </row>
    <row r="1457" spans="1:3" x14ac:dyDescent="0.25">
      <c r="A1457" s="52">
        <f t="shared" si="22"/>
        <v>44916</v>
      </c>
      <c r="B1457" s="53">
        <v>1456</v>
      </c>
      <c r="C1457" s="53">
        <v>30741.1103</v>
      </c>
    </row>
    <row r="1458" spans="1:3" x14ac:dyDescent="0.25">
      <c r="A1458" s="52">
        <f t="shared" si="22"/>
        <v>44917</v>
      </c>
      <c r="B1458" s="53">
        <v>1457</v>
      </c>
      <c r="C1458" s="53">
        <v>30741.928</v>
      </c>
    </row>
    <row r="1459" spans="1:3" x14ac:dyDescent="0.25">
      <c r="A1459" s="52">
        <f t="shared" si="22"/>
        <v>44918</v>
      </c>
      <c r="B1459" s="53">
        <v>1458</v>
      </c>
      <c r="C1459" s="53">
        <v>30742.745699999999</v>
      </c>
    </row>
    <row r="1460" spans="1:3" x14ac:dyDescent="0.25">
      <c r="A1460" s="52">
        <f t="shared" si="22"/>
        <v>44919</v>
      </c>
      <c r="B1460" s="53">
        <v>1459</v>
      </c>
      <c r="C1460" s="53">
        <v>30743.563399999999</v>
      </c>
    </row>
    <row r="1461" spans="1:3" x14ac:dyDescent="0.25">
      <c r="A1461" s="52">
        <f t="shared" si="22"/>
        <v>44920</v>
      </c>
      <c r="B1461" s="53">
        <v>1460</v>
      </c>
      <c r="C1461" s="53">
        <v>30744.381099999999</v>
      </c>
    </row>
    <row r="1462" spans="1:3" x14ac:dyDescent="0.25">
      <c r="A1462" s="52">
        <f t="shared" si="22"/>
        <v>44921</v>
      </c>
      <c r="B1462" s="53">
        <v>1461</v>
      </c>
      <c r="C1462" s="53">
        <v>30745.198899999999</v>
      </c>
    </row>
    <row r="1463" spans="1:3" x14ac:dyDescent="0.25">
      <c r="A1463" s="52">
        <f t="shared" si="22"/>
        <v>44922</v>
      </c>
      <c r="B1463" s="53">
        <v>1462</v>
      </c>
      <c r="C1463" s="53">
        <v>30746.0167</v>
      </c>
    </row>
    <row r="1464" spans="1:3" x14ac:dyDescent="0.25">
      <c r="A1464" s="52">
        <f t="shared" si="22"/>
        <v>44923</v>
      </c>
      <c r="B1464" s="53">
        <v>1463</v>
      </c>
      <c r="C1464" s="53">
        <v>30746.834500000001</v>
      </c>
    </row>
    <row r="1465" spans="1:3" x14ac:dyDescent="0.25">
      <c r="A1465" s="52">
        <f t="shared" si="22"/>
        <v>44924</v>
      </c>
      <c r="B1465" s="53">
        <v>1464</v>
      </c>
      <c r="C1465" s="53">
        <v>30747.652399999999</v>
      </c>
    </row>
    <row r="1466" spans="1:3" x14ac:dyDescent="0.25">
      <c r="A1466" s="52">
        <f t="shared" si="22"/>
        <v>44925</v>
      </c>
      <c r="B1466" s="53">
        <v>1465</v>
      </c>
      <c r="C1466" s="53">
        <v>30748.4702</v>
      </c>
    </row>
    <row r="1467" spans="1:3" x14ac:dyDescent="0.25">
      <c r="A1467" s="52">
        <f t="shared" si="22"/>
        <v>44926</v>
      </c>
      <c r="B1467" s="53">
        <v>1466</v>
      </c>
      <c r="C1467" s="53">
        <v>30749.288100000002</v>
      </c>
    </row>
    <row r="1468" spans="1:3" x14ac:dyDescent="0.25">
      <c r="A1468" s="52">
        <f t="shared" si="22"/>
        <v>44927</v>
      </c>
      <c r="B1468" s="53">
        <v>1467</v>
      </c>
      <c r="C1468" s="53">
        <v>30750.106</v>
      </c>
    </row>
    <row r="1469" spans="1:3" x14ac:dyDescent="0.25">
      <c r="A1469" s="52">
        <f t="shared" si="22"/>
        <v>44928</v>
      </c>
      <c r="B1469" s="53">
        <v>1468</v>
      </c>
      <c r="C1469" s="53">
        <v>30750.923999999999</v>
      </c>
    </row>
    <row r="1470" spans="1:3" x14ac:dyDescent="0.25">
      <c r="A1470" s="52">
        <f t="shared" si="22"/>
        <v>44929</v>
      </c>
      <c r="B1470" s="53">
        <v>1469</v>
      </c>
      <c r="C1470" s="53">
        <v>30751.741900000001</v>
      </c>
    </row>
    <row r="1471" spans="1:3" x14ac:dyDescent="0.25">
      <c r="A1471" s="52">
        <f t="shared" si="22"/>
        <v>44930</v>
      </c>
      <c r="B1471" s="53">
        <v>1470</v>
      </c>
      <c r="C1471" s="53">
        <v>30752.5599</v>
      </c>
    </row>
    <row r="1472" spans="1:3" x14ac:dyDescent="0.25">
      <c r="A1472" s="52">
        <f t="shared" si="22"/>
        <v>44931</v>
      </c>
      <c r="B1472" s="53">
        <v>1471</v>
      </c>
      <c r="C1472" s="53">
        <v>30753.377899999999</v>
      </c>
    </row>
    <row r="1473" spans="1:3" x14ac:dyDescent="0.25">
      <c r="A1473" s="52">
        <f t="shared" si="22"/>
        <v>44932</v>
      </c>
      <c r="B1473" s="53">
        <v>1472</v>
      </c>
      <c r="C1473" s="53">
        <v>30754.195899999999</v>
      </c>
    </row>
    <row r="1474" spans="1:3" x14ac:dyDescent="0.25">
      <c r="A1474" s="52">
        <f t="shared" ref="A1474:A1537" si="23">+$G$4+B1474</f>
        <v>44933</v>
      </c>
      <c r="B1474" s="53">
        <v>1473</v>
      </c>
      <c r="C1474" s="53">
        <v>30755.013900000002</v>
      </c>
    </row>
    <row r="1475" spans="1:3" x14ac:dyDescent="0.25">
      <c r="A1475" s="52">
        <f t="shared" si="23"/>
        <v>44934</v>
      </c>
      <c r="B1475" s="53">
        <v>1474</v>
      </c>
      <c r="C1475" s="53">
        <v>30755.831999999999</v>
      </c>
    </row>
    <row r="1476" spans="1:3" x14ac:dyDescent="0.25">
      <c r="A1476" s="52">
        <f t="shared" si="23"/>
        <v>44935</v>
      </c>
      <c r="B1476" s="53">
        <v>1475</v>
      </c>
      <c r="C1476" s="53">
        <v>30756.650099999999</v>
      </c>
    </row>
    <row r="1477" spans="1:3" x14ac:dyDescent="0.25">
      <c r="A1477" s="52">
        <f t="shared" si="23"/>
        <v>44936</v>
      </c>
      <c r="B1477" s="53">
        <v>1476</v>
      </c>
      <c r="C1477" s="53">
        <v>30757.5147</v>
      </c>
    </row>
    <row r="1478" spans="1:3" x14ac:dyDescent="0.25">
      <c r="A1478" s="52">
        <f t="shared" si="23"/>
        <v>44937</v>
      </c>
      <c r="B1478" s="53">
        <v>1477</v>
      </c>
      <c r="C1478" s="53">
        <v>30758.379300000001</v>
      </c>
    </row>
    <row r="1479" spans="1:3" x14ac:dyDescent="0.25">
      <c r="A1479" s="52">
        <f t="shared" si="23"/>
        <v>44938</v>
      </c>
      <c r="B1479" s="53">
        <v>1478</v>
      </c>
      <c r="C1479" s="53">
        <v>30759.243999999999</v>
      </c>
    </row>
    <row r="1480" spans="1:3" x14ac:dyDescent="0.25">
      <c r="A1480" s="52">
        <f t="shared" si="23"/>
        <v>44939</v>
      </c>
      <c r="B1480" s="53">
        <v>1479</v>
      </c>
      <c r="C1480" s="53">
        <v>30760.1086</v>
      </c>
    </row>
    <row r="1481" spans="1:3" x14ac:dyDescent="0.25">
      <c r="A1481" s="52">
        <f t="shared" si="23"/>
        <v>44940</v>
      </c>
      <c r="B1481" s="53">
        <v>1480</v>
      </c>
      <c r="C1481" s="53">
        <v>30760.973300000001</v>
      </c>
    </row>
    <row r="1482" spans="1:3" x14ac:dyDescent="0.25">
      <c r="A1482" s="52">
        <f t="shared" si="23"/>
        <v>44941</v>
      </c>
      <c r="B1482" s="53">
        <v>1481</v>
      </c>
      <c r="C1482" s="53">
        <v>30761.838100000001</v>
      </c>
    </row>
    <row r="1483" spans="1:3" x14ac:dyDescent="0.25">
      <c r="A1483" s="52">
        <f t="shared" si="23"/>
        <v>44942</v>
      </c>
      <c r="B1483" s="53">
        <v>1482</v>
      </c>
      <c r="C1483" s="53">
        <v>30762.702799999999</v>
      </c>
    </row>
    <row r="1484" spans="1:3" x14ac:dyDescent="0.25">
      <c r="A1484" s="52">
        <f t="shared" si="23"/>
        <v>44943</v>
      </c>
      <c r="B1484" s="53">
        <v>1483</v>
      </c>
      <c r="C1484" s="53">
        <v>30763.567599999998</v>
      </c>
    </row>
    <row r="1485" spans="1:3" x14ac:dyDescent="0.25">
      <c r="A1485" s="52">
        <f t="shared" si="23"/>
        <v>44944</v>
      </c>
      <c r="B1485" s="53">
        <v>1484</v>
      </c>
      <c r="C1485" s="53">
        <v>30764.432400000002</v>
      </c>
    </row>
    <row r="1486" spans="1:3" x14ac:dyDescent="0.25">
      <c r="A1486" s="52">
        <f t="shared" si="23"/>
        <v>44945</v>
      </c>
      <c r="B1486" s="53">
        <v>1485</v>
      </c>
      <c r="C1486" s="53">
        <v>30765.297200000001</v>
      </c>
    </row>
    <row r="1487" spans="1:3" x14ac:dyDescent="0.25">
      <c r="A1487" s="52">
        <f t="shared" si="23"/>
        <v>44946</v>
      </c>
      <c r="B1487" s="53">
        <v>1486</v>
      </c>
      <c r="C1487" s="53">
        <v>30766.162100000001</v>
      </c>
    </row>
    <row r="1488" spans="1:3" x14ac:dyDescent="0.25">
      <c r="A1488" s="52">
        <f t="shared" si="23"/>
        <v>44947</v>
      </c>
      <c r="B1488" s="53">
        <v>1487</v>
      </c>
      <c r="C1488" s="53">
        <v>30767.026999999998</v>
      </c>
    </row>
    <row r="1489" spans="1:3" x14ac:dyDescent="0.25">
      <c r="A1489" s="52">
        <f t="shared" si="23"/>
        <v>44948</v>
      </c>
      <c r="B1489" s="53">
        <v>1488</v>
      </c>
      <c r="C1489" s="53">
        <v>30767.891899999999</v>
      </c>
    </row>
    <row r="1490" spans="1:3" x14ac:dyDescent="0.25">
      <c r="A1490" s="52">
        <f t="shared" si="23"/>
        <v>44949</v>
      </c>
      <c r="B1490" s="53">
        <v>1489</v>
      </c>
      <c r="C1490" s="53">
        <v>30768.756799999999</v>
      </c>
    </row>
    <row r="1491" spans="1:3" x14ac:dyDescent="0.25">
      <c r="A1491" s="52">
        <f t="shared" si="23"/>
        <v>44950</v>
      </c>
      <c r="B1491" s="53">
        <v>1490</v>
      </c>
      <c r="C1491" s="53">
        <v>30769.6217</v>
      </c>
    </row>
    <row r="1492" spans="1:3" x14ac:dyDescent="0.25">
      <c r="A1492" s="52">
        <f t="shared" si="23"/>
        <v>44951</v>
      </c>
      <c r="B1492" s="53">
        <v>1491</v>
      </c>
      <c r="C1492" s="53">
        <v>30770.486700000001</v>
      </c>
    </row>
    <row r="1493" spans="1:3" x14ac:dyDescent="0.25">
      <c r="A1493" s="52">
        <f t="shared" si="23"/>
        <v>44952</v>
      </c>
      <c r="B1493" s="53">
        <v>1492</v>
      </c>
      <c r="C1493" s="53">
        <v>30771.351699999999</v>
      </c>
    </row>
    <row r="1494" spans="1:3" x14ac:dyDescent="0.25">
      <c r="A1494" s="52">
        <f t="shared" si="23"/>
        <v>44953</v>
      </c>
      <c r="B1494" s="53">
        <v>1493</v>
      </c>
      <c r="C1494" s="53">
        <v>30772.216700000001</v>
      </c>
    </row>
    <row r="1495" spans="1:3" x14ac:dyDescent="0.25">
      <c r="A1495" s="52">
        <f t="shared" si="23"/>
        <v>44954</v>
      </c>
      <c r="B1495" s="53">
        <v>1494</v>
      </c>
      <c r="C1495" s="53">
        <v>30773.0818</v>
      </c>
    </row>
    <row r="1496" spans="1:3" x14ac:dyDescent="0.25">
      <c r="A1496" s="52">
        <f t="shared" si="23"/>
        <v>44955</v>
      </c>
      <c r="B1496" s="53">
        <v>1495</v>
      </c>
      <c r="C1496" s="53">
        <v>30773.946899999999</v>
      </c>
    </row>
    <row r="1497" spans="1:3" x14ac:dyDescent="0.25">
      <c r="A1497" s="52">
        <f t="shared" si="23"/>
        <v>44956</v>
      </c>
      <c r="B1497" s="53">
        <v>1496</v>
      </c>
      <c r="C1497" s="53">
        <v>30774.812000000002</v>
      </c>
    </row>
    <row r="1498" spans="1:3" x14ac:dyDescent="0.25">
      <c r="A1498" s="52">
        <f t="shared" si="23"/>
        <v>44957</v>
      </c>
      <c r="B1498" s="53">
        <v>1497</v>
      </c>
      <c r="C1498" s="53">
        <v>30775.677100000001</v>
      </c>
    </row>
    <row r="1499" spans="1:3" x14ac:dyDescent="0.25">
      <c r="A1499" s="52">
        <f t="shared" si="23"/>
        <v>44958</v>
      </c>
      <c r="B1499" s="53">
        <v>1498</v>
      </c>
      <c r="C1499" s="53">
        <v>30776.5422</v>
      </c>
    </row>
    <row r="1500" spans="1:3" x14ac:dyDescent="0.25">
      <c r="A1500" s="52">
        <f t="shared" si="23"/>
        <v>44959</v>
      </c>
      <c r="B1500" s="53">
        <v>1499</v>
      </c>
      <c r="C1500" s="53">
        <v>30777.4074</v>
      </c>
    </row>
    <row r="1501" spans="1:3" x14ac:dyDescent="0.25">
      <c r="A1501" s="52">
        <f t="shared" si="23"/>
        <v>44960</v>
      </c>
      <c r="B1501" s="53">
        <v>1500</v>
      </c>
      <c r="C1501" s="53">
        <v>30778.2726</v>
      </c>
    </row>
    <row r="1502" spans="1:3" x14ac:dyDescent="0.25">
      <c r="A1502" s="52">
        <f t="shared" si="23"/>
        <v>44961</v>
      </c>
      <c r="B1502" s="53">
        <v>1501</v>
      </c>
      <c r="C1502" s="53">
        <v>30779.1378</v>
      </c>
    </row>
    <row r="1503" spans="1:3" x14ac:dyDescent="0.25">
      <c r="A1503" s="52">
        <f t="shared" si="23"/>
        <v>44962</v>
      </c>
      <c r="B1503" s="53">
        <v>1502</v>
      </c>
      <c r="C1503" s="53">
        <v>30780.003000000001</v>
      </c>
    </row>
    <row r="1504" spans="1:3" x14ac:dyDescent="0.25">
      <c r="A1504" s="52">
        <f t="shared" si="23"/>
        <v>44963</v>
      </c>
      <c r="B1504" s="53">
        <v>1503</v>
      </c>
      <c r="C1504" s="53">
        <v>30780.868299999998</v>
      </c>
    </row>
    <row r="1505" spans="1:3" x14ac:dyDescent="0.25">
      <c r="A1505" s="52">
        <f t="shared" si="23"/>
        <v>44964</v>
      </c>
      <c r="B1505" s="53">
        <v>1504</v>
      </c>
      <c r="C1505" s="53">
        <v>30781.7336</v>
      </c>
    </row>
    <row r="1506" spans="1:3" x14ac:dyDescent="0.25">
      <c r="A1506" s="52">
        <f t="shared" si="23"/>
        <v>44965</v>
      </c>
      <c r="B1506" s="53">
        <v>1505</v>
      </c>
      <c r="C1506" s="53">
        <v>30782.598900000001</v>
      </c>
    </row>
    <row r="1507" spans="1:3" x14ac:dyDescent="0.25">
      <c r="A1507" s="52">
        <f t="shared" si="23"/>
        <v>44966</v>
      </c>
      <c r="B1507" s="53">
        <v>1506</v>
      </c>
      <c r="C1507" s="53">
        <v>30783.464199999999</v>
      </c>
    </row>
    <row r="1508" spans="1:3" x14ac:dyDescent="0.25">
      <c r="A1508" s="52">
        <f t="shared" si="23"/>
        <v>44967</v>
      </c>
      <c r="B1508" s="53">
        <v>1507</v>
      </c>
      <c r="C1508" s="53">
        <v>30786.696199999998</v>
      </c>
    </row>
    <row r="1509" spans="1:3" x14ac:dyDescent="0.25">
      <c r="A1509" s="52">
        <f t="shared" si="23"/>
        <v>44968</v>
      </c>
      <c r="B1509" s="53">
        <v>1508</v>
      </c>
      <c r="C1509" s="53">
        <v>30789.928500000002</v>
      </c>
    </row>
    <row r="1510" spans="1:3" x14ac:dyDescent="0.25">
      <c r="A1510" s="52">
        <f t="shared" si="23"/>
        <v>44969</v>
      </c>
      <c r="B1510" s="53">
        <v>1509</v>
      </c>
      <c r="C1510" s="53">
        <v>30793.161199999999</v>
      </c>
    </row>
    <row r="1511" spans="1:3" x14ac:dyDescent="0.25">
      <c r="A1511" s="52">
        <f t="shared" si="23"/>
        <v>44970</v>
      </c>
      <c r="B1511" s="53">
        <v>1510</v>
      </c>
      <c r="C1511" s="53">
        <v>30796.394199999999</v>
      </c>
    </row>
    <row r="1512" spans="1:3" x14ac:dyDescent="0.25">
      <c r="A1512" s="52">
        <f t="shared" si="23"/>
        <v>44971</v>
      </c>
      <c r="B1512" s="53">
        <v>1511</v>
      </c>
      <c r="C1512" s="53">
        <v>30799.627499999999</v>
      </c>
    </row>
    <row r="1513" spans="1:3" x14ac:dyDescent="0.25">
      <c r="A1513" s="52">
        <f t="shared" si="23"/>
        <v>44972</v>
      </c>
      <c r="B1513" s="53">
        <v>1512</v>
      </c>
      <c r="C1513" s="53">
        <v>30802.861199999999</v>
      </c>
    </row>
    <row r="1514" spans="1:3" x14ac:dyDescent="0.25">
      <c r="A1514" s="52">
        <f t="shared" si="23"/>
        <v>44973</v>
      </c>
      <c r="B1514" s="53">
        <v>1513</v>
      </c>
      <c r="C1514" s="53">
        <v>30806.0952</v>
      </c>
    </row>
    <row r="1515" spans="1:3" x14ac:dyDescent="0.25">
      <c r="A1515" s="52">
        <f t="shared" si="23"/>
        <v>44974</v>
      </c>
      <c r="B1515" s="53">
        <v>1514</v>
      </c>
      <c r="C1515" s="53">
        <v>30809.3295</v>
      </c>
    </row>
    <row r="1516" spans="1:3" x14ac:dyDescent="0.25">
      <c r="A1516" s="52">
        <f t="shared" si="23"/>
        <v>44975</v>
      </c>
      <c r="B1516" s="53">
        <v>1515</v>
      </c>
      <c r="C1516" s="53">
        <v>30812.564200000001</v>
      </c>
    </row>
    <row r="1517" spans="1:3" x14ac:dyDescent="0.25">
      <c r="A1517" s="52">
        <f t="shared" si="23"/>
        <v>44976</v>
      </c>
      <c r="B1517" s="53">
        <v>1516</v>
      </c>
      <c r="C1517" s="53">
        <v>30815.799200000001</v>
      </c>
    </row>
    <row r="1518" spans="1:3" x14ac:dyDescent="0.25">
      <c r="A1518" s="52">
        <f t="shared" si="23"/>
        <v>44977</v>
      </c>
      <c r="B1518" s="53">
        <v>1517</v>
      </c>
      <c r="C1518" s="53">
        <v>30819.034599999999</v>
      </c>
    </row>
    <row r="1519" spans="1:3" x14ac:dyDescent="0.25">
      <c r="A1519" s="52">
        <f t="shared" si="23"/>
        <v>44978</v>
      </c>
      <c r="B1519" s="53">
        <v>1518</v>
      </c>
      <c r="C1519" s="53">
        <v>30822.2703</v>
      </c>
    </row>
    <row r="1520" spans="1:3" x14ac:dyDescent="0.25">
      <c r="A1520" s="52">
        <f t="shared" si="23"/>
        <v>44979</v>
      </c>
      <c r="B1520" s="53">
        <v>1519</v>
      </c>
      <c r="C1520" s="53">
        <v>30825.506399999998</v>
      </c>
    </row>
    <row r="1521" spans="1:3" x14ac:dyDescent="0.25">
      <c r="A1521" s="52">
        <f t="shared" si="23"/>
        <v>44980</v>
      </c>
      <c r="B1521" s="53">
        <v>1520</v>
      </c>
      <c r="C1521" s="53">
        <v>30828.742699999999</v>
      </c>
    </row>
    <row r="1522" spans="1:3" x14ac:dyDescent="0.25">
      <c r="A1522" s="52">
        <f t="shared" si="23"/>
        <v>44981</v>
      </c>
      <c r="B1522" s="53">
        <v>1521</v>
      </c>
      <c r="C1522" s="53">
        <v>30831.979500000001</v>
      </c>
    </row>
    <row r="1523" spans="1:3" x14ac:dyDescent="0.25">
      <c r="A1523" s="52">
        <f t="shared" si="23"/>
        <v>44982</v>
      </c>
      <c r="B1523" s="53">
        <v>1522</v>
      </c>
      <c r="C1523" s="53">
        <v>30835.216499999999</v>
      </c>
    </row>
    <row r="1524" spans="1:3" x14ac:dyDescent="0.25">
      <c r="A1524" s="52">
        <f t="shared" si="23"/>
        <v>44983</v>
      </c>
      <c r="B1524" s="53">
        <v>1523</v>
      </c>
      <c r="C1524" s="53">
        <v>30838.4539</v>
      </c>
    </row>
    <row r="1525" spans="1:3" x14ac:dyDescent="0.25">
      <c r="A1525" s="52">
        <f t="shared" si="23"/>
        <v>44984</v>
      </c>
      <c r="B1525" s="53">
        <v>1524</v>
      </c>
      <c r="C1525" s="53">
        <v>30841.691699999999</v>
      </c>
    </row>
    <row r="1526" spans="1:3" x14ac:dyDescent="0.25">
      <c r="A1526" s="52">
        <f t="shared" si="23"/>
        <v>44985</v>
      </c>
      <c r="B1526" s="53">
        <v>1525</v>
      </c>
      <c r="C1526" s="53">
        <v>30844.929800000002</v>
      </c>
    </row>
    <row r="1527" spans="1:3" x14ac:dyDescent="0.25">
      <c r="A1527" s="52">
        <f t="shared" si="23"/>
        <v>44986</v>
      </c>
      <c r="B1527" s="53">
        <v>1526</v>
      </c>
      <c r="C1527" s="53">
        <v>30848.1682</v>
      </c>
    </row>
    <row r="1528" spans="1:3" x14ac:dyDescent="0.25">
      <c r="A1528" s="52">
        <f t="shared" si="23"/>
        <v>44987</v>
      </c>
      <c r="B1528" s="53">
        <v>1527</v>
      </c>
      <c r="C1528" s="53">
        <v>30851.406999999999</v>
      </c>
    </row>
    <row r="1529" spans="1:3" x14ac:dyDescent="0.25">
      <c r="A1529" s="52">
        <f t="shared" si="23"/>
        <v>44988</v>
      </c>
      <c r="B1529" s="53">
        <v>1528</v>
      </c>
      <c r="C1529" s="53">
        <v>30854.646100000002</v>
      </c>
    </row>
    <row r="1530" spans="1:3" x14ac:dyDescent="0.25">
      <c r="A1530" s="52">
        <f t="shared" si="23"/>
        <v>44989</v>
      </c>
      <c r="B1530" s="53">
        <v>1529</v>
      </c>
      <c r="C1530" s="53">
        <v>30857.8855</v>
      </c>
    </row>
    <row r="1531" spans="1:3" x14ac:dyDescent="0.25">
      <c r="A1531" s="52">
        <f t="shared" si="23"/>
        <v>44990</v>
      </c>
      <c r="B1531" s="53">
        <v>1530</v>
      </c>
      <c r="C1531" s="53">
        <v>30861.1253</v>
      </c>
    </row>
    <row r="1532" spans="1:3" x14ac:dyDescent="0.25">
      <c r="A1532" s="52">
        <f t="shared" si="23"/>
        <v>44991</v>
      </c>
      <c r="B1532" s="53">
        <v>1531</v>
      </c>
      <c r="C1532" s="53">
        <v>30864.365399999999</v>
      </c>
    </row>
    <row r="1533" spans="1:3" x14ac:dyDescent="0.25">
      <c r="A1533" s="52">
        <f t="shared" si="23"/>
        <v>44992</v>
      </c>
      <c r="B1533" s="53">
        <v>1532</v>
      </c>
      <c r="C1533" s="53">
        <v>30867.605899999999</v>
      </c>
    </row>
    <row r="1534" spans="1:3" x14ac:dyDescent="0.25">
      <c r="A1534" s="52">
        <f t="shared" si="23"/>
        <v>44993</v>
      </c>
      <c r="B1534" s="53">
        <v>1533</v>
      </c>
      <c r="C1534" s="53">
        <v>30870.846699999998</v>
      </c>
    </row>
    <row r="1535" spans="1:3" x14ac:dyDescent="0.25">
      <c r="A1535" s="52">
        <f t="shared" si="23"/>
        <v>44994</v>
      </c>
      <c r="B1535" s="53">
        <v>1534</v>
      </c>
      <c r="C1535" s="53">
        <v>30874.087800000001</v>
      </c>
    </row>
    <row r="1536" spans="1:3" x14ac:dyDescent="0.25">
      <c r="A1536" s="52">
        <f t="shared" si="23"/>
        <v>44995</v>
      </c>
      <c r="B1536" s="53">
        <v>1535</v>
      </c>
      <c r="C1536" s="53">
        <v>30876.4097</v>
      </c>
    </row>
    <row r="1537" spans="1:3" x14ac:dyDescent="0.25">
      <c r="A1537" s="52">
        <f t="shared" si="23"/>
        <v>44996</v>
      </c>
      <c r="B1537" s="53">
        <v>1536</v>
      </c>
      <c r="C1537" s="53">
        <v>30878.731800000001</v>
      </c>
    </row>
    <row r="1538" spans="1:3" x14ac:dyDescent="0.25">
      <c r="A1538" s="52">
        <f t="shared" ref="A1538:A1601" si="24">+$G$4+B1538</f>
        <v>44997</v>
      </c>
      <c r="B1538" s="53">
        <v>1537</v>
      </c>
      <c r="C1538" s="53">
        <v>30881.054100000001</v>
      </c>
    </row>
    <row r="1539" spans="1:3" x14ac:dyDescent="0.25">
      <c r="A1539" s="52">
        <f t="shared" si="24"/>
        <v>44998</v>
      </c>
      <c r="B1539" s="53">
        <v>1538</v>
      </c>
      <c r="C1539" s="53">
        <v>30883.376499999998</v>
      </c>
    </row>
    <row r="1540" spans="1:3" x14ac:dyDescent="0.25">
      <c r="A1540" s="52">
        <f t="shared" si="24"/>
        <v>44999</v>
      </c>
      <c r="B1540" s="53">
        <v>1539</v>
      </c>
      <c r="C1540" s="53">
        <v>30885.699199999999</v>
      </c>
    </row>
    <row r="1541" spans="1:3" x14ac:dyDescent="0.25">
      <c r="A1541" s="52">
        <f t="shared" si="24"/>
        <v>45000</v>
      </c>
      <c r="B1541" s="53">
        <v>1540</v>
      </c>
      <c r="C1541" s="53">
        <v>30888.0219</v>
      </c>
    </row>
    <row r="1542" spans="1:3" x14ac:dyDescent="0.25">
      <c r="A1542" s="52">
        <f t="shared" si="24"/>
        <v>45001</v>
      </c>
      <c r="B1542" s="53">
        <v>1541</v>
      </c>
      <c r="C1542" s="53">
        <v>30890.3449</v>
      </c>
    </row>
    <row r="1543" spans="1:3" x14ac:dyDescent="0.25">
      <c r="A1543" s="52">
        <f t="shared" si="24"/>
        <v>45002</v>
      </c>
      <c r="B1543" s="53">
        <v>1542</v>
      </c>
      <c r="C1543" s="53">
        <v>30892.668000000001</v>
      </c>
    </row>
    <row r="1544" spans="1:3" x14ac:dyDescent="0.25">
      <c r="A1544" s="52">
        <f t="shared" si="24"/>
        <v>45003</v>
      </c>
      <c r="B1544" s="53">
        <v>1543</v>
      </c>
      <c r="C1544" s="53">
        <v>30894.991399999999</v>
      </c>
    </row>
    <row r="1545" spans="1:3" x14ac:dyDescent="0.25">
      <c r="A1545" s="52">
        <f t="shared" si="24"/>
        <v>45004</v>
      </c>
      <c r="B1545" s="53">
        <v>1544</v>
      </c>
      <c r="C1545" s="53">
        <v>30897.314900000001</v>
      </c>
    </row>
    <row r="1546" spans="1:3" x14ac:dyDescent="0.25">
      <c r="A1546" s="52">
        <f t="shared" si="24"/>
        <v>45005</v>
      </c>
      <c r="B1546" s="53">
        <v>1545</v>
      </c>
      <c r="C1546" s="53">
        <v>30899.638500000001</v>
      </c>
    </row>
    <row r="1547" spans="1:3" x14ac:dyDescent="0.25">
      <c r="A1547" s="52">
        <f t="shared" si="24"/>
        <v>45006</v>
      </c>
      <c r="B1547" s="53">
        <v>1546</v>
      </c>
      <c r="C1547" s="53">
        <v>30901.9624</v>
      </c>
    </row>
    <row r="1548" spans="1:3" x14ac:dyDescent="0.25">
      <c r="A1548" s="52">
        <f t="shared" si="24"/>
        <v>45007</v>
      </c>
      <c r="B1548" s="53">
        <v>1547</v>
      </c>
      <c r="C1548" s="53">
        <v>30904.286400000001</v>
      </c>
    </row>
    <row r="1549" spans="1:3" x14ac:dyDescent="0.25">
      <c r="A1549" s="52">
        <f t="shared" si="24"/>
        <v>45008</v>
      </c>
      <c r="B1549" s="53">
        <v>1548</v>
      </c>
      <c r="C1549" s="53">
        <v>30906.610499999999</v>
      </c>
    </row>
    <row r="1550" spans="1:3" x14ac:dyDescent="0.25">
      <c r="A1550" s="52">
        <f t="shared" si="24"/>
        <v>45009</v>
      </c>
      <c r="B1550" s="53">
        <v>1549</v>
      </c>
      <c r="C1550" s="53">
        <v>30908.9349</v>
      </c>
    </row>
    <row r="1551" spans="1:3" x14ac:dyDescent="0.25">
      <c r="A1551" s="52">
        <f t="shared" si="24"/>
        <v>45010</v>
      </c>
      <c r="B1551" s="53">
        <v>1550</v>
      </c>
      <c r="C1551" s="53">
        <v>30911.259399999999</v>
      </c>
    </row>
    <row r="1552" spans="1:3" x14ac:dyDescent="0.25">
      <c r="A1552" s="52">
        <f t="shared" si="24"/>
        <v>45011</v>
      </c>
      <c r="B1552" s="53">
        <v>1551</v>
      </c>
      <c r="C1552" s="53">
        <v>30913.584200000001</v>
      </c>
    </row>
    <row r="1553" spans="1:3" x14ac:dyDescent="0.25">
      <c r="A1553" s="52">
        <f t="shared" si="24"/>
        <v>45012</v>
      </c>
      <c r="B1553" s="53">
        <v>1552</v>
      </c>
      <c r="C1553" s="53">
        <v>30915.909</v>
      </c>
    </row>
    <row r="1554" spans="1:3" x14ac:dyDescent="0.25">
      <c r="A1554" s="52">
        <f t="shared" si="24"/>
        <v>45013</v>
      </c>
      <c r="B1554" s="53">
        <v>1553</v>
      </c>
      <c r="C1554" s="53">
        <v>30918.234100000001</v>
      </c>
    </row>
    <row r="1555" spans="1:3" x14ac:dyDescent="0.25">
      <c r="A1555" s="52">
        <f t="shared" si="24"/>
        <v>45014</v>
      </c>
      <c r="B1555" s="53">
        <v>1554</v>
      </c>
      <c r="C1555" s="53">
        <v>30920.559300000001</v>
      </c>
    </row>
    <row r="1556" spans="1:3" x14ac:dyDescent="0.25">
      <c r="A1556" s="52">
        <f t="shared" si="24"/>
        <v>45015</v>
      </c>
      <c r="B1556" s="53">
        <v>1555</v>
      </c>
      <c r="C1556" s="53">
        <v>30922.8848</v>
      </c>
    </row>
    <row r="1557" spans="1:3" x14ac:dyDescent="0.25">
      <c r="A1557" s="52">
        <f t="shared" si="24"/>
        <v>45016</v>
      </c>
      <c r="B1557" s="53">
        <v>1556</v>
      </c>
      <c r="C1557" s="53">
        <v>30925.210299999999</v>
      </c>
    </row>
    <row r="1558" spans="1:3" x14ac:dyDescent="0.25">
      <c r="A1558" s="52">
        <f t="shared" si="24"/>
        <v>45017</v>
      </c>
      <c r="B1558" s="53">
        <v>1557</v>
      </c>
      <c r="C1558" s="53">
        <v>30927.536100000001</v>
      </c>
    </row>
    <row r="1559" spans="1:3" x14ac:dyDescent="0.25">
      <c r="A1559" s="52">
        <f t="shared" si="24"/>
        <v>45018</v>
      </c>
      <c r="B1559" s="53">
        <v>1558</v>
      </c>
      <c r="C1559" s="53">
        <v>30929.862000000001</v>
      </c>
    </row>
    <row r="1560" spans="1:3" x14ac:dyDescent="0.25">
      <c r="A1560" s="52">
        <f t="shared" si="24"/>
        <v>45019</v>
      </c>
      <c r="B1560" s="53">
        <v>1559</v>
      </c>
      <c r="C1560" s="53">
        <v>30932.188099999999</v>
      </c>
    </row>
    <row r="1561" spans="1:3" x14ac:dyDescent="0.25">
      <c r="A1561" s="52">
        <f t="shared" si="24"/>
        <v>45020</v>
      </c>
      <c r="B1561" s="53">
        <v>1560</v>
      </c>
      <c r="C1561" s="53">
        <v>30934.5144</v>
      </c>
    </row>
    <row r="1562" spans="1:3" x14ac:dyDescent="0.25">
      <c r="A1562" s="52">
        <f t="shared" si="24"/>
        <v>45021</v>
      </c>
      <c r="B1562" s="53">
        <v>1561</v>
      </c>
      <c r="C1562" s="53">
        <v>30936.840899999999</v>
      </c>
    </row>
    <row r="1563" spans="1:3" x14ac:dyDescent="0.25">
      <c r="A1563" s="52">
        <f t="shared" si="24"/>
        <v>45022</v>
      </c>
      <c r="B1563" s="53">
        <v>1562</v>
      </c>
      <c r="C1563" s="53">
        <v>30939.1675</v>
      </c>
    </row>
    <row r="1564" spans="1:3" x14ac:dyDescent="0.25">
      <c r="A1564" s="52">
        <f t="shared" si="24"/>
        <v>45023</v>
      </c>
      <c r="B1564" s="53">
        <v>1563</v>
      </c>
      <c r="C1564" s="53">
        <v>30941.494299999998</v>
      </c>
    </row>
    <row r="1565" spans="1:3" x14ac:dyDescent="0.25">
      <c r="A1565" s="52">
        <f t="shared" si="24"/>
        <v>45024</v>
      </c>
      <c r="B1565" s="53">
        <v>1564</v>
      </c>
      <c r="C1565" s="53">
        <v>30943.8213</v>
      </c>
    </row>
    <row r="1566" spans="1:3" x14ac:dyDescent="0.25">
      <c r="A1566" s="52">
        <f t="shared" si="24"/>
        <v>45025</v>
      </c>
      <c r="B1566" s="53">
        <v>1565</v>
      </c>
      <c r="C1566" s="53">
        <v>30946.148499999999</v>
      </c>
    </row>
    <row r="1567" spans="1:3" x14ac:dyDescent="0.25">
      <c r="A1567" s="52">
        <f t="shared" si="24"/>
        <v>45026</v>
      </c>
      <c r="B1567" s="53">
        <v>1566</v>
      </c>
      <c r="C1567" s="53">
        <v>30949.458999999999</v>
      </c>
    </row>
    <row r="1568" spans="1:3" x14ac:dyDescent="0.25">
      <c r="A1568" s="52">
        <f t="shared" si="24"/>
        <v>45027</v>
      </c>
      <c r="B1568" s="53">
        <v>1567</v>
      </c>
      <c r="C1568" s="53">
        <v>30952.769799999998</v>
      </c>
    </row>
    <row r="1569" spans="1:3" x14ac:dyDescent="0.25">
      <c r="A1569" s="52">
        <f t="shared" si="24"/>
        <v>45028</v>
      </c>
      <c r="B1569" s="53">
        <v>1568</v>
      </c>
      <c r="C1569" s="53">
        <v>30956.080999999998</v>
      </c>
    </row>
    <row r="1570" spans="1:3" x14ac:dyDescent="0.25">
      <c r="A1570" s="52">
        <f t="shared" si="24"/>
        <v>45029</v>
      </c>
      <c r="B1570" s="53">
        <v>1569</v>
      </c>
      <c r="C1570" s="53">
        <v>30959.392599999999</v>
      </c>
    </row>
    <row r="1571" spans="1:3" x14ac:dyDescent="0.25">
      <c r="A1571" s="52">
        <f t="shared" si="24"/>
        <v>45030</v>
      </c>
      <c r="B1571" s="53">
        <v>1570</v>
      </c>
      <c r="C1571" s="53">
        <v>30962.7045</v>
      </c>
    </row>
    <row r="1572" spans="1:3" x14ac:dyDescent="0.25">
      <c r="A1572" s="52">
        <f t="shared" si="24"/>
        <v>45031</v>
      </c>
      <c r="B1572" s="53">
        <v>1571</v>
      </c>
      <c r="C1572" s="53">
        <v>30966.0167</v>
      </c>
    </row>
    <row r="1573" spans="1:3" x14ac:dyDescent="0.25">
      <c r="A1573" s="52">
        <f t="shared" si="24"/>
        <v>45032</v>
      </c>
      <c r="B1573" s="53">
        <v>1572</v>
      </c>
      <c r="C1573" s="53">
        <v>30969.329399999999</v>
      </c>
    </row>
    <row r="1574" spans="1:3" x14ac:dyDescent="0.25">
      <c r="A1574" s="52">
        <f t="shared" si="24"/>
        <v>45033</v>
      </c>
      <c r="B1574" s="53">
        <v>1573</v>
      </c>
      <c r="C1574" s="53">
        <v>30972.6423</v>
      </c>
    </row>
    <row r="1575" spans="1:3" x14ac:dyDescent="0.25">
      <c r="A1575" s="52">
        <f t="shared" si="24"/>
        <v>45034</v>
      </c>
      <c r="B1575" s="53">
        <v>1574</v>
      </c>
      <c r="C1575" s="53">
        <v>30975.955699999999</v>
      </c>
    </row>
    <row r="1576" spans="1:3" x14ac:dyDescent="0.25">
      <c r="A1576" s="52">
        <f t="shared" si="24"/>
        <v>45035</v>
      </c>
      <c r="B1576" s="53">
        <v>1575</v>
      </c>
      <c r="C1576" s="53">
        <v>30979.2693</v>
      </c>
    </row>
    <row r="1577" spans="1:3" x14ac:dyDescent="0.25">
      <c r="A1577" s="52">
        <f t="shared" si="24"/>
        <v>45036</v>
      </c>
      <c r="B1577" s="53">
        <v>1576</v>
      </c>
      <c r="C1577" s="53">
        <v>30982.5834</v>
      </c>
    </row>
    <row r="1578" spans="1:3" x14ac:dyDescent="0.25">
      <c r="A1578" s="52">
        <f t="shared" si="24"/>
        <v>45037</v>
      </c>
      <c r="B1578" s="53">
        <v>1577</v>
      </c>
      <c r="C1578" s="53">
        <v>30985.897799999999</v>
      </c>
    </row>
    <row r="1579" spans="1:3" x14ac:dyDescent="0.25">
      <c r="A1579" s="52">
        <f t="shared" si="24"/>
        <v>45038</v>
      </c>
      <c r="B1579" s="53">
        <v>1578</v>
      </c>
      <c r="C1579" s="53">
        <v>30989.212500000001</v>
      </c>
    </row>
    <row r="1580" spans="1:3" x14ac:dyDescent="0.25">
      <c r="A1580" s="52">
        <f t="shared" si="24"/>
        <v>45039</v>
      </c>
      <c r="B1580" s="53">
        <v>1579</v>
      </c>
      <c r="C1580" s="53">
        <v>30992.527600000001</v>
      </c>
    </row>
    <row r="1581" spans="1:3" x14ac:dyDescent="0.25">
      <c r="A1581" s="52">
        <f t="shared" si="24"/>
        <v>45040</v>
      </c>
      <c r="B1581" s="53">
        <v>1580</v>
      </c>
      <c r="C1581" s="53">
        <v>30995.843099999998</v>
      </c>
    </row>
    <row r="1582" spans="1:3" x14ac:dyDescent="0.25">
      <c r="A1582" s="52">
        <f t="shared" si="24"/>
        <v>45041</v>
      </c>
      <c r="B1582" s="53">
        <v>1581</v>
      </c>
      <c r="C1582" s="53">
        <v>30999.158899999999</v>
      </c>
    </row>
    <row r="1583" spans="1:3" x14ac:dyDescent="0.25">
      <c r="A1583" s="52">
        <f t="shared" si="24"/>
        <v>45042</v>
      </c>
      <c r="B1583" s="53">
        <v>1582</v>
      </c>
      <c r="C1583" s="53">
        <v>31002.474999999999</v>
      </c>
    </row>
    <row r="1584" spans="1:3" x14ac:dyDescent="0.25">
      <c r="A1584" s="52">
        <f t="shared" si="24"/>
        <v>45043</v>
      </c>
      <c r="B1584" s="53">
        <v>1583</v>
      </c>
      <c r="C1584" s="53">
        <v>31005.791499999999</v>
      </c>
    </row>
    <row r="1585" spans="1:3" x14ac:dyDescent="0.25">
      <c r="A1585" s="52">
        <f t="shared" si="24"/>
        <v>45044</v>
      </c>
      <c r="B1585" s="53">
        <v>1584</v>
      </c>
      <c r="C1585" s="53">
        <v>31009.108400000001</v>
      </c>
    </row>
    <row r="1586" spans="1:3" x14ac:dyDescent="0.25">
      <c r="A1586" s="52">
        <f t="shared" si="24"/>
        <v>45045</v>
      </c>
      <c r="B1586" s="53">
        <v>1585</v>
      </c>
      <c r="C1586" s="53">
        <v>31012.425599999999</v>
      </c>
    </row>
    <row r="1587" spans="1:3" x14ac:dyDescent="0.25">
      <c r="A1587" s="52">
        <f t="shared" si="24"/>
        <v>45046</v>
      </c>
      <c r="B1587" s="53">
        <v>1586</v>
      </c>
      <c r="C1587" s="53">
        <v>31015.743200000001</v>
      </c>
    </row>
    <row r="1588" spans="1:3" x14ac:dyDescent="0.25">
      <c r="A1588" s="52">
        <f t="shared" si="24"/>
        <v>45047</v>
      </c>
      <c r="B1588" s="53">
        <v>1587</v>
      </c>
      <c r="C1588" s="53">
        <v>31019.0612</v>
      </c>
    </row>
    <row r="1589" spans="1:3" x14ac:dyDescent="0.25">
      <c r="A1589" s="52">
        <f t="shared" si="24"/>
        <v>45048</v>
      </c>
      <c r="B1589" s="53">
        <v>1588</v>
      </c>
      <c r="C1589" s="53">
        <v>31022.379499999999</v>
      </c>
    </row>
    <row r="1590" spans="1:3" x14ac:dyDescent="0.25">
      <c r="A1590" s="52">
        <f t="shared" si="24"/>
        <v>45049</v>
      </c>
      <c r="B1590" s="53">
        <v>1589</v>
      </c>
      <c r="C1590" s="53">
        <v>31025.698100000001</v>
      </c>
    </row>
    <row r="1591" spans="1:3" x14ac:dyDescent="0.25">
      <c r="A1591" s="52">
        <f t="shared" si="24"/>
        <v>45050</v>
      </c>
      <c r="B1591" s="53">
        <v>1590</v>
      </c>
      <c r="C1591" s="53">
        <v>31029.017100000001</v>
      </c>
    </row>
    <row r="1592" spans="1:3" x14ac:dyDescent="0.25">
      <c r="A1592" s="52">
        <f t="shared" si="24"/>
        <v>45051</v>
      </c>
      <c r="B1592" s="53">
        <v>1591</v>
      </c>
      <c r="C1592" s="53">
        <v>31032.336500000001</v>
      </c>
    </row>
    <row r="1593" spans="1:3" x14ac:dyDescent="0.25">
      <c r="A1593" s="52">
        <f t="shared" si="24"/>
        <v>45052</v>
      </c>
      <c r="B1593" s="53">
        <v>1592</v>
      </c>
      <c r="C1593" s="53">
        <v>31035.656200000001</v>
      </c>
    </row>
    <row r="1594" spans="1:3" x14ac:dyDescent="0.25">
      <c r="A1594" s="52">
        <f t="shared" si="24"/>
        <v>45053</v>
      </c>
      <c r="B1594" s="53">
        <v>1593</v>
      </c>
      <c r="C1594" s="53">
        <v>31038.976200000001</v>
      </c>
    </row>
    <row r="1595" spans="1:3" x14ac:dyDescent="0.25">
      <c r="A1595" s="52">
        <f t="shared" si="24"/>
        <v>45054</v>
      </c>
      <c r="B1595" s="53">
        <v>1594</v>
      </c>
      <c r="C1595" s="53">
        <v>31042.296699999999</v>
      </c>
    </row>
    <row r="1596" spans="1:3" x14ac:dyDescent="0.25">
      <c r="A1596" s="52">
        <f t="shared" si="24"/>
        <v>45055</v>
      </c>
      <c r="B1596" s="53">
        <v>1595</v>
      </c>
      <c r="C1596" s="53">
        <v>31045.617399999999</v>
      </c>
    </row>
    <row r="1597" spans="1:3" x14ac:dyDescent="0.25">
      <c r="A1597" s="52">
        <f t="shared" si="24"/>
        <v>45056</v>
      </c>
      <c r="B1597" s="53">
        <v>1596</v>
      </c>
      <c r="C1597" s="53">
        <v>31048.286100000001</v>
      </c>
    </row>
    <row r="1598" spans="1:3" x14ac:dyDescent="0.25">
      <c r="A1598" s="52">
        <f t="shared" si="24"/>
        <v>45057</v>
      </c>
      <c r="B1598" s="53">
        <v>1597</v>
      </c>
      <c r="C1598" s="53">
        <v>31050.955000000002</v>
      </c>
    </row>
    <row r="1599" spans="1:3" x14ac:dyDescent="0.25">
      <c r="A1599" s="52">
        <f t="shared" si="24"/>
        <v>45058</v>
      </c>
      <c r="B1599" s="53">
        <v>1598</v>
      </c>
      <c r="C1599" s="53">
        <v>31053.624100000001</v>
      </c>
    </row>
    <row r="1600" spans="1:3" x14ac:dyDescent="0.25">
      <c r="A1600" s="52">
        <f t="shared" si="24"/>
        <v>45059</v>
      </c>
      <c r="B1600" s="53">
        <v>1599</v>
      </c>
      <c r="C1600" s="53">
        <v>31056.293399999999</v>
      </c>
    </row>
    <row r="1601" spans="1:3" x14ac:dyDescent="0.25">
      <c r="A1601" s="52">
        <f t="shared" si="24"/>
        <v>45060</v>
      </c>
      <c r="B1601" s="53">
        <v>1600</v>
      </c>
      <c r="C1601" s="53">
        <v>31058.963</v>
      </c>
    </row>
    <row r="1602" spans="1:3" x14ac:dyDescent="0.25">
      <c r="A1602" s="52">
        <f t="shared" ref="A1602:A1665" si="25">+$G$4+B1602</f>
        <v>45061</v>
      </c>
      <c r="B1602" s="53">
        <v>1601</v>
      </c>
      <c r="C1602" s="53">
        <v>31061.632799999999</v>
      </c>
    </row>
    <row r="1603" spans="1:3" x14ac:dyDescent="0.25">
      <c r="A1603" s="52">
        <f t="shared" si="25"/>
        <v>45062</v>
      </c>
      <c r="B1603" s="53">
        <v>1602</v>
      </c>
      <c r="C1603" s="53">
        <v>31064.302800000001</v>
      </c>
    </row>
    <row r="1604" spans="1:3" x14ac:dyDescent="0.25">
      <c r="A1604" s="52">
        <f t="shared" si="25"/>
        <v>45063</v>
      </c>
      <c r="B1604" s="53">
        <v>1603</v>
      </c>
      <c r="C1604" s="53">
        <v>31066.973000000002</v>
      </c>
    </row>
    <row r="1605" spans="1:3" x14ac:dyDescent="0.25">
      <c r="A1605" s="52">
        <f t="shared" si="25"/>
        <v>45064</v>
      </c>
      <c r="B1605" s="53">
        <v>1604</v>
      </c>
      <c r="C1605" s="53">
        <v>31069.643499999998</v>
      </c>
    </row>
    <row r="1606" spans="1:3" x14ac:dyDescent="0.25">
      <c r="A1606" s="52">
        <f t="shared" si="25"/>
        <v>45065</v>
      </c>
      <c r="B1606" s="53">
        <v>1605</v>
      </c>
      <c r="C1606" s="53">
        <v>31072.314200000001</v>
      </c>
    </row>
    <row r="1607" spans="1:3" x14ac:dyDescent="0.25">
      <c r="A1607" s="52">
        <f t="shared" si="25"/>
        <v>45066</v>
      </c>
      <c r="B1607" s="53">
        <v>1606</v>
      </c>
      <c r="C1607" s="53">
        <v>31074.985199999999</v>
      </c>
    </row>
    <row r="1608" spans="1:3" x14ac:dyDescent="0.25">
      <c r="A1608" s="52">
        <f t="shared" si="25"/>
        <v>45067</v>
      </c>
      <c r="B1608" s="53">
        <v>1607</v>
      </c>
      <c r="C1608" s="53">
        <v>31077.6564</v>
      </c>
    </row>
    <row r="1609" spans="1:3" x14ac:dyDescent="0.25">
      <c r="A1609" s="52">
        <f t="shared" si="25"/>
        <v>45068</v>
      </c>
      <c r="B1609" s="53">
        <v>1608</v>
      </c>
      <c r="C1609" s="53">
        <v>31080.327799999999</v>
      </c>
    </row>
    <row r="1610" spans="1:3" x14ac:dyDescent="0.25">
      <c r="A1610" s="52">
        <f t="shared" si="25"/>
        <v>45069</v>
      </c>
      <c r="B1610" s="53">
        <v>1609</v>
      </c>
      <c r="C1610" s="53">
        <v>31082.999400000001</v>
      </c>
    </row>
    <row r="1611" spans="1:3" x14ac:dyDescent="0.25">
      <c r="A1611" s="52">
        <f t="shared" si="25"/>
        <v>45070</v>
      </c>
      <c r="B1611" s="53">
        <v>1610</v>
      </c>
      <c r="C1611" s="53">
        <v>31085.671200000001</v>
      </c>
    </row>
    <row r="1612" spans="1:3" x14ac:dyDescent="0.25">
      <c r="A1612" s="52">
        <f t="shared" si="25"/>
        <v>45071</v>
      </c>
      <c r="B1612" s="53">
        <v>1611</v>
      </c>
      <c r="C1612" s="53">
        <v>31088.3433</v>
      </c>
    </row>
    <row r="1613" spans="1:3" x14ac:dyDescent="0.25">
      <c r="A1613" s="52">
        <f t="shared" si="25"/>
        <v>45072</v>
      </c>
      <c r="B1613" s="53">
        <v>1612</v>
      </c>
      <c r="C1613" s="53">
        <v>31091.0157</v>
      </c>
    </row>
    <row r="1614" spans="1:3" x14ac:dyDescent="0.25">
      <c r="A1614" s="52">
        <f t="shared" si="25"/>
        <v>45073</v>
      </c>
      <c r="B1614" s="53">
        <v>1613</v>
      </c>
      <c r="C1614" s="53">
        <v>31093.688200000001</v>
      </c>
    </row>
    <row r="1615" spans="1:3" x14ac:dyDescent="0.25">
      <c r="A1615" s="52">
        <f t="shared" si="25"/>
        <v>45074</v>
      </c>
      <c r="B1615" s="53">
        <v>1614</v>
      </c>
      <c r="C1615" s="53">
        <v>31096.361000000001</v>
      </c>
    </row>
    <row r="1616" spans="1:3" x14ac:dyDescent="0.25">
      <c r="A1616" s="52">
        <f t="shared" si="25"/>
        <v>45075</v>
      </c>
      <c r="B1616" s="53">
        <v>1615</v>
      </c>
      <c r="C1616" s="53">
        <v>31099.034</v>
      </c>
    </row>
    <row r="1617" spans="1:3" x14ac:dyDescent="0.25">
      <c r="A1617" s="52">
        <f t="shared" si="25"/>
        <v>45076</v>
      </c>
      <c r="B1617" s="53">
        <v>1616</v>
      </c>
      <c r="C1617" s="53">
        <v>31101.707200000001</v>
      </c>
    </row>
    <row r="1618" spans="1:3" x14ac:dyDescent="0.25">
      <c r="A1618" s="52">
        <f t="shared" si="25"/>
        <v>45077</v>
      </c>
      <c r="B1618" s="53">
        <v>1617</v>
      </c>
      <c r="C1618" s="53">
        <v>31104.380700000002</v>
      </c>
    </row>
    <row r="1619" spans="1:3" x14ac:dyDescent="0.25">
      <c r="A1619" s="52">
        <f t="shared" si="25"/>
        <v>45078</v>
      </c>
      <c r="B1619" s="53">
        <v>1618</v>
      </c>
      <c r="C1619" s="53">
        <v>31107.054400000001</v>
      </c>
    </row>
    <row r="1620" spans="1:3" x14ac:dyDescent="0.25">
      <c r="A1620" s="52">
        <f t="shared" si="25"/>
        <v>45079</v>
      </c>
      <c r="B1620" s="53">
        <v>1619</v>
      </c>
      <c r="C1620" s="53">
        <v>31109.728299999999</v>
      </c>
    </row>
    <row r="1621" spans="1:3" x14ac:dyDescent="0.25">
      <c r="A1621" s="52">
        <f t="shared" si="25"/>
        <v>45080</v>
      </c>
      <c r="B1621" s="53">
        <v>1620</v>
      </c>
      <c r="C1621" s="53">
        <v>31112.4025</v>
      </c>
    </row>
    <row r="1622" spans="1:3" x14ac:dyDescent="0.25">
      <c r="A1622" s="52">
        <f t="shared" si="25"/>
        <v>45081</v>
      </c>
      <c r="B1622" s="53">
        <v>1621</v>
      </c>
      <c r="C1622" s="53">
        <v>31115.0769</v>
      </c>
    </row>
    <row r="1623" spans="1:3" x14ac:dyDescent="0.25">
      <c r="A1623" s="52">
        <f t="shared" si="25"/>
        <v>45082</v>
      </c>
      <c r="B1623" s="53">
        <v>1622</v>
      </c>
      <c r="C1623" s="53">
        <v>31117.751499999998</v>
      </c>
    </row>
    <row r="1624" spans="1:3" x14ac:dyDescent="0.25">
      <c r="A1624" s="52">
        <f t="shared" si="25"/>
        <v>45083</v>
      </c>
      <c r="B1624" s="53">
        <v>1623</v>
      </c>
      <c r="C1624" s="53">
        <v>31120.4264</v>
      </c>
    </row>
    <row r="1625" spans="1:3" x14ac:dyDescent="0.25">
      <c r="A1625" s="52">
        <f t="shared" si="25"/>
        <v>45084</v>
      </c>
      <c r="B1625" s="53">
        <v>1624</v>
      </c>
      <c r="C1625" s="53">
        <v>31123.1014</v>
      </c>
    </row>
    <row r="1626" spans="1:3" x14ac:dyDescent="0.25">
      <c r="A1626" s="52">
        <f t="shared" si="25"/>
        <v>45085</v>
      </c>
      <c r="B1626" s="53">
        <v>1625</v>
      </c>
      <c r="C1626" s="53">
        <v>31125.776699999999</v>
      </c>
    </row>
    <row r="1627" spans="1:3" x14ac:dyDescent="0.25">
      <c r="A1627" s="52">
        <f t="shared" si="25"/>
        <v>45086</v>
      </c>
      <c r="B1627" s="53">
        <v>1626</v>
      </c>
      <c r="C1627" s="53">
        <v>31128.452300000001</v>
      </c>
    </row>
    <row r="1628" spans="1:3" x14ac:dyDescent="0.25">
      <c r="A1628" s="52">
        <f t="shared" si="25"/>
        <v>45087</v>
      </c>
      <c r="B1628" s="53">
        <v>1627</v>
      </c>
      <c r="C1628" s="53">
        <v>31131.1237</v>
      </c>
    </row>
    <row r="1629" spans="1:3" x14ac:dyDescent="0.25">
      <c r="A1629" s="52">
        <f t="shared" si="25"/>
        <v>45088</v>
      </c>
      <c r="B1629" s="53">
        <v>1628</v>
      </c>
      <c r="C1629" s="53">
        <v>31133.795300000002</v>
      </c>
    </row>
    <row r="1630" spans="1:3" x14ac:dyDescent="0.25">
      <c r="A1630" s="52">
        <f t="shared" si="25"/>
        <v>45089</v>
      </c>
      <c r="B1630" s="53">
        <v>1629</v>
      </c>
      <c r="C1630" s="53">
        <v>31136.467100000002</v>
      </c>
    </row>
    <row r="1631" spans="1:3" x14ac:dyDescent="0.25">
      <c r="A1631" s="52">
        <f t="shared" si="25"/>
        <v>45090</v>
      </c>
      <c r="B1631" s="53">
        <v>1630</v>
      </c>
      <c r="C1631" s="53">
        <v>31139.139200000001</v>
      </c>
    </row>
    <row r="1632" spans="1:3" x14ac:dyDescent="0.25">
      <c r="A1632" s="52">
        <f t="shared" si="25"/>
        <v>45091</v>
      </c>
      <c r="B1632" s="53">
        <v>1631</v>
      </c>
      <c r="C1632" s="53">
        <v>31141.8115</v>
      </c>
    </row>
    <row r="1633" spans="1:3" x14ac:dyDescent="0.25">
      <c r="A1633" s="52">
        <f t="shared" si="25"/>
        <v>45092</v>
      </c>
      <c r="B1633" s="53">
        <v>1632</v>
      </c>
      <c r="C1633" s="53">
        <v>31144.484100000001</v>
      </c>
    </row>
    <row r="1634" spans="1:3" x14ac:dyDescent="0.25">
      <c r="A1634" s="52">
        <f t="shared" si="25"/>
        <v>45093</v>
      </c>
      <c r="B1634" s="53">
        <v>1633</v>
      </c>
      <c r="C1634" s="53">
        <v>31147.156800000001</v>
      </c>
    </row>
    <row r="1635" spans="1:3" x14ac:dyDescent="0.25">
      <c r="A1635" s="52">
        <f t="shared" si="25"/>
        <v>45094</v>
      </c>
      <c r="B1635" s="53">
        <v>1634</v>
      </c>
      <c r="C1635" s="53">
        <v>31149.8298</v>
      </c>
    </row>
    <row r="1636" spans="1:3" x14ac:dyDescent="0.25">
      <c r="A1636" s="52">
        <f t="shared" si="25"/>
        <v>45095</v>
      </c>
      <c r="B1636" s="53">
        <v>1635</v>
      </c>
      <c r="C1636" s="53">
        <v>31152.503100000002</v>
      </c>
    </row>
    <row r="1637" spans="1:3" x14ac:dyDescent="0.25">
      <c r="A1637" s="52">
        <f t="shared" si="25"/>
        <v>45096</v>
      </c>
      <c r="B1637" s="53">
        <v>1636</v>
      </c>
      <c r="C1637" s="53">
        <v>31155.176500000001</v>
      </c>
    </row>
    <row r="1638" spans="1:3" x14ac:dyDescent="0.25">
      <c r="A1638" s="52">
        <f t="shared" si="25"/>
        <v>45097</v>
      </c>
      <c r="B1638" s="53">
        <v>1637</v>
      </c>
      <c r="C1638" s="53">
        <v>31157.850200000001</v>
      </c>
    </row>
    <row r="1639" spans="1:3" x14ac:dyDescent="0.25">
      <c r="A1639" s="52">
        <f t="shared" si="25"/>
        <v>45098</v>
      </c>
      <c r="B1639" s="53">
        <v>1638</v>
      </c>
      <c r="C1639" s="53">
        <v>31160.524099999999</v>
      </c>
    </row>
    <row r="1640" spans="1:3" x14ac:dyDescent="0.25">
      <c r="A1640" s="52">
        <f t="shared" si="25"/>
        <v>45099</v>
      </c>
      <c r="B1640" s="53">
        <v>1639</v>
      </c>
      <c r="C1640" s="53">
        <v>31163.1983</v>
      </c>
    </row>
    <row r="1641" spans="1:3" x14ac:dyDescent="0.25">
      <c r="A1641" s="52">
        <f t="shared" si="25"/>
        <v>45100</v>
      </c>
      <c r="B1641" s="53">
        <v>1640</v>
      </c>
      <c r="C1641" s="53">
        <v>31165.8727</v>
      </c>
    </row>
    <row r="1642" spans="1:3" x14ac:dyDescent="0.25">
      <c r="A1642" s="52">
        <f t="shared" si="25"/>
        <v>45101</v>
      </c>
      <c r="B1642" s="53">
        <v>1641</v>
      </c>
      <c r="C1642" s="53">
        <v>31168.547299999998</v>
      </c>
    </row>
    <row r="1643" spans="1:3" x14ac:dyDescent="0.25">
      <c r="A1643" s="52">
        <f t="shared" si="25"/>
        <v>45102</v>
      </c>
      <c r="B1643" s="53">
        <v>1642</v>
      </c>
      <c r="C1643" s="53">
        <v>31171.222099999999</v>
      </c>
    </row>
    <row r="1644" spans="1:3" x14ac:dyDescent="0.25">
      <c r="A1644" s="52">
        <f t="shared" si="25"/>
        <v>45103</v>
      </c>
      <c r="B1644" s="53">
        <v>1643</v>
      </c>
      <c r="C1644" s="53">
        <v>31173.897199999999</v>
      </c>
    </row>
    <row r="1645" spans="1:3" x14ac:dyDescent="0.25">
      <c r="A1645" s="52">
        <f t="shared" si="25"/>
        <v>45104</v>
      </c>
      <c r="B1645" s="53">
        <v>1644</v>
      </c>
      <c r="C1645" s="53">
        <v>31176.572400000001</v>
      </c>
    </row>
    <row r="1646" spans="1:3" x14ac:dyDescent="0.25">
      <c r="A1646" s="52">
        <f t="shared" si="25"/>
        <v>45105</v>
      </c>
      <c r="B1646" s="53">
        <v>1645</v>
      </c>
      <c r="C1646" s="53">
        <v>31179.248</v>
      </c>
    </row>
    <row r="1647" spans="1:3" x14ac:dyDescent="0.25">
      <c r="A1647" s="52">
        <f t="shared" si="25"/>
        <v>45106</v>
      </c>
      <c r="B1647" s="53">
        <v>1646</v>
      </c>
      <c r="C1647" s="53">
        <v>31181.923699999999</v>
      </c>
    </row>
    <row r="1648" spans="1:3" x14ac:dyDescent="0.25">
      <c r="A1648" s="52">
        <f t="shared" si="25"/>
        <v>45107</v>
      </c>
      <c r="B1648" s="53">
        <v>1647</v>
      </c>
      <c r="C1648" s="53">
        <v>31184.599699999999</v>
      </c>
    </row>
    <row r="1649" spans="1:3" x14ac:dyDescent="0.25">
      <c r="A1649" s="52">
        <f t="shared" si="25"/>
        <v>45108</v>
      </c>
      <c r="B1649" s="53">
        <v>1648</v>
      </c>
      <c r="C1649" s="53">
        <v>31187.275900000001</v>
      </c>
    </row>
    <row r="1650" spans="1:3" x14ac:dyDescent="0.25">
      <c r="A1650" s="52">
        <f t="shared" si="25"/>
        <v>45109</v>
      </c>
      <c r="B1650" s="53">
        <v>1649</v>
      </c>
      <c r="C1650" s="53">
        <v>31189.952399999998</v>
      </c>
    </row>
    <row r="1651" spans="1:3" x14ac:dyDescent="0.25">
      <c r="A1651" s="52">
        <f t="shared" si="25"/>
        <v>45110</v>
      </c>
      <c r="B1651" s="53">
        <v>1650</v>
      </c>
      <c r="C1651" s="53">
        <v>31192.629000000001</v>
      </c>
    </row>
    <row r="1652" spans="1:3" x14ac:dyDescent="0.25">
      <c r="A1652" s="52">
        <f t="shared" si="25"/>
        <v>45111</v>
      </c>
      <c r="B1652" s="53">
        <v>1651</v>
      </c>
      <c r="C1652" s="53">
        <v>31195.305899999999</v>
      </c>
    </row>
    <row r="1653" spans="1:3" x14ac:dyDescent="0.25">
      <c r="A1653" s="52">
        <f t="shared" si="25"/>
        <v>45112</v>
      </c>
      <c r="B1653" s="53">
        <v>1652</v>
      </c>
      <c r="C1653" s="53">
        <v>31197.983100000001</v>
      </c>
    </row>
    <row r="1654" spans="1:3" x14ac:dyDescent="0.25">
      <c r="A1654" s="52">
        <f t="shared" si="25"/>
        <v>45113</v>
      </c>
      <c r="B1654" s="53">
        <v>1653</v>
      </c>
      <c r="C1654" s="53">
        <v>31200.660400000001</v>
      </c>
    </row>
    <row r="1655" spans="1:3" x14ac:dyDescent="0.25">
      <c r="A1655" s="52">
        <f t="shared" si="25"/>
        <v>45114</v>
      </c>
      <c r="B1655" s="53">
        <v>1654</v>
      </c>
      <c r="C1655" s="53">
        <v>31203.338</v>
      </c>
    </row>
    <row r="1656" spans="1:3" x14ac:dyDescent="0.25">
      <c r="A1656" s="52">
        <f t="shared" si="25"/>
        <v>45115</v>
      </c>
      <c r="B1656" s="53">
        <v>1655</v>
      </c>
      <c r="C1656" s="53">
        <v>31206.015800000001</v>
      </c>
    </row>
    <row r="1657" spans="1:3" x14ac:dyDescent="0.25">
      <c r="A1657" s="52">
        <f t="shared" si="25"/>
        <v>45116</v>
      </c>
      <c r="B1657" s="53">
        <v>1656</v>
      </c>
      <c r="C1657" s="53">
        <v>31208.693899999998</v>
      </c>
    </row>
    <row r="1658" spans="1:3" x14ac:dyDescent="0.25">
      <c r="A1658" s="52">
        <f t="shared" si="25"/>
        <v>45117</v>
      </c>
      <c r="B1658" s="53">
        <v>1657</v>
      </c>
      <c r="C1658" s="53">
        <v>31210.7932</v>
      </c>
    </row>
    <row r="1659" spans="1:3" x14ac:dyDescent="0.25">
      <c r="A1659" s="52">
        <f t="shared" si="25"/>
        <v>45118</v>
      </c>
      <c r="B1659" s="53">
        <v>1658</v>
      </c>
      <c r="C1659" s="53">
        <v>31212.8927</v>
      </c>
    </row>
    <row r="1660" spans="1:3" x14ac:dyDescent="0.25">
      <c r="A1660" s="52">
        <f t="shared" si="25"/>
        <v>45119</v>
      </c>
      <c r="B1660" s="53">
        <v>1659</v>
      </c>
      <c r="C1660" s="53">
        <v>31214.992300000002</v>
      </c>
    </row>
    <row r="1661" spans="1:3" x14ac:dyDescent="0.25">
      <c r="A1661" s="52">
        <f t="shared" si="25"/>
        <v>45120</v>
      </c>
      <c r="B1661" s="53">
        <v>1660</v>
      </c>
      <c r="C1661" s="53">
        <v>31217.092100000002</v>
      </c>
    </row>
    <row r="1662" spans="1:3" x14ac:dyDescent="0.25">
      <c r="A1662" s="52">
        <f t="shared" si="25"/>
        <v>45121</v>
      </c>
      <c r="B1662" s="53">
        <v>1661</v>
      </c>
      <c r="C1662" s="53">
        <v>31219.191999999999</v>
      </c>
    </row>
    <row r="1663" spans="1:3" x14ac:dyDescent="0.25">
      <c r="A1663" s="52">
        <f t="shared" si="25"/>
        <v>45122</v>
      </c>
      <c r="B1663" s="53">
        <v>1662</v>
      </c>
      <c r="C1663" s="53">
        <v>31221.292000000001</v>
      </c>
    </row>
    <row r="1664" spans="1:3" x14ac:dyDescent="0.25">
      <c r="A1664" s="52">
        <f t="shared" si="25"/>
        <v>45123</v>
      </c>
      <c r="B1664" s="53">
        <v>1663</v>
      </c>
      <c r="C1664" s="53">
        <v>31223.392199999998</v>
      </c>
    </row>
    <row r="1665" spans="1:3" x14ac:dyDescent="0.25">
      <c r="A1665" s="52">
        <f t="shared" si="25"/>
        <v>45124</v>
      </c>
      <c r="B1665" s="53">
        <v>1664</v>
      </c>
      <c r="C1665" s="53">
        <v>31225.4925</v>
      </c>
    </row>
    <row r="1666" spans="1:3" x14ac:dyDescent="0.25">
      <c r="A1666" s="52">
        <f t="shared" ref="A1666:A1729" si="26">+$G$4+B1666</f>
        <v>45125</v>
      </c>
      <c r="B1666" s="53">
        <v>1665</v>
      </c>
      <c r="C1666" s="53">
        <v>31227.593000000001</v>
      </c>
    </row>
    <row r="1667" spans="1:3" x14ac:dyDescent="0.25">
      <c r="A1667" s="52">
        <f t="shared" si="26"/>
        <v>45126</v>
      </c>
      <c r="B1667" s="53">
        <v>1666</v>
      </c>
      <c r="C1667" s="53">
        <v>31229.693599999999</v>
      </c>
    </row>
    <row r="1668" spans="1:3" x14ac:dyDescent="0.25">
      <c r="A1668" s="52">
        <f t="shared" si="26"/>
        <v>45127</v>
      </c>
      <c r="B1668" s="53">
        <v>1667</v>
      </c>
      <c r="C1668" s="53">
        <v>31231.794399999999</v>
      </c>
    </row>
    <row r="1669" spans="1:3" x14ac:dyDescent="0.25">
      <c r="A1669" s="52">
        <f t="shared" si="26"/>
        <v>45128</v>
      </c>
      <c r="B1669" s="53">
        <v>1668</v>
      </c>
      <c r="C1669" s="53">
        <v>31233.895199999999</v>
      </c>
    </row>
    <row r="1670" spans="1:3" x14ac:dyDescent="0.25">
      <c r="A1670" s="52">
        <f t="shared" si="26"/>
        <v>45129</v>
      </c>
      <c r="B1670" s="53">
        <v>1669</v>
      </c>
      <c r="C1670" s="53">
        <v>31235.996299999999</v>
      </c>
    </row>
    <row r="1671" spans="1:3" x14ac:dyDescent="0.25">
      <c r="A1671" s="52">
        <f t="shared" si="26"/>
        <v>45130</v>
      </c>
      <c r="B1671" s="53">
        <v>1670</v>
      </c>
      <c r="C1671" s="53">
        <v>31238.097399999999</v>
      </c>
    </row>
    <row r="1672" spans="1:3" x14ac:dyDescent="0.25">
      <c r="A1672" s="52">
        <f t="shared" si="26"/>
        <v>45131</v>
      </c>
      <c r="B1672" s="53">
        <v>1671</v>
      </c>
      <c r="C1672" s="53">
        <v>31240.198799999998</v>
      </c>
    </row>
    <row r="1673" spans="1:3" x14ac:dyDescent="0.25">
      <c r="A1673" s="52">
        <f t="shared" si="26"/>
        <v>45132</v>
      </c>
      <c r="B1673" s="53">
        <v>1672</v>
      </c>
      <c r="C1673" s="53">
        <v>31242.300200000001</v>
      </c>
    </row>
    <row r="1674" spans="1:3" x14ac:dyDescent="0.25">
      <c r="A1674" s="52">
        <f t="shared" si="26"/>
        <v>45133</v>
      </c>
      <c r="B1674" s="53">
        <v>1673</v>
      </c>
      <c r="C1674" s="53">
        <v>31244.4018</v>
      </c>
    </row>
    <row r="1675" spans="1:3" x14ac:dyDescent="0.25">
      <c r="A1675" s="52">
        <f t="shared" si="26"/>
        <v>45134</v>
      </c>
      <c r="B1675" s="53">
        <v>1674</v>
      </c>
      <c r="C1675" s="53">
        <v>31246.5036</v>
      </c>
    </row>
    <row r="1676" spans="1:3" x14ac:dyDescent="0.25">
      <c r="A1676" s="52">
        <f t="shared" si="26"/>
        <v>45135</v>
      </c>
      <c r="B1676" s="53">
        <v>1675</v>
      </c>
      <c r="C1676" s="53">
        <v>31248.6054</v>
      </c>
    </row>
    <row r="1677" spans="1:3" x14ac:dyDescent="0.25">
      <c r="A1677" s="52">
        <f t="shared" si="26"/>
        <v>45136</v>
      </c>
      <c r="B1677" s="53">
        <v>1676</v>
      </c>
      <c r="C1677" s="53">
        <v>31250.7075</v>
      </c>
    </row>
    <row r="1678" spans="1:3" x14ac:dyDescent="0.25">
      <c r="A1678" s="52">
        <f t="shared" si="26"/>
        <v>45137</v>
      </c>
      <c r="B1678" s="53">
        <v>1677</v>
      </c>
      <c r="C1678" s="53">
        <v>31252.809600000001</v>
      </c>
    </row>
    <row r="1679" spans="1:3" x14ac:dyDescent="0.25">
      <c r="A1679" s="52">
        <f t="shared" si="26"/>
        <v>45138</v>
      </c>
      <c r="B1679" s="53">
        <v>1678</v>
      </c>
      <c r="C1679" s="53">
        <v>31254.911899999999</v>
      </c>
    </row>
    <row r="1680" spans="1:3" x14ac:dyDescent="0.25">
      <c r="A1680" s="52">
        <f t="shared" si="26"/>
        <v>45139</v>
      </c>
      <c r="B1680" s="53">
        <v>1679</v>
      </c>
      <c r="C1680" s="53">
        <v>31257.0144</v>
      </c>
    </row>
    <row r="1681" spans="1:3" x14ac:dyDescent="0.25">
      <c r="A1681" s="52">
        <f t="shared" si="26"/>
        <v>45140</v>
      </c>
      <c r="B1681" s="53">
        <v>1680</v>
      </c>
      <c r="C1681" s="53">
        <v>31259.116999999998</v>
      </c>
    </row>
    <row r="1682" spans="1:3" x14ac:dyDescent="0.25">
      <c r="A1682" s="52">
        <f t="shared" si="26"/>
        <v>45141</v>
      </c>
      <c r="B1682" s="53">
        <v>1681</v>
      </c>
      <c r="C1682" s="53">
        <v>31261.219700000001</v>
      </c>
    </row>
    <row r="1683" spans="1:3" x14ac:dyDescent="0.25">
      <c r="A1683" s="52">
        <f t="shared" si="26"/>
        <v>45142</v>
      </c>
      <c r="B1683" s="53">
        <v>1682</v>
      </c>
      <c r="C1683" s="53">
        <v>31263.3226</v>
      </c>
    </row>
    <row r="1684" spans="1:3" x14ac:dyDescent="0.25">
      <c r="A1684" s="52">
        <f t="shared" si="26"/>
        <v>45143</v>
      </c>
      <c r="B1684" s="53">
        <v>1683</v>
      </c>
      <c r="C1684" s="53">
        <v>31265.425599999999</v>
      </c>
    </row>
    <row r="1685" spans="1:3" x14ac:dyDescent="0.25">
      <c r="A1685" s="52">
        <f t="shared" si="26"/>
        <v>45144</v>
      </c>
      <c r="B1685" s="53">
        <v>1684</v>
      </c>
      <c r="C1685" s="53">
        <v>31267.528699999999</v>
      </c>
    </row>
    <row r="1686" spans="1:3" x14ac:dyDescent="0.25">
      <c r="A1686" s="52">
        <f t="shared" si="26"/>
        <v>45145</v>
      </c>
      <c r="B1686" s="53">
        <v>1685</v>
      </c>
      <c r="C1686" s="53">
        <v>31269.632000000001</v>
      </c>
    </row>
    <row r="1687" spans="1:3" x14ac:dyDescent="0.25">
      <c r="A1687" s="52">
        <f t="shared" si="26"/>
        <v>45146</v>
      </c>
      <c r="B1687" s="53">
        <v>1686</v>
      </c>
      <c r="C1687" s="53">
        <v>31271.735400000001</v>
      </c>
    </row>
    <row r="1688" spans="1:3" x14ac:dyDescent="0.25">
      <c r="A1688" s="52">
        <f t="shared" si="26"/>
        <v>45147</v>
      </c>
      <c r="B1688" s="53">
        <v>1687</v>
      </c>
      <c r="C1688" s="53">
        <v>31273.839</v>
      </c>
    </row>
    <row r="1689" spans="1:3" x14ac:dyDescent="0.25">
      <c r="A1689" s="52">
        <f t="shared" si="26"/>
        <v>45148</v>
      </c>
      <c r="B1689" s="53">
        <v>1688</v>
      </c>
      <c r="C1689" s="53">
        <v>31276.690299999998</v>
      </c>
    </row>
    <row r="1690" spans="1:3" x14ac:dyDescent="0.25">
      <c r="A1690" s="52">
        <f t="shared" si="26"/>
        <v>45149</v>
      </c>
      <c r="B1690" s="53">
        <v>1689</v>
      </c>
      <c r="C1690" s="53">
        <v>31279.541700000002</v>
      </c>
    </row>
    <row r="1691" spans="1:3" x14ac:dyDescent="0.25">
      <c r="A1691" s="52">
        <f t="shared" si="26"/>
        <v>45150</v>
      </c>
      <c r="B1691" s="53">
        <v>1690</v>
      </c>
      <c r="C1691" s="53">
        <v>31282.393499999998</v>
      </c>
    </row>
    <row r="1692" spans="1:3" x14ac:dyDescent="0.25">
      <c r="A1692" s="52">
        <f t="shared" si="26"/>
        <v>45151</v>
      </c>
      <c r="B1692" s="53">
        <v>1691</v>
      </c>
      <c r="C1692" s="53">
        <v>31285.245500000001</v>
      </c>
    </row>
    <row r="1693" spans="1:3" x14ac:dyDescent="0.25">
      <c r="A1693" s="52">
        <f t="shared" si="26"/>
        <v>45152</v>
      </c>
      <c r="B1693" s="53">
        <v>1692</v>
      </c>
      <c r="C1693" s="53">
        <v>31288.0978</v>
      </c>
    </row>
    <row r="1694" spans="1:3" x14ac:dyDescent="0.25">
      <c r="A1694" s="52">
        <f t="shared" si="26"/>
        <v>45153</v>
      </c>
      <c r="B1694" s="53">
        <v>1693</v>
      </c>
      <c r="C1694" s="53">
        <v>31290.9503</v>
      </c>
    </row>
    <row r="1695" spans="1:3" x14ac:dyDescent="0.25">
      <c r="A1695" s="52">
        <f t="shared" si="26"/>
        <v>45154</v>
      </c>
      <c r="B1695" s="53">
        <v>1694</v>
      </c>
      <c r="C1695" s="53">
        <v>31293.803100000001</v>
      </c>
    </row>
    <row r="1696" spans="1:3" x14ac:dyDescent="0.25">
      <c r="A1696" s="52">
        <f t="shared" si="26"/>
        <v>45155</v>
      </c>
      <c r="B1696" s="53">
        <v>1695</v>
      </c>
      <c r="C1696" s="53">
        <v>31296.656200000001</v>
      </c>
    </row>
    <row r="1697" spans="1:3" x14ac:dyDescent="0.25">
      <c r="A1697" s="52">
        <f t="shared" si="26"/>
        <v>45156</v>
      </c>
      <c r="B1697" s="53">
        <v>1696</v>
      </c>
      <c r="C1697" s="53">
        <v>31299.5095</v>
      </c>
    </row>
    <row r="1698" spans="1:3" x14ac:dyDescent="0.25">
      <c r="A1698" s="52">
        <f t="shared" si="26"/>
        <v>45157</v>
      </c>
      <c r="B1698" s="53">
        <v>1697</v>
      </c>
      <c r="C1698" s="53">
        <v>31302.363000000001</v>
      </c>
    </row>
    <row r="1699" spans="1:3" x14ac:dyDescent="0.25">
      <c r="A1699" s="52">
        <f t="shared" si="26"/>
        <v>45158</v>
      </c>
      <c r="B1699" s="53">
        <v>1698</v>
      </c>
      <c r="C1699" s="53">
        <v>31305.216899999999</v>
      </c>
    </row>
    <row r="1700" spans="1:3" x14ac:dyDescent="0.25">
      <c r="A1700" s="52">
        <f t="shared" si="26"/>
        <v>45159</v>
      </c>
      <c r="B1700" s="53">
        <v>1699</v>
      </c>
      <c r="C1700" s="53">
        <v>31308.071</v>
      </c>
    </row>
    <row r="1701" spans="1:3" x14ac:dyDescent="0.25">
      <c r="A1701" s="52">
        <f t="shared" si="26"/>
        <v>45160</v>
      </c>
      <c r="B1701" s="53">
        <v>1700</v>
      </c>
      <c r="C1701" s="53">
        <v>31310.925299999999</v>
      </c>
    </row>
    <row r="1702" spans="1:3" x14ac:dyDescent="0.25">
      <c r="A1702" s="52">
        <f t="shared" si="26"/>
        <v>45161</v>
      </c>
      <c r="B1702" s="53">
        <v>1701</v>
      </c>
      <c r="C1702" s="53">
        <v>31313.779900000001</v>
      </c>
    </row>
    <row r="1703" spans="1:3" x14ac:dyDescent="0.25">
      <c r="A1703" s="52">
        <f t="shared" si="26"/>
        <v>45162</v>
      </c>
      <c r="B1703" s="53">
        <v>1702</v>
      </c>
      <c r="C1703" s="53">
        <v>31316.6348</v>
      </c>
    </row>
    <row r="1704" spans="1:3" x14ac:dyDescent="0.25">
      <c r="A1704" s="52">
        <f t="shared" si="26"/>
        <v>45163</v>
      </c>
      <c r="B1704" s="53">
        <v>1703</v>
      </c>
      <c r="C1704" s="53">
        <v>31319.4899</v>
      </c>
    </row>
    <row r="1705" spans="1:3" x14ac:dyDescent="0.25">
      <c r="A1705" s="52">
        <f t="shared" si="26"/>
        <v>45164</v>
      </c>
      <c r="B1705" s="53">
        <v>1704</v>
      </c>
      <c r="C1705" s="53">
        <v>31322.345300000001</v>
      </c>
    </row>
    <row r="1706" spans="1:3" x14ac:dyDescent="0.25">
      <c r="A1706" s="52">
        <f t="shared" si="26"/>
        <v>45165</v>
      </c>
      <c r="B1706" s="53">
        <v>1705</v>
      </c>
      <c r="C1706" s="53">
        <v>31325.201000000001</v>
      </c>
    </row>
    <row r="1707" spans="1:3" x14ac:dyDescent="0.25">
      <c r="A1707" s="52">
        <f t="shared" si="26"/>
        <v>45166</v>
      </c>
      <c r="B1707" s="53">
        <v>1706</v>
      </c>
      <c r="C1707" s="53">
        <v>31328.0569</v>
      </c>
    </row>
    <row r="1708" spans="1:3" x14ac:dyDescent="0.25">
      <c r="A1708" s="52">
        <f t="shared" si="26"/>
        <v>45167</v>
      </c>
      <c r="B1708" s="53">
        <v>1707</v>
      </c>
      <c r="C1708" s="53">
        <v>31330.913100000002</v>
      </c>
    </row>
    <row r="1709" spans="1:3" x14ac:dyDescent="0.25">
      <c r="A1709" s="52">
        <f t="shared" si="26"/>
        <v>45168</v>
      </c>
      <c r="B1709" s="53">
        <v>1708</v>
      </c>
      <c r="C1709" s="53">
        <v>31333.769499999999</v>
      </c>
    </row>
    <row r="1710" spans="1:3" x14ac:dyDescent="0.25">
      <c r="A1710" s="52">
        <f t="shared" si="26"/>
        <v>45169</v>
      </c>
      <c r="B1710" s="53">
        <v>1709</v>
      </c>
      <c r="C1710" s="53">
        <v>31336.626199999999</v>
      </c>
    </row>
    <row r="1711" spans="1:3" x14ac:dyDescent="0.25">
      <c r="A1711" s="52">
        <f t="shared" si="26"/>
        <v>45170</v>
      </c>
      <c r="B1711" s="53">
        <v>1710</v>
      </c>
      <c r="C1711" s="53">
        <v>31339.483199999999</v>
      </c>
    </row>
    <row r="1712" spans="1:3" x14ac:dyDescent="0.25">
      <c r="A1712" s="52">
        <f t="shared" si="26"/>
        <v>45171</v>
      </c>
      <c r="B1712" s="53">
        <v>1711</v>
      </c>
      <c r="C1712" s="53">
        <v>31342.340400000001</v>
      </c>
    </row>
    <row r="1713" spans="1:3" x14ac:dyDescent="0.25">
      <c r="A1713" s="52">
        <f t="shared" si="26"/>
        <v>45172</v>
      </c>
      <c r="B1713" s="53">
        <v>1712</v>
      </c>
      <c r="C1713" s="53">
        <v>31345.197800000002</v>
      </c>
    </row>
    <row r="1714" spans="1:3" x14ac:dyDescent="0.25">
      <c r="A1714" s="52">
        <f t="shared" si="26"/>
        <v>45173</v>
      </c>
      <c r="B1714" s="53">
        <v>1713</v>
      </c>
      <c r="C1714" s="53">
        <v>31348.0556</v>
      </c>
    </row>
    <row r="1715" spans="1:3" x14ac:dyDescent="0.25">
      <c r="A1715" s="52">
        <f t="shared" si="26"/>
        <v>45174</v>
      </c>
      <c r="B1715" s="53">
        <v>1714</v>
      </c>
      <c r="C1715" s="53">
        <v>31350.9136</v>
      </c>
    </row>
    <row r="1716" spans="1:3" x14ac:dyDescent="0.25">
      <c r="A1716" s="52">
        <f t="shared" si="26"/>
        <v>45175</v>
      </c>
      <c r="B1716" s="53">
        <v>1715</v>
      </c>
      <c r="C1716" s="53">
        <v>31353.771799999999</v>
      </c>
    </row>
    <row r="1717" spans="1:3" x14ac:dyDescent="0.25">
      <c r="A1717" s="52">
        <f t="shared" si="26"/>
        <v>45176</v>
      </c>
      <c r="B1717" s="53">
        <v>1716</v>
      </c>
      <c r="C1717" s="53">
        <v>31356.630399999998</v>
      </c>
    </row>
    <row r="1718" spans="1:3" x14ac:dyDescent="0.25">
      <c r="A1718" s="52">
        <f t="shared" si="26"/>
        <v>45177</v>
      </c>
      <c r="B1718" s="53">
        <v>1717</v>
      </c>
      <c r="C1718" s="53">
        <v>31359.489099999999</v>
      </c>
    </row>
    <row r="1719" spans="1:3" x14ac:dyDescent="0.25">
      <c r="A1719" s="52">
        <f t="shared" si="26"/>
        <v>45178</v>
      </c>
      <c r="B1719" s="53">
        <v>1718</v>
      </c>
      <c r="C1719" s="53">
        <v>31362.3482</v>
      </c>
    </row>
    <row r="1720" spans="1:3" x14ac:dyDescent="0.25">
      <c r="A1720" s="52">
        <f t="shared" si="26"/>
        <v>45179</v>
      </c>
      <c r="B1720" s="53">
        <v>1719</v>
      </c>
      <c r="C1720" s="53">
        <v>31364.8321</v>
      </c>
    </row>
    <row r="1721" spans="1:3" x14ac:dyDescent="0.25">
      <c r="A1721" s="52">
        <f t="shared" si="26"/>
        <v>45180</v>
      </c>
      <c r="B1721" s="53">
        <v>1720</v>
      </c>
      <c r="C1721" s="53">
        <v>31367.3161</v>
      </c>
    </row>
    <row r="1722" spans="1:3" x14ac:dyDescent="0.25">
      <c r="A1722" s="52">
        <f t="shared" si="26"/>
        <v>45181</v>
      </c>
      <c r="B1722" s="53">
        <v>1721</v>
      </c>
      <c r="C1722" s="53">
        <v>31369.8004</v>
      </c>
    </row>
    <row r="1723" spans="1:3" x14ac:dyDescent="0.25">
      <c r="A1723" s="52">
        <f t="shared" si="26"/>
        <v>45182</v>
      </c>
      <c r="B1723" s="53">
        <v>1722</v>
      </c>
      <c r="C1723" s="53">
        <v>31372.284899999999</v>
      </c>
    </row>
    <row r="1724" spans="1:3" x14ac:dyDescent="0.25">
      <c r="A1724" s="52">
        <f t="shared" si="26"/>
        <v>45183</v>
      </c>
      <c r="B1724" s="53">
        <v>1723</v>
      </c>
      <c r="C1724" s="53">
        <v>31374.7696</v>
      </c>
    </row>
    <row r="1725" spans="1:3" x14ac:dyDescent="0.25">
      <c r="A1725" s="52">
        <f t="shared" si="26"/>
        <v>45184</v>
      </c>
      <c r="B1725" s="53">
        <v>1724</v>
      </c>
      <c r="C1725" s="53">
        <v>31377.254400000002</v>
      </c>
    </row>
    <row r="1726" spans="1:3" x14ac:dyDescent="0.25">
      <c r="A1726" s="52">
        <f t="shared" si="26"/>
        <v>45185</v>
      </c>
      <c r="B1726" s="53">
        <v>1725</v>
      </c>
      <c r="C1726" s="53">
        <v>31379.7395</v>
      </c>
    </row>
    <row r="1727" spans="1:3" x14ac:dyDescent="0.25">
      <c r="A1727" s="52">
        <f t="shared" si="26"/>
        <v>45186</v>
      </c>
      <c r="B1727" s="53">
        <v>1726</v>
      </c>
      <c r="C1727" s="53">
        <v>31382.224699999999</v>
      </c>
    </row>
    <row r="1728" spans="1:3" x14ac:dyDescent="0.25">
      <c r="A1728" s="52">
        <f t="shared" si="26"/>
        <v>45187</v>
      </c>
      <c r="B1728" s="53">
        <v>1727</v>
      </c>
      <c r="C1728" s="53">
        <v>31384.710200000001</v>
      </c>
    </row>
    <row r="1729" spans="1:3" x14ac:dyDescent="0.25">
      <c r="A1729" s="52">
        <f t="shared" si="26"/>
        <v>45188</v>
      </c>
      <c r="B1729" s="53">
        <v>1728</v>
      </c>
      <c r="C1729" s="53">
        <v>31387.195899999999</v>
      </c>
    </row>
    <row r="1730" spans="1:3" x14ac:dyDescent="0.25">
      <c r="A1730" s="52">
        <f t="shared" ref="A1730:A1793" si="27">+$G$4+B1730</f>
        <v>45189</v>
      </c>
      <c r="B1730" s="53">
        <v>1729</v>
      </c>
      <c r="C1730" s="53">
        <v>31389.681700000001</v>
      </c>
    </row>
    <row r="1731" spans="1:3" x14ac:dyDescent="0.25">
      <c r="A1731" s="52">
        <f t="shared" si="27"/>
        <v>45190</v>
      </c>
      <c r="B1731" s="53">
        <v>1730</v>
      </c>
      <c r="C1731" s="53">
        <v>31392.167799999999</v>
      </c>
    </row>
    <row r="1732" spans="1:3" x14ac:dyDescent="0.25">
      <c r="A1732" s="52">
        <f t="shared" si="27"/>
        <v>45191</v>
      </c>
      <c r="B1732" s="53">
        <v>1731</v>
      </c>
      <c r="C1732" s="53">
        <v>31394.653999999999</v>
      </c>
    </row>
    <row r="1733" spans="1:3" x14ac:dyDescent="0.25">
      <c r="A1733" s="52">
        <f t="shared" si="27"/>
        <v>45192</v>
      </c>
      <c r="B1733" s="53">
        <v>1732</v>
      </c>
      <c r="C1733" s="53">
        <v>31397.1404</v>
      </c>
    </row>
    <row r="1734" spans="1:3" x14ac:dyDescent="0.25">
      <c r="A1734" s="52">
        <f t="shared" si="27"/>
        <v>45193</v>
      </c>
      <c r="B1734" s="53">
        <v>1733</v>
      </c>
      <c r="C1734" s="53">
        <v>31399.627100000002</v>
      </c>
    </row>
    <row r="1735" spans="1:3" x14ac:dyDescent="0.25">
      <c r="A1735" s="52">
        <f t="shared" si="27"/>
        <v>45194</v>
      </c>
      <c r="B1735" s="53">
        <v>1734</v>
      </c>
      <c r="C1735" s="53">
        <v>31402.1139</v>
      </c>
    </row>
    <row r="1736" spans="1:3" x14ac:dyDescent="0.25">
      <c r="A1736" s="52">
        <f t="shared" si="27"/>
        <v>45195</v>
      </c>
      <c r="B1736" s="53">
        <v>1735</v>
      </c>
      <c r="C1736" s="53">
        <v>31404.600999999999</v>
      </c>
    </row>
    <row r="1737" spans="1:3" x14ac:dyDescent="0.25">
      <c r="A1737" s="52">
        <f t="shared" si="27"/>
        <v>45196</v>
      </c>
      <c r="B1737" s="53">
        <v>1736</v>
      </c>
      <c r="C1737" s="53">
        <v>31407.088199999998</v>
      </c>
    </row>
    <row r="1738" spans="1:3" x14ac:dyDescent="0.25">
      <c r="A1738" s="52">
        <f t="shared" si="27"/>
        <v>45197</v>
      </c>
      <c r="B1738" s="53">
        <v>1737</v>
      </c>
      <c r="C1738" s="53">
        <v>31409.5756</v>
      </c>
    </row>
    <row r="1739" spans="1:3" x14ac:dyDescent="0.25">
      <c r="A1739" s="52">
        <f t="shared" si="27"/>
        <v>45198</v>
      </c>
      <c r="B1739" s="53">
        <v>1738</v>
      </c>
      <c r="C1739" s="53">
        <v>31412.063200000001</v>
      </c>
    </row>
    <row r="1740" spans="1:3" x14ac:dyDescent="0.25">
      <c r="A1740" s="52">
        <f t="shared" si="27"/>
        <v>45199</v>
      </c>
      <c r="B1740" s="53">
        <v>1739</v>
      </c>
      <c r="C1740" s="53">
        <v>31414.551100000001</v>
      </c>
    </row>
    <row r="1741" spans="1:3" x14ac:dyDescent="0.25">
      <c r="A1741" s="52">
        <f t="shared" si="27"/>
        <v>45200</v>
      </c>
      <c r="B1741" s="53">
        <v>1740</v>
      </c>
      <c r="C1741" s="53">
        <v>31417.039100000002</v>
      </c>
    </row>
    <row r="1742" spans="1:3" x14ac:dyDescent="0.25">
      <c r="A1742" s="52">
        <f t="shared" si="27"/>
        <v>45201</v>
      </c>
      <c r="B1742" s="53">
        <v>1741</v>
      </c>
      <c r="C1742" s="53">
        <v>31419.527300000002</v>
      </c>
    </row>
    <row r="1743" spans="1:3" x14ac:dyDescent="0.25">
      <c r="A1743" s="52">
        <f t="shared" si="27"/>
        <v>45202</v>
      </c>
      <c r="B1743" s="53">
        <v>1742</v>
      </c>
      <c r="C1743" s="53">
        <v>31422.0157</v>
      </c>
    </row>
    <row r="1744" spans="1:3" x14ac:dyDescent="0.25">
      <c r="A1744" s="52">
        <f t="shared" si="27"/>
        <v>45203</v>
      </c>
      <c r="B1744" s="53">
        <v>1743</v>
      </c>
      <c r="C1744" s="53">
        <v>31424.504300000001</v>
      </c>
    </row>
    <row r="1745" spans="1:3" x14ac:dyDescent="0.25">
      <c r="A1745" s="52">
        <f t="shared" si="27"/>
        <v>45204</v>
      </c>
      <c r="B1745" s="53">
        <v>1744</v>
      </c>
      <c r="C1745" s="53">
        <v>31426.9931</v>
      </c>
    </row>
    <row r="1746" spans="1:3" x14ac:dyDescent="0.25">
      <c r="A1746" s="52">
        <f t="shared" si="27"/>
        <v>45205</v>
      </c>
      <c r="B1746" s="53">
        <v>1745</v>
      </c>
      <c r="C1746" s="53">
        <v>31429.482100000001</v>
      </c>
    </row>
    <row r="1747" spans="1:3" x14ac:dyDescent="0.25">
      <c r="A1747" s="52">
        <f t="shared" si="27"/>
        <v>45206</v>
      </c>
      <c r="B1747" s="53">
        <v>1746</v>
      </c>
      <c r="C1747" s="53">
        <v>31431.971300000001</v>
      </c>
    </row>
    <row r="1748" spans="1:3" x14ac:dyDescent="0.25">
      <c r="A1748" s="52">
        <f t="shared" si="27"/>
        <v>45207</v>
      </c>
      <c r="B1748" s="53">
        <v>1747</v>
      </c>
      <c r="C1748" s="53">
        <v>31434.4607</v>
      </c>
    </row>
    <row r="1749" spans="1:3" x14ac:dyDescent="0.25">
      <c r="A1749" s="52">
        <f t="shared" si="27"/>
        <v>45208</v>
      </c>
      <c r="B1749" s="53">
        <v>1748</v>
      </c>
      <c r="C1749" s="53">
        <v>31436.9503</v>
      </c>
    </row>
    <row r="1750" spans="1:3" x14ac:dyDescent="0.25">
      <c r="A1750" s="52">
        <f t="shared" si="27"/>
        <v>45209</v>
      </c>
      <c r="B1750" s="53">
        <v>1749</v>
      </c>
      <c r="C1750" s="53">
        <v>31440.597699999998</v>
      </c>
    </row>
    <row r="1751" spans="1:3" x14ac:dyDescent="0.25">
      <c r="A1751" s="52">
        <f t="shared" si="27"/>
        <v>45210</v>
      </c>
      <c r="B1751" s="53">
        <v>1750</v>
      </c>
      <c r="C1751" s="53">
        <v>31444.245500000001</v>
      </c>
    </row>
    <row r="1752" spans="1:3" x14ac:dyDescent="0.25">
      <c r="A1752" s="52">
        <f t="shared" si="27"/>
        <v>45211</v>
      </c>
      <c r="B1752" s="53">
        <v>1751</v>
      </c>
      <c r="C1752" s="53">
        <v>31447.893800000002</v>
      </c>
    </row>
    <row r="1753" spans="1:3" x14ac:dyDescent="0.25">
      <c r="A1753" s="52">
        <f t="shared" si="27"/>
        <v>45212</v>
      </c>
      <c r="B1753" s="53">
        <v>1752</v>
      </c>
      <c r="C1753" s="53">
        <v>31451.542399999998</v>
      </c>
    </row>
    <row r="1754" spans="1:3" x14ac:dyDescent="0.25">
      <c r="A1754" s="52">
        <f t="shared" si="27"/>
        <v>45213</v>
      </c>
      <c r="B1754" s="53">
        <v>1753</v>
      </c>
      <c r="C1754" s="53">
        <v>31455.191500000001</v>
      </c>
    </row>
    <row r="1755" spans="1:3" x14ac:dyDescent="0.25">
      <c r="A1755" s="52">
        <f t="shared" si="27"/>
        <v>45214</v>
      </c>
      <c r="B1755" s="53">
        <v>1754</v>
      </c>
      <c r="C1755" s="53">
        <v>31458.841</v>
      </c>
    </row>
    <row r="1756" spans="1:3" x14ac:dyDescent="0.25">
      <c r="A1756" s="52">
        <f t="shared" si="27"/>
        <v>45215</v>
      </c>
      <c r="B1756" s="53">
        <v>1755</v>
      </c>
      <c r="C1756" s="53">
        <v>31462.491000000002</v>
      </c>
    </row>
    <row r="1757" spans="1:3" x14ac:dyDescent="0.25">
      <c r="A1757" s="52">
        <f t="shared" si="27"/>
        <v>45216</v>
      </c>
      <c r="B1757" s="53">
        <v>1756</v>
      </c>
      <c r="C1757" s="53">
        <v>31466.141299999999</v>
      </c>
    </row>
    <row r="1758" spans="1:3" x14ac:dyDescent="0.25">
      <c r="A1758" s="52">
        <f t="shared" si="27"/>
        <v>45217</v>
      </c>
      <c r="B1758" s="53">
        <v>1757</v>
      </c>
      <c r="C1758" s="53">
        <v>31469.792099999999</v>
      </c>
    </row>
    <row r="1759" spans="1:3" x14ac:dyDescent="0.25">
      <c r="A1759" s="52">
        <f t="shared" si="27"/>
        <v>45218</v>
      </c>
      <c r="B1759" s="53">
        <v>1758</v>
      </c>
      <c r="C1759" s="53">
        <v>31473.443299999999</v>
      </c>
    </row>
    <row r="1760" spans="1:3" x14ac:dyDescent="0.25">
      <c r="A1760" s="52">
        <f t="shared" si="27"/>
        <v>45219</v>
      </c>
      <c r="B1760" s="53">
        <v>1759</v>
      </c>
      <c r="C1760" s="53">
        <v>31477.0949</v>
      </c>
    </row>
    <row r="1761" spans="1:3" x14ac:dyDescent="0.25">
      <c r="A1761" s="52">
        <f t="shared" si="27"/>
        <v>45220</v>
      </c>
      <c r="B1761" s="53">
        <v>1760</v>
      </c>
      <c r="C1761" s="53">
        <v>31480.746999999999</v>
      </c>
    </row>
    <row r="1762" spans="1:3" x14ac:dyDescent="0.25">
      <c r="A1762" s="52">
        <f t="shared" si="27"/>
        <v>45221</v>
      </c>
      <c r="B1762" s="53">
        <v>1761</v>
      </c>
      <c r="C1762" s="53">
        <v>31484.3995</v>
      </c>
    </row>
    <row r="1763" spans="1:3" x14ac:dyDescent="0.25">
      <c r="A1763" s="52">
        <f t="shared" si="27"/>
        <v>45222</v>
      </c>
      <c r="B1763" s="53">
        <v>1762</v>
      </c>
      <c r="C1763" s="53">
        <v>31488.0524</v>
      </c>
    </row>
    <row r="1764" spans="1:3" x14ac:dyDescent="0.25">
      <c r="A1764" s="52">
        <f t="shared" si="27"/>
        <v>45223</v>
      </c>
      <c r="B1764" s="53">
        <v>1763</v>
      </c>
      <c r="C1764" s="53">
        <v>31491.705699999999</v>
      </c>
    </row>
    <row r="1765" spans="1:3" x14ac:dyDescent="0.25">
      <c r="A1765" s="52">
        <f t="shared" si="27"/>
        <v>45224</v>
      </c>
      <c r="B1765" s="53">
        <v>1764</v>
      </c>
      <c r="C1765" s="53">
        <v>31495.359400000001</v>
      </c>
    </row>
    <row r="1766" spans="1:3" x14ac:dyDescent="0.25">
      <c r="A1766" s="52">
        <f t="shared" si="27"/>
        <v>45225</v>
      </c>
      <c r="B1766" s="53">
        <v>1765</v>
      </c>
      <c r="C1766" s="53">
        <v>31499.013599999998</v>
      </c>
    </row>
    <row r="1767" spans="1:3" x14ac:dyDescent="0.25">
      <c r="A1767" s="52">
        <f t="shared" si="27"/>
        <v>45226</v>
      </c>
      <c r="B1767" s="53">
        <v>1766</v>
      </c>
      <c r="C1767" s="53">
        <v>31502.6682</v>
      </c>
    </row>
    <row r="1768" spans="1:3" x14ac:dyDescent="0.25">
      <c r="A1768" s="52">
        <f t="shared" si="27"/>
        <v>45227</v>
      </c>
      <c r="B1768" s="53">
        <v>1767</v>
      </c>
      <c r="C1768" s="53">
        <v>31506.323199999999</v>
      </c>
    </row>
    <row r="1769" spans="1:3" x14ac:dyDescent="0.25">
      <c r="A1769" s="52">
        <f t="shared" si="27"/>
        <v>45228</v>
      </c>
      <c r="B1769" s="53">
        <v>1768</v>
      </c>
      <c r="C1769" s="53">
        <v>31509.9787</v>
      </c>
    </row>
    <row r="1770" spans="1:3" x14ac:dyDescent="0.25">
      <c r="A1770" s="52">
        <f t="shared" si="27"/>
        <v>45229</v>
      </c>
      <c r="B1770" s="53">
        <v>1769</v>
      </c>
      <c r="C1770" s="53">
        <v>31513.634600000001</v>
      </c>
    </row>
    <row r="1771" spans="1:3" x14ac:dyDescent="0.25">
      <c r="A1771" s="52">
        <f t="shared" si="27"/>
        <v>45230</v>
      </c>
      <c r="B1771" s="53">
        <v>1770</v>
      </c>
      <c r="C1771" s="53">
        <v>31517.290799999999</v>
      </c>
    </row>
    <row r="1772" spans="1:3" x14ac:dyDescent="0.25">
      <c r="A1772" s="52">
        <f t="shared" si="27"/>
        <v>45231</v>
      </c>
      <c r="B1772" s="53">
        <v>1771</v>
      </c>
      <c r="C1772" s="53">
        <v>31520.9476</v>
      </c>
    </row>
    <row r="1773" spans="1:3" x14ac:dyDescent="0.25">
      <c r="A1773" s="52">
        <f t="shared" si="27"/>
        <v>45232</v>
      </c>
      <c r="B1773" s="53">
        <v>1772</v>
      </c>
      <c r="C1773" s="53">
        <v>31524.6047</v>
      </c>
    </row>
    <row r="1774" spans="1:3" x14ac:dyDescent="0.25">
      <c r="A1774" s="52">
        <f t="shared" si="27"/>
        <v>45233</v>
      </c>
      <c r="B1774" s="53">
        <v>1773</v>
      </c>
      <c r="C1774" s="53">
        <v>31528.262299999999</v>
      </c>
    </row>
    <row r="1775" spans="1:3" x14ac:dyDescent="0.25">
      <c r="A1775" s="52">
        <f t="shared" si="27"/>
        <v>45234</v>
      </c>
      <c r="B1775" s="53">
        <v>1774</v>
      </c>
      <c r="C1775" s="53">
        <v>31531.920300000002</v>
      </c>
    </row>
    <row r="1776" spans="1:3" x14ac:dyDescent="0.25">
      <c r="A1776" s="52">
        <f t="shared" si="27"/>
        <v>45235</v>
      </c>
      <c r="B1776" s="53">
        <v>1775</v>
      </c>
      <c r="C1776" s="53">
        <v>31535.578699999998</v>
      </c>
    </row>
    <row r="1777" spans="1:3" x14ac:dyDescent="0.25">
      <c r="A1777" s="52">
        <f t="shared" si="27"/>
        <v>45236</v>
      </c>
      <c r="B1777" s="53">
        <v>1776</v>
      </c>
      <c r="C1777" s="53">
        <v>31539.237499999999</v>
      </c>
    </row>
    <row r="1778" spans="1:3" x14ac:dyDescent="0.25">
      <c r="A1778" s="52">
        <f t="shared" si="27"/>
        <v>45237</v>
      </c>
      <c r="B1778" s="53">
        <v>1777</v>
      </c>
      <c r="C1778" s="53">
        <v>31542.896799999999</v>
      </c>
    </row>
    <row r="1779" spans="1:3" x14ac:dyDescent="0.25">
      <c r="A1779" s="52">
        <f t="shared" si="27"/>
        <v>45238</v>
      </c>
      <c r="B1779" s="53">
        <v>1778</v>
      </c>
      <c r="C1779" s="53">
        <v>31546.556499999999</v>
      </c>
    </row>
    <row r="1780" spans="1:3" x14ac:dyDescent="0.25">
      <c r="A1780" s="52">
        <f t="shared" si="27"/>
        <v>45239</v>
      </c>
      <c r="B1780" s="53">
        <v>1779</v>
      </c>
      <c r="C1780" s="53">
        <v>31550.2166</v>
      </c>
    </row>
    <row r="1781" spans="1:3" x14ac:dyDescent="0.25">
      <c r="A1781" s="52">
        <f t="shared" si="27"/>
        <v>45240</v>
      </c>
      <c r="B1781" s="53">
        <v>1780</v>
      </c>
      <c r="C1781" s="53">
        <v>31553.970099999999</v>
      </c>
    </row>
    <row r="1782" spans="1:3" x14ac:dyDescent="0.25">
      <c r="A1782" s="52">
        <f t="shared" si="27"/>
        <v>45241</v>
      </c>
      <c r="B1782" s="53">
        <v>1781</v>
      </c>
      <c r="C1782" s="53">
        <v>31557.723999999998</v>
      </c>
    </row>
    <row r="1783" spans="1:3" x14ac:dyDescent="0.25">
      <c r="A1783" s="52">
        <f t="shared" si="27"/>
        <v>45242</v>
      </c>
      <c r="B1783" s="53">
        <v>1782</v>
      </c>
      <c r="C1783" s="53">
        <v>31561.4784</v>
      </c>
    </row>
    <row r="1784" spans="1:3" x14ac:dyDescent="0.25">
      <c r="A1784" s="52">
        <f t="shared" si="27"/>
        <v>45243</v>
      </c>
      <c r="B1784" s="53">
        <v>1783</v>
      </c>
      <c r="C1784" s="53">
        <v>31565.233199999999</v>
      </c>
    </row>
    <row r="1785" spans="1:3" x14ac:dyDescent="0.25">
      <c r="A1785" s="52">
        <f t="shared" si="27"/>
        <v>45244</v>
      </c>
      <c r="B1785" s="53">
        <v>1784</v>
      </c>
      <c r="C1785" s="53">
        <v>31568.988499999999</v>
      </c>
    </row>
    <row r="1786" spans="1:3" x14ac:dyDescent="0.25">
      <c r="A1786" s="52">
        <f t="shared" si="27"/>
        <v>45245</v>
      </c>
      <c r="B1786" s="53">
        <v>1785</v>
      </c>
      <c r="C1786" s="53">
        <v>31572.744200000001</v>
      </c>
    </row>
    <row r="1787" spans="1:3" x14ac:dyDescent="0.25">
      <c r="A1787" s="52">
        <f t="shared" si="27"/>
        <v>45246</v>
      </c>
      <c r="B1787" s="53">
        <v>1786</v>
      </c>
      <c r="C1787" s="53">
        <v>31576.500400000001</v>
      </c>
    </row>
    <row r="1788" spans="1:3" x14ac:dyDescent="0.25">
      <c r="A1788" s="52">
        <f t="shared" si="27"/>
        <v>45247</v>
      </c>
      <c r="B1788" s="53">
        <v>1787</v>
      </c>
      <c r="C1788" s="53">
        <v>31580.257000000001</v>
      </c>
    </row>
    <row r="1789" spans="1:3" x14ac:dyDescent="0.25">
      <c r="A1789" s="52">
        <f t="shared" si="27"/>
        <v>45248</v>
      </c>
      <c r="B1789" s="53">
        <v>1788</v>
      </c>
      <c r="C1789" s="53">
        <v>31584.0141</v>
      </c>
    </row>
    <row r="1790" spans="1:3" x14ac:dyDescent="0.25">
      <c r="A1790" s="52">
        <f t="shared" si="27"/>
        <v>45249</v>
      </c>
      <c r="B1790" s="53">
        <v>1789</v>
      </c>
      <c r="C1790" s="53">
        <v>31587.7716</v>
      </c>
    </row>
    <row r="1791" spans="1:3" x14ac:dyDescent="0.25">
      <c r="A1791" s="52">
        <f t="shared" si="27"/>
        <v>45250</v>
      </c>
      <c r="B1791" s="53">
        <v>1790</v>
      </c>
      <c r="C1791" s="53">
        <v>31591.529500000001</v>
      </c>
    </row>
    <row r="1792" spans="1:3" x14ac:dyDescent="0.25">
      <c r="A1792" s="52">
        <f t="shared" si="27"/>
        <v>45251</v>
      </c>
      <c r="B1792" s="53">
        <v>1791</v>
      </c>
      <c r="C1792" s="53">
        <v>31595.287899999999</v>
      </c>
    </row>
    <row r="1793" spans="1:3" x14ac:dyDescent="0.25">
      <c r="A1793" s="52">
        <f t="shared" si="27"/>
        <v>45252</v>
      </c>
      <c r="B1793" s="53">
        <v>1792</v>
      </c>
      <c r="C1793" s="53">
        <v>31599.0468</v>
      </c>
    </row>
    <row r="1794" spans="1:3" x14ac:dyDescent="0.25">
      <c r="A1794" s="52">
        <f t="shared" ref="A1794:A1857" si="28">+$G$4+B1794</f>
        <v>45253</v>
      </c>
      <c r="B1794" s="53">
        <v>1793</v>
      </c>
      <c r="C1794" s="53">
        <v>31602.806100000002</v>
      </c>
    </row>
    <row r="1795" spans="1:3" x14ac:dyDescent="0.25">
      <c r="A1795" s="52">
        <f t="shared" si="28"/>
        <v>45254</v>
      </c>
      <c r="B1795" s="53">
        <v>1794</v>
      </c>
      <c r="C1795" s="53">
        <v>31606.5658</v>
      </c>
    </row>
    <row r="1796" spans="1:3" x14ac:dyDescent="0.25">
      <c r="A1796" s="52">
        <f t="shared" si="28"/>
        <v>45255</v>
      </c>
      <c r="B1796" s="53">
        <v>1795</v>
      </c>
      <c r="C1796" s="53">
        <v>31610.326000000001</v>
      </c>
    </row>
    <row r="1797" spans="1:3" x14ac:dyDescent="0.25">
      <c r="A1797" s="52">
        <f t="shared" si="28"/>
        <v>45256</v>
      </c>
      <c r="B1797" s="53">
        <v>1796</v>
      </c>
      <c r="C1797" s="53">
        <v>31614.086599999999</v>
      </c>
    </row>
    <row r="1798" spans="1:3" x14ac:dyDescent="0.25">
      <c r="A1798" s="52">
        <f t="shared" si="28"/>
        <v>45257</v>
      </c>
      <c r="B1798" s="53">
        <v>1797</v>
      </c>
      <c r="C1798" s="53">
        <v>31617.847699999998</v>
      </c>
    </row>
    <row r="1799" spans="1:3" x14ac:dyDescent="0.25">
      <c r="A1799" s="52">
        <f t="shared" si="28"/>
        <v>45258</v>
      </c>
      <c r="B1799" s="53">
        <v>1798</v>
      </c>
      <c r="C1799" s="53">
        <v>31621.6093</v>
      </c>
    </row>
    <row r="1800" spans="1:3" x14ac:dyDescent="0.25">
      <c r="A1800" s="52">
        <f t="shared" si="28"/>
        <v>45259</v>
      </c>
      <c r="B1800" s="53">
        <v>1799</v>
      </c>
      <c r="C1800" s="53">
        <v>31625.371200000001</v>
      </c>
    </row>
    <row r="1801" spans="1:3" x14ac:dyDescent="0.25">
      <c r="A1801" s="52">
        <f t="shared" si="28"/>
        <v>45260</v>
      </c>
      <c r="B1801" s="53">
        <v>1800</v>
      </c>
      <c r="C1801" s="53">
        <v>31629.133699999998</v>
      </c>
    </row>
    <row r="1802" spans="1:3" x14ac:dyDescent="0.25">
      <c r="A1802" s="52">
        <f t="shared" si="28"/>
        <v>45261</v>
      </c>
      <c r="B1802" s="53">
        <v>1801</v>
      </c>
      <c r="C1802" s="53">
        <v>31632.896499999999</v>
      </c>
    </row>
    <row r="1803" spans="1:3" x14ac:dyDescent="0.25">
      <c r="A1803" s="52">
        <f t="shared" si="28"/>
        <v>45262</v>
      </c>
      <c r="B1803" s="53">
        <v>1802</v>
      </c>
      <c r="C1803" s="53">
        <v>31636.659899999999</v>
      </c>
    </row>
    <row r="1804" spans="1:3" x14ac:dyDescent="0.25">
      <c r="A1804" s="52">
        <f t="shared" si="28"/>
        <v>45263</v>
      </c>
      <c r="B1804" s="53">
        <v>1803</v>
      </c>
      <c r="C1804" s="53">
        <v>31640.423599999998</v>
      </c>
    </row>
    <row r="1805" spans="1:3" x14ac:dyDescent="0.25">
      <c r="A1805" s="52">
        <f t="shared" si="28"/>
        <v>45264</v>
      </c>
      <c r="B1805" s="53">
        <v>1804</v>
      </c>
      <c r="C1805" s="53">
        <v>31644.187900000001</v>
      </c>
    </row>
    <row r="1806" spans="1:3" x14ac:dyDescent="0.25">
      <c r="A1806" s="52">
        <f t="shared" si="28"/>
        <v>45265</v>
      </c>
      <c r="B1806" s="53">
        <v>1805</v>
      </c>
      <c r="C1806" s="53">
        <v>31647.952499999999</v>
      </c>
    </row>
    <row r="1807" spans="1:3" x14ac:dyDescent="0.25">
      <c r="A1807" s="52">
        <f t="shared" si="28"/>
        <v>45266</v>
      </c>
      <c r="B1807" s="53">
        <v>1806</v>
      </c>
      <c r="C1807" s="53">
        <v>31651.7176</v>
      </c>
    </row>
    <row r="1808" spans="1:3" x14ac:dyDescent="0.25">
      <c r="A1808" s="52">
        <f t="shared" si="28"/>
        <v>45267</v>
      </c>
      <c r="B1808" s="53">
        <v>1807</v>
      </c>
      <c r="C1808" s="53">
        <v>31655.483199999999</v>
      </c>
    </row>
    <row r="1809" spans="1:3" x14ac:dyDescent="0.25">
      <c r="A1809" s="52">
        <f t="shared" si="28"/>
        <v>45268</v>
      </c>
      <c r="B1809" s="53">
        <v>1808</v>
      </c>
      <c r="C1809" s="53">
        <v>31659.249199999998</v>
      </c>
    </row>
    <row r="1810" spans="1:3" x14ac:dyDescent="0.25">
      <c r="A1810" s="52">
        <f t="shared" si="28"/>
        <v>45269</v>
      </c>
      <c r="B1810" s="53">
        <v>1809</v>
      </c>
      <c r="C1810" s="53">
        <v>31663.0157</v>
      </c>
    </row>
    <row r="1811" spans="1:3" x14ac:dyDescent="0.25">
      <c r="A1811" s="52">
        <f t="shared" si="28"/>
        <v>45270</v>
      </c>
      <c r="B1811" s="53">
        <v>1810</v>
      </c>
      <c r="C1811" s="53">
        <v>31663.812399999999</v>
      </c>
    </row>
    <row r="1812" spans="1:3" x14ac:dyDescent="0.25">
      <c r="A1812" s="52">
        <f t="shared" si="28"/>
        <v>45271</v>
      </c>
      <c r="B1812" s="53">
        <v>1811</v>
      </c>
      <c r="C1812" s="53">
        <v>31664.609100000001</v>
      </c>
    </row>
    <row r="1813" spans="1:3" x14ac:dyDescent="0.25">
      <c r="A1813" s="52">
        <f t="shared" si="28"/>
        <v>45272</v>
      </c>
      <c r="B1813" s="53">
        <v>1812</v>
      </c>
      <c r="C1813" s="53">
        <v>31665.4058</v>
      </c>
    </row>
    <row r="1814" spans="1:3" x14ac:dyDescent="0.25">
      <c r="A1814" s="52">
        <f t="shared" si="28"/>
        <v>45273</v>
      </c>
      <c r="B1814" s="53">
        <v>1813</v>
      </c>
      <c r="C1814" s="53">
        <v>31666.202600000001</v>
      </c>
    </row>
    <row r="1815" spans="1:3" x14ac:dyDescent="0.25">
      <c r="A1815" s="52">
        <f t="shared" si="28"/>
        <v>45274</v>
      </c>
      <c r="B1815" s="53">
        <v>1814</v>
      </c>
      <c r="C1815" s="53">
        <v>31666.999400000001</v>
      </c>
    </row>
    <row r="1816" spans="1:3" x14ac:dyDescent="0.25">
      <c r="A1816" s="52">
        <f t="shared" si="28"/>
        <v>45275</v>
      </c>
      <c r="B1816" s="53">
        <v>1815</v>
      </c>
      <c r="C1816" s="53">
        <v>31667.796200000001</v>
      </c>
    </row>
    <row r="1817" spans="1:3" x14ac:dyDescent="0.25">
      <c r="A1817" s="52">
        <f t="shared" si="28"/>
        <v>45276</v>
      </c>
      <c r="B1817" s="53">
        <v>1816</v>
      </c>
      <c r="C1817" s="53">
        <v>31668.593000000001</v>
      </c>
    </row>
    <row r="1818" spans="1:3" x14ac:dyDescent="0.25">
      <c r="A1818" s="52">
        <f t="shared" si="28"/>
        <v>45277</v>
      </c>
      <c r="B1818" s="53">
        <v>1817</v>
      </c>
      <c r="C1818" s="53">
        <v>31669.389800000001</v>
      </c>
    </row>
    <row r="1819" spans="1:3" x14ac:dyDescent="0.25">
      <c r="A1819" s="52">
        <f t="shared" si="28"/>
        <v>45278</v>
      </c>
      <c r="B1819" s="53">
        <v>1818</v>
      </c>
      <c r="C1819" s="53">
        <v>31670.186699999998</v>
      </c>
    </row>
    <row r="1820" spans="1:3" x14ac:dyDescent="0.25">
      <c r="A1820" s="52">
        <f t="shared" si="28"/>
        <v>45279</v>
      </c>
      <c r="B1820" s="53">
        <v>1819</v>
      </c>
      <c r="C1820" s="53">
        <v>31670.9836</v>
      </c>
    </row>
    <row r="1821" spans="1:3" x14ac:dyDescent="0.25">
      <c r="A1821" s="52">
        <f t="shared" si="28"/>
        <v>45280</v>
      </c>
      <c r="B1821" s="53">
        <v>1820</v>
      </c>
      <c r="C1821" s="53">
        <v>31671.780500000001</v>
      </c>
    </row>
    <row r="1822" spans="1:3" x14ac:dyDescent="0.25">
      <c r="A1822" s="52">
        <f t="shared" si="28"/>
        <v>45281</v>
      </c>
      <c r="B1822" s="53">
        <v>1821</v>
      </c>
      <c r="C1822" s="53">
        <v>31672.577399999998</v>
      </c>
    </row>
    <row r="1823" spans="1:3" x14ac:dyDescent="0.25">
      <c r="A1823" s="52">
        <f t="shared" si="28"/>
        <v>45282</v>
      </c>
      <c r="B1823" s="53">
        <v>1822</v>
      </c>
      <c r="C1823" s="53">
        <v>31673.374299999999</v>
      </c>
    </row>
    <row r="1824" spans="1:3" x14ac:dyDescent="0.25">
      <c r="A1824" s="52">
        <f t="shared" si="28"/>
        <v>45283</v>
      </c>
      <c r="B1824" s="53">
        <v>1823</v>
      </c>
      <c r="C1824" s="53">
        <v>31674.171300000002</v>
      </c>
    </row>
    <row r="1825" spans="1:3" x14ac:dyDescent="0.25">
      <c r="A1825" s="52">
        <f t="shared" si="28"/>
        <v>45284</v>
      </c>
      <c r="B1825" s="53">
        <v>1824</v>
      </c>
      <c r="C1825" s="53">
        <v>31674.9683</v>
      </c>
    </row>
    <row r="1826" spans="1:3" x14ac:dyDescent="0.25">
      <c r="A1826" s="52">
        <f t="shared" si="28"/>
        <v>45285</v>
      </c>
      <c r="B1826" s="53">
        <v>1825</v>
      </c>
      <c r="C1826" s="53">
        <v>31675.765299999999</v>
      </c>
    </row>
    <row r="1827" spans="1:3" x14ac:dyDescent="0.25">
      <c r="A1827" s="52">
        <f t="shared" si="28"/>
        <v>45286</v>
      </c>
      <c r="B1827" s="53">
        <v>1826</v>
      </c>
      <c r="C1827" s="53">
        <v>31676.562300000001</v>
      </c>
    </row>
    <row r="1828" spans="1:3" x14ac:dyDescent="0.25">
      <c r="A1828" s="52">
        <f t="shared" si="28"/>
        <v>45287</v>
      </c>
      <c r="B1828" s="53">
        <v>1827</v>
      </c>
      <c r="C1828" s="53">
        <v>31677.3593</v>
      </c>
    </row>
    <row r="1829" spans="1:3" x14ac:dyDescent="0.25">
      <c r="A1829" s="52">
        <f t="shared" si="28"/>
        <v>45288</v>
      </c>
      <c r="B1829" s="53">
        <v>1828</v>
      </c>
      <c r="C1829" s="53">
        <v>31678.1564</v>
      </c>
    </row>
    <row r="1830" spans="1:3" x14ac:dyDescent="0.25">
      <c r="A1830" s="52">
        <f t="shared" si="28"/>
        <v>45289</v>
      </c>
      <c r="B1830" s="53">
        <v>1829</v>
      </c>
      <c r="C1830" s="53">
        <v>31678.9535</v>
      </c>
    </row>
    <row r="1831" spans="1:3" x14ac:dyDescent="0.25">
      <c r="A1831" s="52">
        <f t="shared" si="28"/>
        <v>45290</v>
      </c>
      <c r="B1831" s="53">
        <v>1830</v>
      </c>
      <c r="C1831" s="53">
        <v>31679.750599999999</v>
      </c>
    </row>
    <row r="1832" spans="1:3" x14ac:dyDescent="0.25">
      <c r="A1832" s="52">
        <f t="shared" si="28"/>
        <v>45291</v>
      </c>
      <c r="B1832" s="53">
        <v>1831</v>
      </c>
      <c r="C1832" s="53">
        <v>31680.547699999999</v>
      </c>
    </row>
    <row r="1833" spans="1:3" x14ac:dyDescent="0.25">
      <c r="A1833" s="52">
        <f t="shared" si="28"/>
        <v>45292</v>
      </c>
      <c r="B1833" s="53">
        <v>1832</v>
      </c>
      <c r="C1833" s="53">
        <v>31681.344799999999</v>
      </c>
    </row>
    <row r="1834" spans="1:3" x14ac:dyDescent="0.25">
      <c r="A1834" s="52">
        <f t="shared" si="28"/>
        <v>45293</v>
      </c>
      <c r="B1834" s="53">
        <v>1833</v>
      </c>
      <c r="C1834" s="53">
        <v>31682.142</v>
      </c>
    </row>
    <row r="1835" spans="1:3" x14ac:dyDescent="0.25">
      <c r="A1835" s="52">
        <f t="shared" si="28"/>
        <v>45294</v>
      </c>
      <c r="B1835" s="53">
        <v>1834</v>
      </c>
      <c r="C1835" s="53">
        <v>31682.939200000001</v>
      </c>
    </row>
    <row r="1836" spans="1:3" x14ac:dyDescent="0.25">
      <c r="A1836" s="52">
        <f t="shared" si="28"/>
        <v>45295</v>
      </c>
      <c r="B1836" s="53">
        <v>1835</v>
      </c>
      <c r="C1836" s="53">
        <v>31683.736400000002</v>
      </c>
    </row>
    <row r="1837" spans="1:3" x14ac:dyDescent="0.25">
      <c r="A1837" s="52">
        <f t="shared" si="28"/>
        <v>45296</v>
      </c>
      <c r="B1837" s="53">
        <v>1836</v>
      </c>
      <c r="C1837" s="53">
        <v>31684.533599999999</v>
      </c>
    </row>
    <row r="1838" spans="1:3" x14ac:dyDescent="0.25">
      <c r="A1838" s="52">
        <f t="shared" si="28"/>
        <v>45297</v>
      </c>
      <c r="B1838" s="53">
        <v>1837</v>
      </c>
      <c r="C1838" s="53">
        <v>31685.3308</v>
      </c>
    </row>
    <row r="1839" spans="1:3" x14ac:dyDescent="0.25">
      <c r="A1839" s="52">
        <f t="shared" si="28"/>
        <v>45298</v>
      </c>
      <c r="B1839" s="53">
        <v>1838</v>
      </c>
      <c r="C1839" s="53">
        <v>31686.128100000002</v>
      </c>
    </row>
    <row r="1840" spans="1:3" x14ac:dyDescent="0.25">
      <c r="A1840" s="52">
        <f t="shared" si="28"/>
        <v>45299</v>
      </c>
      <c r="B1840" s="53">
        <v>1839</v>
      </c>
      <c r="C1840" s="53">
        <v>31686.9254</v>
      </c>
    </row>
    <row r="1841" spans="1:3" x14ac:dyDescent="0.25">
      <c r="A1841" s="52">
        <f t="shared" si="28"/>
        <v>45300</v>
      </c>
      <c r="B1841" s="53">
        <v>1840</v>
      </c>
      <c r="C1841" s="53">
        <v>31687.722699999998</v>
      </c>
    </row>
    <row r="1842" spans="1:3" x14ac:dyDescent="0.25">
      <c r="A1842" s="52">
        <f t="shared" si="28"/>
        <v>45301</v>
      </c>
      <c r="B1842" s="53">
        <v>1841</v>
      </c>
      <c r="C1842" s="53">
        <v>31688.565399999999</v>
      </c>
    </row>
    <row r="1843" spans="1:3" x14ac:dyDescent="0.25">
      <c r="A1843" s="52">
        <f t="shared" si="28"/>
        <v>45302</v>
      </c>
      <c r="B1843" s="53">
        <v>1842</v>
      </c>
      <c r="C1843" s="53">
        <v>31689.408100000001</v>
      </c>
    </row>
    <row r="1844" spans="1:3" x14ac:dyDescent="0.25">
      <c r="A1844" s="52">
        <f t="shared" si="28"/>
        <v>45303</v>
      </c>
      <c r="B1844" s="53">
        <v>1843</v>
      </c>
      <c r="C1844" s="53">
        <v>31690.250800000002</v>
      </c>
    </row>
    <row r="1845" spans="1:3" x14ac:dyDescent="0.25">
      <c r="A1845" s="52">
        <f t="shared" si="28"/>
        <v>45304</v>
      </c>
      <c r="B1845" s="53">
        <v>1844</v>
      </c>
      <c r="C1845" s="53">
        <v>31691.0936</v>
      </c>
    </row>
    <row r="1846" spans="1:3" x14ac:dyDescent="0.25">
      <c r="A1846" s="52">
        <f t="shared" si="28"/>
        <v>45305</v>
      </c>
      <c r="B1846" s="53">
        <v>1845</v>
      </c>
      <c r="C1846" s="53">
        <v>31691.936300000001</v>
      </c>
    </row>
    <row r="1847" spans="1:3" x14ac:dyDescent="0.25">
      <c r="A1847" s="52">
        <f t="shared" si="28"/>
        <v>45306</v>
      </c>
      <c r="B1847" s="53">
        <v>1846</v>
      </c>
      <c r="C1847" s="53">
        <v>31692.7791</v>
      </c>
    </row>
    <row r="1848" spans="1:3" x14ac:dyDescent="0.25">
      <c r="A1848" s="52">
        <f t="shared" si="28"/>
        <v>45307</v>
      </c>
      <c r="B1848" s="53">
        <v>1847</v>
      </c>
      <c r="C1848" s="53">
        <v>31693.621999999999</v>
      </c>
    </row>
    <row r="1849" spans="1:3" x14ac:dyDescent="0.25">
      <c r="A1849" s="52">
        <f t="shared" si="28"/>
        <v>45308</v>
      </c>
      <c r="B1849" s="53">
        <v>1848</v>
      </c>
      <c r="C1849" s="53">
        <v>31694.464800000002</v>
      </c>
    </row>
    <row r="1850" spans="1:3" x14ac:dyDescent="0.25">
      <c r="A1850" s="52">
        <f t="shared" si="28"/>
        <v>45309</v>
      </c>
      <c r="B1850" s="53">
        <v>1849</v>
      </c>
      <c r="C1850" s="53">
        <v>31695.307700000001</v>
      </c>
    </row>
    <row r="1851" spans="1:3" x14ac:dyDescent="0.25">
      <c r="A1851" s="52">
        <f t="shared" si="28"/>
        <v>45310</v>
      </c>
      <c r="B1851" s="53">
        <v>1850</v>
      </c>
      <c r="C1851" s="53">
        <v>31696.150600000001</v>
      </c>
    </row>
    <row r="1852" spans="1:3" x14ac:dyDescent="0.25">
      <c r="A1852" s="52">
        <f t="shared" si="28"/>
        <v>45311</v>
      </c>
      <c r="B1852" s="53">
        <v>1851</v>
      </c>
      <c r="C1852" s="53">
        <v>31696.9935</v>
      </c>
    </row>
    <row r="1853" spans="1:3" x14ac:dyDescent="0.25">
      <c r="A1853" s="52">
        <f t="shared" si="28"/>
        <v>45312</v>
      </c>
      <c r="B1853" s="53">
        <v>1852</v>
      </c>
      <c r="C1853" s="53">
        <v>31697.8364</v>
      </c>
    </row>
    <row r="1854" spans="1:3" x14ac:dyDescent="0.25">
      <c r="A1854" s="52">
        <f t="shared" si="28"/>
        <v>45313</v>
      </c>
      <c r="B1854" s="53">
        <v>1853</v>
      </c>
      <c r="C1854" s="53">
        <v>31698.679400000001</v>
      </c>
    </row>
    <row r="1855" spans="1:3" x14ac:dyDescent="0.25">
      <c r="A1855" s="52">
        <f t="shared" si="28"/>
        <v>45314</v>
      </c>
      <c r="B1855" s="53">
        <v>1854</v>
      </c>
      <c r="C1855" s="53">
        <v>31699.522300000001</v>
      </c>
    </row>
    <row r="1856" spans="1:3" x14ac:dyDescent="0.25">
      <c r="A1856" s="52">
        <f t="shared" si="28"/>
        <v>45315</v>
      </c>
      <c r="B1856" s="53">
        <v>1855</v>
      </c>
      <c r="C1856" s="53">
        <v>31700.365300000001</v>
      </c>
    </row>
    <row r="1857" spans="1:3" x14ac:dyDescent="0.25">
      <c r="A1857" s="52">
        <f t="shared" si="28"/>
        <v>45316</v>
      </c>
      <c r="B1857" s="53">
        <v>1856</v>
      </c>
      <c r="C1857" s="53">
        <v>31701.2084</v>
      </c>
    </row>
    <row r="1858" spans="1:3" x14ac:dyDescent="0.25">
      <c r="A1858" s="52">
        <f t="shared" ref="A1858:A1921" si="29">+$G$4+B1858</f>
        <v>45317</v>
      </c>
      <c r="B1858" s="53">
        <v>1857</v>
      </c>
      <c r="C1858" s="53">
        <v>31702.0514</v>
      </c>
    </row>
    <row r="1859" spans="1:3" x14ac:dyDescent="0.25">
      <c r="A1859" s="52">
        <f t="shared" si="29"/>
        <v>45318</v>
      </c>
      <c r="B1859" s="53">
        <v>1858</v>
      </c>
      <c r="C1859" s="53">
        <v>31702.894499999999</v>
      </c>
    </row>
    <row r="1860" spans="1:3" x14ac:dyDescent="0.25">
      <c r="A1860" s="52">
        <f t="shared" si="29"/>
        <v>45319</v>
      </c>
      <c r="B1860" s="53">
        <v>1859</v>
      </c>
      <c r="C1860" s="53">
        <v>31703.7376</v>
      </c>
    </row>
    <row r="1861" spans="1:3" x14ac:dyDescent="0.25">
      <c r="A1861" s="52">
        <f t="shared" si="29"/>
        <v>45320</v>
      </c>
      <c r="B1861" s="53">
        <v>1860</v>
      </c>
      <c r="C1861" s="53">
        <v>31704.580699999999</v>
      </c>
    </row>
    <row r="1862" spans="1:3" x14ac:dyDescent="0.25">
      <c r="A1862" s="52">
        <f t="shared" si="29"/>
        <v>45321</v>
      </c>
      <c r="B1862" s="53">
        <v>1861</v>
      </c>
      <c r="C1862" s="53">
        <v>31705.4238</v>
      </c>
    </row>
    <row r="1863" spans="1:3" x14ac:dyDescent="0.25">
      <c r="A1863" s="52">
        <f t="shared" si="29"/>
        <v>45322</v>
      </c>
      <c r="B1863" s="53">
        <v>1862</v>
      </c>
      <c r="C1863" s="53">
        <v>31706.267</v>
      </c>
    </row>
    <row r="1864" spans="1:3" x14ac:dyDescent="0.25">
      <c r="A1864" s="52">
        <f t="shared" si="29"/>
        <v>45323</v>
      </c>
      <c r="B1864" s="53">
        <v>1863</v>
      </c>
      <c r="C1864" s="53">
        <v>31707.110100000002</v>
      </c>
    </row>
    <row r="1865" spans="1:3" x14ac:dyDescent="0.25">
      <c r="A1865" s="52">
        <f t="shared" si="29"/>
        <v>45324</v>
      </c>
      <c r="B1865" s="53">
        <v>1864</v>
      </c>
      <c r="C1865" s="53">
        <v>31707.953399999999</v>
      </c>
    </row>
    <row r="1866" spans="1:3" x14ac:dyDescent="0.25">
      <c r="A1866" s="52">
        <f t="shared" si="29"/>
        <v>45325</v>
      </c>
      <c r="B1866" s="53">
        <v>1865</v>
      </c>
      <c r="C1866" s="53">
        <v>31708.796600000001</v>
      </c>
    </row>
    <row r="1867" spans="1:3" x14ac:dyDescent="0.25">
      <c r="A1867" s="52">
        <f t="shared" si="29"/>
        <v>45326</v>
      </c>
      <c r="B1867" s="53">
        <v>1866</v>
      </c>
      <c r="C1867" s="53">
        <v>31709.639800000001</v>
      </c>
    </row>
    <row r="1868" spans="1:3" x14ac:dyDescent="0.25">
      <c r="A1868" s="52">
        <f t="shared" si="29"/>
        <v>45327</v>
      </c>
      <c r="B1868" s="53">
        <v>1867</v>
      </c>
      <c r="C1868" s="53">
        <v>31710.483100000001</v>
      </c>
    </row>
    <row r="1869" spans="1:3" x14ac:dyDescent="0.25">
      <c r="A1869" s="52">
        <f t="shared" si="29"/>
        <v>45328</v>
      </c>
      <c r="B1869" s="53">
        <v>1868</v>
      </c>
      <c r="C1869" s="53">
        <v>31711.326400000002</v>
      </c>
    </row>
    <row r="1870" spans="1:3" x14ac:dyDescent="0.25">
      <c r="A1870" s="52">
        <f t="shared" si="29"/>
        <v>45329</v>
      </c>
      <c r="B1870" s="53">
        <v>1869</v>
      </c>
      <c r="C1870" s="53">
        <v>31712.169699999999</v>
      </c>
    </row>
    <row r="1871" spans="1:3" x14ac:dyDescent="0.25">
      <c r="A1871" s="52">
        <f t="shared" si="29"/>
        <v>45330</v>
      </c>
      <c r="B1871" s="53">
        <v>1870</v>
      </c>
      <c r="C1871" s="53">
        <v>31713.012999999999</v>
      </c>
    </row>
    <row r="1872" spans="1:3" x14ac:dyDescent="0.25">
      <c r="A1872" s="52">
        <f t="shared" si="29"/>
        <v>45331</v>
      </c>
      <c r="B1872" s="53">
        <v>1871</v>
      </c>
      <c r="C1872" s="53">
        <v>31713.856400000001</v>
      </c>
    </row>
    <row r="1873" spans="1:3" x14ac:dyDescent="0.25">
      <c r="A1873" s="52">
        <f t="shared" si="29"/>
        <v>45332</v>
      </c>
      <c r="B1873" s="53">
        <v>1872</v>
      </c>
      <c r="C1873" s="53">
        <v>31716.898000000001</v>
      </c>
    </row>
    <row r="1874" spans="1:3" x14ac:dyDescent="0.25">
      <c r="A1874" s="52">
        <f t="shared" si="29"/>
        <v>45333</v>
      </c>
      <c r="B1874" s="53">
        <v>1873</v>
      </c>
      <c r="C1874" s="53">
        <v>31719.9398</v>
      </c>
    </row>
    <row r="1875" spans="1:3" x14ac:dyDescent="0.25">
      <c r="A1875" s="52">
        <f t="shared" si="29"/>
        <v>45334</v>
      </c>
      <c r="B1875" s="53">
        <v>1874</v>
      </c>
      <c r="C1875" s="53">
        <v>31722.981899999999</v>
      </c>
    </row>
    <row r="1876" spans="1:3" x14ac:dyDescent="0.25">
      <c r="A1876" s="52">
        <f t="shared" si="29"/>
        <v>45335</v>
      </c>
      <c r="B1876" s="53">
        <v>1875</v>
      </c>
      <c r="C1876" s="53">
        <v>31726.024399999998</v>
      </c>
    </row>
    <row r="1877" spans="1:3" x14ac:dyDescent="0.25">
      <c r="A1877" s="52">
        <f t="shared" si="29"/>
        <v>45336</v>
      </c>
      <c r="B1877" s="53">
        <v>1876</v>
      </c>
      <c r="C1877" s="53">
        <v>31729.0671</v>
      </c>
    </row>
    <row r="1878" spans="1:3" x14ac:dyDescent="0.25">
      <c r="A1878" s="52">
        <f t="shared" si="29"/>
        <v>45337</v>
      </c>
      <c r="B1878" s="53">
        <v>1877</v>
      </c>
      <c r="C1878" s="53">
        <v>31732.110100000002</v>
      </c>
    </row>
    <row r="1879" spans="1:3" x14ac:dyDescent="0.25">
      <c r="A1879" s="52">
        <f t="shared" si="29"/>
        <v>45338</v>
      </c>
      <c r="B1879" s="53">
        <v>1878</v>
      </c>
      <c r="C1879" s="53">
        <v>31735.153399999999</v>
      </c>
    </row>
    <row r="1880" spans="1:3" x14ac:dyDescent="0.25">
      <c r="A1880" s="52">
        <f t="shared" si="29"/>
        <v>45339</v>
      </c>
      <c r="B1880" s="53">
        <v>1879</v>
      </c>
      <c r="C1880" s="53">
        <v>31738.197</v>
      </c>
    </row>
    <row r="1881" spans="1:3" x14ac:dyDescent="0.25">
      <c r="A1881" s="52">
        <f t="shared" si="29"/>
        <v>45340</v>
      </c>
      <c r="B1881" s="53">
        <v>1880</v>
      </c>
      <c r="C1881" s="53">
        <v>31741.240900000001</v>
      </c>
    </row>
    <row r="1882" spans="1:3" x14ac:dyDescent="0.25">
      <c r="A1882" s="52">
        <f t="shared" si="29"/>
        <v>45341</v>
      </c>
      <c r="B1882" s="53">
        <v>1881</v>
      </c>
      <c r="C1882" s="53">
        <v>31744.285100000001</v>
      </c>
    </row>
    <row r="1883" spans="1:3" x14ac:dyDescent="0.25">
      <c r="A1883" s="52">
        <f t="shared" si="29"/>
        <v>45342</v>
      </c>
      <c r="B1883" s="53">
        <v>1882</v>
      </c>
      <c r="C1883" s="53">
        <v>31747.329600000001</v>
      </c>
    </row>
    <row r="1884" spans="1:3" x14ac:dyDescent="0.25">
      <c r="A1884" s="52">
        <f t="shared" si="29"/>
        <v>45343</v>
      </c>
      <c r="B1884" s="53">
        <v>1883</v>
      </c>
      <c r="C1884" s="53">
        <v>31750.374400000001</v>
      </c>
    </row>
    <row r="1885" spans="1:3" x14ac:dyDescent="0.25">
      <c r="A1885" s="52">
        <f t="shared" si="29"/>
        <v>45344</v>
      </c>
      <c r="B1885" s="53">
        <v>1884</v>
      </c>
      <c r="C1885" s="53">
        <v>31753.419399999999</v>
      </c>
    </row>
    <row r="1886" spans="1:3" x14ac:dyDescent="0.25">
      <c r="A1886" s="52">
        <f t="shared" si="29"/>
        <v>45345</v>
      </c>
      <c r="B1886" s="53">
        <v>1885</v>
      </c>
      <c r="C1886" s="53">
        <v>31756.464800000002</v>
      </c>
    </row>
    <row r="1887" spans="1:3" x14ac:dyDescent="0.25">
      <c r="A1887" s="52">
        <f t="shared" si="29"/>
        <v>45346</v>
      </c>
      <c r="B1887" s="53">
        <v>1886</v>
      </c>
      <c r="C1887" s="53">
        <v>31759.510399999999</v>
      </c>
    </row>
    <row r="1888" spans="1:3" x14ac:dyDescent="0.25">
      <c r="A1888" s="52">
        <f t="shared" si="29"/>
        <v>45347</v>
      </c>
      <c r="B1888" s="53">
        <v>1887</v>
      </c>
      <c r="C1888" s="53">
        <v>31762.556400000001</v>
      </c>
    </row>
    <row r="1889" spans="1:3" x14ac:dyDescent="0.25">
      <c r="A1889" s="52">
        <f t="shared" si="29"/>
        <v>45348</v>
      </c>
      <c r="B1889" s="53">
        <v>1888</v>
      </c>
      <c r="C1889" s="53">
        <v>31765.602599999998</v>
      </c>
    </row>
    <row r="1890" spans="1:3" x14ac:dyDescent="0.25">
      <c r="A1890" s="52">
        <f t="shared" si="29"/>
        <v>45349</v>
      </c>
      <c r="B1890" s="53">
        <v>1889</v>
      </c>
      <c r="C1890" s="53">
        <v>31768.649099999999</v>
      </c>
    </row>
    <row r="1891" spans="1:3" x14ac:dyDescent="0.25">
      <c r="A1891" s="52">
        <f t="shared" si="29"/>
        <v>45350</v>
      </c>
      <c r="B1891" s="53">
        <v>1890</v>
      </c>
      <c r="C1891" s="53">
        <v>31771.695899999999</v>
      </c>
    </row>
    <row r="1892" spans="1:3" x14ac:dyDescent="0.25">
      <c r="A1892" s="52">
        <f t="shared" si="29"/>
        <v>45351</v>
      </c>
      <c r="B1892" s="53">
        <v>1891</v>
      </c>
      <c r="C1892" s="53">
        <v>31774.742999999999</v>
      </c>
    </row>
    <row r="1893" spans="1:3" x14ac:dyDescent="0.25">
      <c r="A1893" s="52">
        <f t="shared" si="29"/>
        <v>45352</v>
      </c>
      <c r="B1893" s="53">
        <v>1892</v>
      </c>
      <c r="C1893" s="53">
        <v>31777.790400000002</v>
      </c>
    </row>
    <row r="1894" spans="1:3" x14ac:dyDescent="0.25">
      <c r="A1894" s="52">
        <f t="shared" si="29"/>
        <v>45353</v>
      </c>
      <c r="B1894" s="53">
        <v>1893</v>
      </c>
      <c r="C1894" s="53">
        <v>31780.838100000001</v>
      </c>
    </row>
    <row r="1895" spans="1:3" x14ac:dyDescent="0.25">
      <c r="A1895" s="52">
        <f t="shared" si="29"/>
        <v>45354</v>
      </c>
      <c r="B1895" s="53">
        <v>1894</v>
      </c>
      <c r="C1895" s="53">
        <v>31783.8861</v>
      </c>
    </row>
    <row r="1896" spans="1:3" x14ac:dyDescent="0.25">
      <c r="A1896" s="52">
        <f t="shared" si="29"/>
        <v>45355</v>
      </c>
      <c r="B1896" s="53">
        <v>1895</v>
      </c>
      <c r="C1896" s="53">
        <v>31786.934399999998</v>
      </c>
    </row>
    <row r="1897" spans="1:3" x14ac:dyDescent="0.25">
      <c r="A1897" s="52">
        <f t="shared" si="29"/>
        <v>45356</v>
      </c>
      <c r="B1897" s="53">
        <v>1896</v>
      </c>
      <c r="C1897" s="53">
        <v>31789.983</v>
      </c>
    </row>
    <row r="1898" spans="1:3" x14ac:dyDescent="0.25">
      <c r="A1898" s="52">
        <f t="shared" si="29"/>
        <v>45357</v>
      </c>
      <c r="B1898" s="53">
        <v>1897</v>
      </c>
      <c r="C1898" s="53">
        <v>31793.031800000001</v>
      </c>
    </row>
    <row r="1899" spans="1:3" x14ac:dyDescent="0.25">
      <c r="A1899" s="52">
        <f t="shared" si="29"/>
        <v>45358</v>
      </c>
      <c r="B1899" s="53">
        <v>1898</v>
      </c>
      <c r="C1899" s="53">
        <v>31796.080999999998</v>
      </c>
    </row>
    <row r="1900" spans="1:3" x14ac:dyDescent="0.25">
      <c r="A1900" s="52">
        <f t="shared" si="29"/>
        <v>45359</v>
      </c>
      <c r="B1900" s="53">
        <v>1899</v>
      </c>
      <c r="C1900" s="53">
        <v>31799.130399999998</v>
      </c>
    </row>
    <row r="1901" spans="1:3" x14ac:dyDescent="0.25">
      <c r="A1901" s="52">
        <f t="shared" si="29"/>
        <v>45360</v>
      </c>
      <c r="B1901" s="53">
        <v>1900</v>
      </c>
      <c r="C1901" s="53">
        <v>31802.180100000001</v>
      </c>
    </row>
    <row r="1902" spans="1:3" x14ac:dyDescent="0.25">
      <c r="A1902" s="52">
        <f t="shared" si="29"/>
        <v>45361</v>
      </c>
      <c r="B1902" s="53">
        <v>1901</v>
      </c>
      <c r="C1902" s="53">
        <v>31804.443299999999</v>
      </c>
    </row>
    <row r="1903" spans="1:3" x14ac:dyDescent="0.25">
      <c r="A1903" s="52">
        <f t="shared" si="29"/>
        <v>45362</v>
      </c>
      <c r="B1903" s="53">
        <v>1902</v>
      </c>
      <c r="C1903" s="53">
        <v>31806.706600000001</v>
      </c>
    </row>
    <row r="1904" spans="1:3" x14ac:dyDescent="0.25">
      <c r="A1904" s="52">
        <f t="shared" si="29"/>
        <v>45363</v>
      </c>
      <c r="B1904" s="53">
        <v>1903</v>
      </c>
      <c r="C1904" s="53">
        <v>31808.97</v>
      </c>
    </row>
    <row r="1905" spans="1:3" x14ac:dyDescent="0.25">
      <c r="A1905" s="52">
        <f t="shared" si="29"/>
        <v>45364</v>
      </c>
      <c r="B1905" s="53">
        <v>1904</v>
      </c>
      <c r="C1905" s="53">
        <v>31811.2336</v>
      </c>
    </row>
    <row r="1906" spans="1:3" x14ac:dyDescent="0.25">
      <c r="A1906" s="52">
        <f t="shared" si="29"/>
        <v>45365</v>
      </c>
      <c r="B1906" s="53">
        <v>1905</v>
      </c>
      <c r="C1906" s="53">
        <v>31813.4974</v>
      </c>
    </row>
    <row r="1907" spans="1:3" x14ac:dyDescent="0.25">
      <c r="A1907" s="52">
        <f t="shared" si="29"/>
        <v>45366</v>
      </c>
      <c r="B1907" s="53">
        <v>1906</v>
      </c>
      <c r="C1907" s="53">
        <v>31815.761299999998</v>
      </c>
    </row>
    <row r="1908" spans="1:3" x14ac:dyDescent="0.25">
      <c r="A1908" s="52">
        <f t="shared" si="29"/>
        <v>45367</v>
      </c>
      <c r="B1908" s="53">
        <v>1907</v>
      </c>
      <c r="C1908" s="53">
        <v>31818.025399999999</v>
      </c>
    </row>
    <row r="1909" spans="1:3" x14ac:dyDescent="0.25">
      <c r="A1909" s="52">
        <f t="shared" si="29"/>
        <v>45368</v>
      </c>
      <c r="B1909" s="53">
        <v>1908</v>
      </c>
      <c r="C1909" s="53">
        <v>31820.289700000001</v>
      </c>
    </row>
    <row r="1910" spans="1:3" x14ac:dyDescent="0.25">
      <c r="A1910" s="52">
        <f t="shared" si="29"/>
        <v>45369</v>
      </c>
      <c r="B1910" s="53">
        <v>1909</v>
      </c>
      <c r="C1910" s="53">
        <v>31822.554100000001</v>
      </c>
    </row>
    <row r="1911" spans="1:3" x14ac:dyDescent="0.25">
      <c r="A1911" s="52">
        <f t="shared" si="29"/>
        <v>45370</v>
      </c>
      <c r="B1911" s="53">
        <v>1910</v>
      </c>
      <c r="C1911" s="53">
        <v>31824.8187</v>
      </c>
    </row>
    <row r="1912" spans="1:3" x14ac:dyDescent="0.25">
      <c r="A1912" s="52">
        <f t="shared" si="29"/>
        <v>45371</v>
      </c>
      <c r="B1912" s="53">
        <v>1911</v>
      </c>
      <c r="C1912" s="53">
        <v>31827.0834</v>
      </c>
    </row>
    <row r="1913" spans="1:3" x14ac:dyDescent="0.25">
      <c r="A1913" s="52">
        <f t="shared" si="29"/>
        <v>45372</v>
      </c>
      <c r="B1913" s="53">
        <v>1912</v>
      </c>
      <c r="C1913" s="53">
        <v>31829.348300000001</v>
      </c>
    </row>
    <row r="1914" spans="1:3" x14ac:dyDescent="0.25">
      <c r="A1914" s="52">
        <f t="shared" si="29"/>
        <v>45373</v>
      </c>
      <c r="B1914" s="53">
        <v>1913</v>
      </c>
      <c r="C1914" s="53">
        <v>31831.613399999998</v>
      </c>
    </row>
    <row r="1915" spans="1:3" x14ac:dyDescent="0.25">
      <c r="A1915" s="52">
        <f t="shared" si="29"/>
        <v>45374</v>
      </c>
      <c r="B1915" s="53">
        <v>1914</v>
      </c>
      <c r="C1915" s="53">
        <v>31833.8786</v>
      </c>
    </row>
    <row r="1916" spans="1:3" x14ac:dyDescent="0.25">
      <c r="A1916" s="52">
        <f t="shared" si="29"/>
        <v>45375</v>
      </c>
      <c r="B1916" s="53">
        <v>1915</v>
      </c>
      <c r="C1916" s="53">
        <v>31836.144</v>
      </c>
    </row>
    <row r="1917" spans="1:3" x14ac:dyDescent="0.25">
      <c r="A1917" s="52">
        <f t="shared" si="29"/>
        <v>45376</v>
      </c>
      <c r="B1917" s="53">
        <v>1916</v>
      </c>
      <c r="C1917" s="53">
        <v>31838.409500000002</v>
      </c>
    </row>
    <row r="1918" spans="1:3" x14ac:dyDescent="0.25">
      <c r="A1918" s="52">
        <f t="shared" si="29"/>
        <v>45377</v>
      </c>
      <c r="B1918" s="53">
        <v>1917</v>
      </c>
      <c r="C1918" s="53">
        <v>31840.675200000001</v>
      </c>
    </row>
    <row r="1919" spans="1:3" x14ac:dyDescent="0.25">
      <c r="A1919" s="52">
        <f t="shared" si="29"/>
        <v>45378</v>
      </c>
      <c r="B1919" s="53">
        <v>1918</v>
      </c>
      <c r="C1919" s="53">
        <v>31842.9411</v>
      </c>
    </row>
    <row r="1920" spans="1:3" x14ac:dyDescent="0.25">
      <c r="A1920" s="52">
        <f t="shared" si="29"/>
        <v>45379</v>
      </c>
      <c r="B1920" s="53">
        <v>1919</v>
      </c>
      <c r="C1920" s="53">
        <v>31845.2071</v>
      </c>
    </row>
    <row r="1921" spans="1:3" x14ac:dyDescent="0.25">
      <c r="A1921" s="52">
        <f t="shared" si="29"/>
        <v>45380</v>
      </c>
      <c r="B1921" s="53">
        <v>1920</v>
      </c>
      <c r="C1921" s="53">
        <v>31847.473300000001</v>
      </c>
    </row>
    <row r="1922" spans="1:3" x14ac:dyDescent="0.25">
      <c r="A1922" s="52">
        <f t="shared" ref="A1922:A1985" si="30">+$G$4+B1922</f>
        <v>45381</v>
      </c>
      <c r="B1922" s="53">
        <v>1921</v>
      </c>
      <c r="C1922" s="53">
        <v>31849.739699999998</v>
      </c>
    </row>
    <row r="1923" spans="1:3" x14ac:dyDescent="0.25">
      <c r="A1923" s="52">
        <f t="shared" si="30"/>
        <v>45382</v>
      </c>
      <c r="B1923" s="53">
        <v>1922</v>
      </c>
      <c r="C1923" s="53">
        <v>31852.0062</v>
      </c>
    </row>
    <row r="1924" spans="1:3" x14ac:dyDescent="0.25">
      <c r="A1924" s="52">
        <f t="shared" si="30"/>
        <v>45383</v>
      </c>
      <c r="B1924" s="53">
        <v>1923</v>
      </c>
      <c r="C1924" s="53">
        <v>31854.2729</v>
      </c>
    </row>
    <row r="1925" spans="1:3" x14ac:dyDescent="0.25">
      <c r="A1925" s="52">
        <f t="shared" si="30"/>
        <v>45384</v>
      </c>
      <c r="B1925" s="53">
        <v>1924</v>
      </c>
      <c r="C1925" s="53">
        <v>31856.539700000001</v>
      </c>
    </row>
    <row r="1926" spans="1:3" x14ac:dyDescent="0.25">
      <c r="A1926" s="52">
        <f t="shared" si="30"/>
        <v>45385</v>
      </c>
      <c r="B1926" s="53">
        <v>1925</v>
      </c>
      <c r="C1926" s="53">
        <v>31858.806700000001</v>
      </c>
    </row>
    <row r="1927" spans="1:3" x14ac:dyDescent="0.25">
      <c r="A1927" s="52">
        <f t="shared" si="30"/>
        <v>45386</v>
      </c>
      <c r="B1927" s="53">
        <v>1926</v>
      </c>
      <c r="C1927" s="53">
        <v>31861.073799999998</v>
      </c>
    </row>
    <row r="1928" spans="1:3" x14ac:dyDescent="0.25">
      <c r="A1928" s="52">
        <f t="shared" si="30"/>
        <v>45387</v>
      </c>
      <c r="B1928" s="53">
        <v>1927</v>
      </c>
      <c r="C1928" s="53">
        <v>31863.341199999999</v>
      </c>
    </row>
    <row r="1929" spans="1:3" x14ac:dyDescent="0.25">
      <c r="A1929" s="52">
        <f t="shared" si="30"/>
        <v>45388</v>
      </c>
      <c r="B1929" s="53">
        <v>1928</v>
      </c>
      <c r="C1929" s="53">
        <v>31865.6086</v>
      </c>
    </row>
    <row r="1930" spans="1:3" x14ac:dyDescent="0.25">
      <c r="A1930" s="52">
        <f t="shared" si="30"/>
        <v>45389</v>
      </c>
      <c r="B1930" s="53">
        <v>1929</v>
      </c>
      <c r="C1930" s="53">
        <v>31867.8763</v>
      </c>
    </row>
    <row r="1931" spans="1:3" x14ac:dyDescent="0.25">
      <c r="A1931" s="52">
        <f t="shared" si="30"/>
        <v>45390</v>
      </c>
      <c r="B1931" s="53">
        <v>1930</v>
      </c>
      <c r="C1931" s="53">
        <v>31870.144100000001</v>
      </c>
    </row>
    <row r="1932" spans="1:3" x14ac:dyDescent="0.25">
      <c r="A1932" s="52">
        <f t="shared" si="30"/>
        <v>45391</v>
      </c>
      <c r="B1932" s="53">
        <v>1931</v>
      </c>
      <c r="C1932" s="53">
        <v>31872.412</v>
      </c>
    </row>
    <row r="1933" spans="1:3" x14ac:dyDescent="0.25">
      <c r="A1933" s="52">
        <f t="shared" si="30"/>
        <v>45392</v>
      </c>
      <c r="B1933" s="53">
        <v>1932</v>
      </c>
      <c r="C1933" s="53">
        <v>31875.638800000001</v>
      </c>
    </row>
    <row r="1934" spans="1:3" x14ac:dyDescent="0.25">
      <c r="A1934" s="52">
        <f t="shared" si="30"/>
        <v>45393</v>
      </c>
      <c r="B1934" s="53">
        <v>1933</v>
      </c>
      <c r="C1934" s="53">
        <v>31878.865900000001</v>
      </c>
    </row>
    <row r="1935" spans="1:3" x14ac:dyDescent="0.25">
      <c r="A1935" s="52">
        <f t="shared" si="30"/>
        <v>45394</v>
      </c>
      <c r="B1935" s="53">
        <v>1934</v>
      </c>
      <c r="C1935" s="53">
        <v>31882.0933</v>
      </c>
    </row>
    <row r="1936" spans="1:3" x14ac:dyDescent="0.25">
      <c r="A1936" s="52">
        <f t="shared" si="30"/>
        <v>45395</v>
      </c>
      <c r="B1936" s="53">
        <v>1935</v>
      </c>
      <c r="C1936" s="53">
        <v>31885.321</v>
      </c>
    </row>
    <row r="1937" spans="1:3" x14ac:dyDescent="0.25">
      <c r="A1937" s="52">
        <f t="shared" si="30"/>
        <v>45396</v>
      </c>
      <c r="B1937" s="53">
        <v>1936</v>
      </c>
      <c r="C1937" s="53">
        <v>31888.548999999999</v>
      </c>
    </row>
    <row r="1938" spans="1:3" x14ac:dyDescent="0.25">
      <c r="A1938" s="52">
        <f t="shared" si="30"/>
        <v>45397</v>
      </c>
      <c r="B1938" s="53">
        <v>1937</v>
      </c>
      <c r="C1938" s="53">
        <v>31891.777399999999</v>
      </c>
    </row>
    <row r="1939" spans="1:3" x14ac:dyDescent="0.25">
      <c r="A1939" s="52">
        <f t="shared" si="30"/>
        <v>45398</v>
      </c>
      <c r="B1939" s="53">
        <v>1938</v>
      </c>
      <c r="C1939" s="53">
        <v>31895.006099999999</v>
      </c>
    </row>
    <row r="1940" spans="1:3" x14ac:dyDescent="0.25">
      <c r="A1940" s="52">
        <f t="shared" si="30"/>
        <v>45399</v>
      </c>
      <c r="B1940" s="53">
        <v>1939</v>
      </c>
      <c r="C1940" s="53">
        <v>31898.235199999999</v>
      </c>
    </row>
    <row r="1941" spans="1:3" x14ac:dyDescent="0.25">
      <c r="A1941" s="52">
        <f t="shared" si="30"/>
        <v>45400</v>
      </c>
      <c r="B1941" s="53">
        <v>1940</v>
      </c>
      <c r="C1941" s="53">
        <v>31901.464499999998</v>
      </c>
    </row>
    <row r="1942" spans="1:3" x14ac:dyDescent="0.25">
      <c r="A1942" s="52">
        <f t="shared" si="30"/>
        <v>45401</v>
      </c>
      <c r="B1942" s="53">
        <v>1941</v>
      </c>
      <c r="C1942" s="53">
        <v>31904.694200000002</v>
      </c>
    </row>
    <row r="1943" spans="1:3" x14ac:dyDescent="0.25">
      <c r="A1943" s="52">
        <f t="shared" si="30"/>
        <v>45402</v>
      </c>
      <c r="B1943" s="53">
        <v>1942</v>
      </c>
      <c r="C1943" s="53">
        <v>31907.924200000001</v>
      </c>
    </row>
    <row r="1944" spans="1:3" x14ac:dyDescent="0.25">
      <c r="A1944" s="52">
        <f t="shared" si="30"/>
        <v>45403</v>
      </c>
      <c r="B1944" s="53">
        <v>1943</v>
      </c>
      <c r="C1944" s="53">
        <v>31911.154600000002</v>
      </c>
    </row>
    <row r="1945" spans="1:3" x14ac:dyDescent="0.25">
      <c r="A1945" s="52">
        <f t="shared" si="30"/>
        <v>45404</v>
      </c>
      <c r="B1945" s="53">
        <v>1944</v>
      </c>
      <c r="C1945" s="53">
        <v>31914.385200000001</v>
      </c>
    </row>
    <row r="1946" spans="1:3" x14ac:dyDescent="0.25">
      <c r="A1946" s="52">
        <f t="shared" si="30"/>
        <v>45405</v>
      </c>
      <c r="B1946" s="53">
        <v>1945</v>
      </c>
      <c r="C1946" s="53">
        <v>31917.6162</v>
      </c>
    </row>
    <row r="1947" spans="1:3" x14ac:dyDescent="0.25">
      <c r="A1947" s="52">
        <f t="shared" si="30"/>
        <v>45406</v>
      </c>
      <c r="B1947" s="53">
        <v>1946</v>
      </c>
      <c r="C1947" s="53">
        <v>31920.847600000001</v>
      </c>
    </row>
    <row r="1948" spans="1:3" x14ac:dyDescent="0.25">
      <c r="A1948" s="52">
        <f t="shared" si="30"/>
        <v>45407</v>
      </c>
      <c r="B1948" s="53">
        <v>1947</v>
      </c>
      <c r="C1948" s="53">
        <v>31924.0792</v>
      </c>
    </row>
    <row r="1949" spans="1:3" x14ac:dyDescent="0.25">
      <c r="A1949" s="52">
        <f t="shared" si="30"/>
        <v>45408</v>
      </c>
      <c r="B1949" s="53">
        <v>1948</v>
      </c>
      <c r="C1949" s="53">
        <v>31927.3112</v>
      </c>
    </row>
    <row r="1950" spans="1:3" x14ac:dyDescent="0.25">
      <c r="A1950" s="52">
        <f t="shared" si="30"/>
        <v>45409</v>
      </c>
      <c r="B1950" s="53">
        <v>1949</v>
      </c>
      <c r="C1950" s="53">
        <v>31930.5435</v>
      </c>
    </row>
    <row r="1951" spans="1:3" x14ac:dyDescent="0.25">
      <c r="A1951" s="52">
        <f t="shared" si="30"/>
        <v>45410</v>
      </c>
      <c r="B1951" s="53">
        <v>1950</v>
      </c>
      <c r="C1951" s="53">
        <v>31933.776099999999</v>
      </c>
    </row>
    <row r="1952" spans="1:3" x14ac:dyDescent="0.25">
      <c r="A1952" s="52">
        <f t="shared" si="30"/>
        <v>45411</v>
      </c>
      <c r="B1952" s="53">
        <v>1951</v>
      </c>
      <c r="C1952" s="53">
        <v>31937.009099999999</v>
      </c>
    </row>
    <row r="1953" spans="1:3" x14ac:dyDescent="0.25">
      <c r="A1953" s="52">
        <f t="shared" si="30"/>
        <v>45412</v>
      </c>
      <c r="B1953" s="53">
        <v>1952</v>
      </c>
      <c r="C1953" s="53">
        <v>31940.242399999999</v>
      </c>
    </row>
    <row r="1954" spans="1:3" x14ac:dyDescent="0.25">
      <c r="A1954" s="52">
        <f t="shared" si="30"/>
        <v>45413</v>
      </c>
      <c r="B1954" s="53">
        <v>1953</v>
      </c>
      <c r="C1954" s="53">
        <v>31943.475999999999</v>
      </c>
    </row>
    <row r="1955" spans="1:3" x14ac:dyDescent="0.25">
      <c r="A1955" s="52">
        <f t="shared" si="30"/>
        <v>45414</v>
      </c>
      <c r="B1955" s="53">
        <v>1954</v>
      </c>
      <c r="C1955" s="53">
        <v>31946.709900000002</v>
      </c>
    </row>
    <row r="1956" spans="1:3" x14ac:dyDescent="0.25">
      <c r="A1956" s="52">
        <f t="shared" si="30"/>
        <v>45415</v>
      </c>
      <c r="B1956" s="53">
        <v>1955</v>
      </c>
      <c r="C1956" s="53">
        <v>31949.944200000002</v>
      </c>
    </row>
    <row r="1957" spans="1:3" x14ac:dyDescent="0.25">
      <c r="A1957" s="52">
        <f t="shared" si="30"/>
        <v>45416</v>
      </c>
      <c r="B1957" s="53">
        <v>1956</v>
      </c>
      <c r="C1957" s="53">
        <v>31953.178800000002</v>
      </c>
    </row>
    <row r="1958" spans="1:3" x14ac:dyDescent="0.25">
      <c r="A1958" s="52">
        <f t="shared" si="30"/>
        <v>45417</v>
      </c>
      <c r="B1958" s="53">
        <v>1957</v>
      </c>
      <c r="C1958" s="53">
        <v>31956.413700000001</v>
      </c>
    </row>
    <row r="1959" spans="1:3" x14ac:dyDescent="0.25">
      <c r="A1959" s="52">
        <f t="shared" si="30"/>
        <v>45418</v>
      </c>
      <c r="B1959" s="53">
        <v>1958</v>
      </c>
      <c r="C1959" s="53">
        <v>31959.649000000001</v>
      </c>
    </row>
    <row r="1960" spans="1:3" x14ac:dyDescent="0.25">
      <c r="A1960" s="52">
        <f t="shared" si="30"/>
        <v>45419</v>
      </c>
      <c r="B1960" s="53">
        <v>1959</v>
      </c>
      <c r="C1960" s="53">
        <v>31962.8845</v>
      </c>
    </row>
    <row r="1961" spans="1:3" x14ac:dyDescent="0.25">
      <c r="A1961" s="52">
        <f t="shared" si="30"/>
        <v>45420</v>
      </c>
      <c r="B1961" s="53">
        <v>1960</v>
      </c>
      <c r="C1961" s="53">
        <v>31966.120500000001</v>
      </c>
    </row>
    <row r="1962" spans="1:3" x14ac:dyDescent="0.25">
      <c r="A1962" s="52">
        <f t="shared" si="30"/>
        <v>45421</v>
      </c>
      <c r="B1962" s="53">
        <v>1961</v>
      </c>
      <c r="C1962" s="53">
        <v>31969.3567</v>
      </c>
    </row>
    <row r="1963" spans="1:3" x14ac:dyDescent="0.25">
      <c r="A1963" s="52">
        <f t="shared" si="30"/>
        <v>45422</v>
      </c>
      <c r="B1963" s="53">
        <v>1962</v>
      </c>
      <c r="C1963" s="53">
        <v>31971.9578</v>
      </c>
    </row>
    <row r="1964" spans="1:3" x14ac:dyDescent="0.25">
      <c r="A1964" s="52">
        <f t="shared" si="30"/>
        <v>45423</v>
      </c>
      <c r="B1964" s="53">
        <v>1963</v>
      </c>
      <c r="C1964" s="53">
        <v>31974.559099999999</v>
      </c>
    </row>
    <row r="1965" spans="1:3" x14ac:dyDescent="0.25">
      <c r="A1965" s="52">
        <f t="shared" si="30"/>
        <v>45424</v>
      </c>
      <c r="B1965" s="53">
        <v>1964</v>
      </c>
      <c r="C1965" s="53">
        <v>31977.160599999999</v>
      </c>
    </row>
    <row r="1966" spans="1:3" x14ac:dyDescent="0.25">
      <c r="A1966" s="52">
        <f t="shared" si="30"/>
        <v>45425</v>
      </c>
      <c r="B1966" s="53">
        <v>1965</v>
      </c>
      <c r="C1966" s="53">
        <v>31979.7624</v>
      </c>
    </row>
    <row r="1967" spans="1:3" x14ac:dyDescent="0.25">
      <c r="A1967" s="52">
        <f t="shared" si="30"/>
        <v>45426</v>
      </c>
      <c r="B1967" s="53">
        <v>1966</v>
      </c>
      <c r="C1967" s="53">
        <v>31982.364300000001</v>
      </c>
    </row>
    <row r="1968" spans="1:3" x14ac:dyDescent="0.25">
      <c r="A1968" s="52">
        <f t="shared" si="30"/>
        <v>45427</v>
      </c>
      <c r="B1968" s="53">
        <v>1967</v>
      </c>
      <c r="C1968" s="53">
        <v>31984.966499999999</v>
      </c>
    </row>
    <row r="1969" spans="1:3" x14ac:dyDescent="0.25">
      <c r="A1969" s="52">
        <f t="shared" si="30"/>
        <v>45428</v>
      </c>
      <c r="B1969" s="53">
        <v>1968</v>
      </c>
      <c r="C1969" s="53">
        <v>31987.568899999998</v>
      </c>
    </row>
    <row r="1970" spans="1:3" x14ac:dyDescent="0.25">
      <c r="A1970" s="52">
        <f t="shared" si="30"/>
        <v>45429</v>
      </c>
      <c r="B1970" s="53">
        <v>1969</v>
      </c>
      <c r="C1970" s="53">
        <v>31990.171399999999</v>
      </c>
    </row>
    <row r="1971" spans="1:3" x14ac:dyDescent="0.25">
      <c r="A1971" s="52">
        <f t="shared" si="30"/>
        <v>45430</v>
      </c>
      <c r="B1971" s="53">
        <v>1970</v>
      </c>
      <c r="C1971" s="53">
        <v>31992.7742</v>
      </c>
    </row>
    <row r="1972" spans="1:3" x14ac:dyDescent="0.25">
      <c r="A1972" s="52">
        <f t="shared" si="30"/>
        <v>45431</v>
      </c>
      <c r="B1972" s="53">
        <v>1971</v>
      </c>
      <c r="C1972" s="53">
        <v>31995.377199999999</v>
      </c>
    </row>
    <row r="1973" spans="1:3" x14ac:dyDescent="0.25">
      <c r="A1973" s="52">
        <f t="shared" si="30"/>
        <v>45432</v>
      </c>
      <c r="B1973" s="53">
        <v>1972</v>
      </c>
      <c r="C1973" s="53">
        <v>31997.980500000001</v>
      </c>
    </row>
    <row r="1974" spans="1:3" x14ac:dyDescent="0.25">
      <c r="A1974" s="52">
        <f t="shared" si="30"/>
        <v>45433</v>
      </c>
      <c r="B1974" s="53">
        <v>1973</v>
      </c>
      <c r="C1974" s="53">
        <v>32000.583900000001</v>
      </c>
    </row>
    <row r="1975" spans="1:3" x14ac:dyDescent="0.25">
      <c r="A1975" s="52">
        <f t="shared" si="30"/>
        <v>45434</v>
      </c>
      <c r="B1975" s="53">
        <v>1974</v>
      </c>
      <c r="C1975" s="53">
        <v>32003.1875</v>
      </c>
    </row>
    <row r="1976" spans="1:3" x14ac:dyDescent="0.25">
      <c r="A1976" s="52">
        <f t="shared" si="30"/>
        <v>45435</v>
      </c>
      <c r="B1976" s="53">
        <v>1975</v>
      </c>
      <c r="C1976" s="53">
        <v>32005.791399999998</v>
      </c>
    </row>
    <row r="1977" spans="1:3" x14ac:dyDescent="0.25">
      <c r="A1977" s="52">
        <f t="shared" si="30"/>
        <v>45436</v>
      </c>
      <c r="B1977" s="53">
        <v>1976</v>
      </c>
      <c r="C1977" s="53">
        <v>32008.395499999999</v>
      </c>
    </row>
    <row r="1978" spans="1:3" x14ac:dyDescent="0.25">
      <c r="A1978" s="52">
        <f t="shared" si="30"/>
        <v>45437</v>
      </c>
      <c r="B1978" s="53">
        <v>1977</v>
      </c>
      <c r="C1978" s="53">
        <v>32010.9997</v>
      </c>
    </row>
    <row r="1979" spans="1:3" x14ac:dyDescent="0.25">
      <c r="A1979" s="52">
        <f t="shared" si="30"/>
        <v>45438</v>
      </c>
      <c r="B1979" s="53">
        <v>1978</v>
      </c>
      <c r="C1979" s="53">
        <v>32013.604200000002</v>
      </c>
    </row>
    <row r="1980" spans="1:3" x14ac:dyDescent="0.25">
      <c r="A1980" s="52">
        <f t="shared" si="30"/>
        <v>45439</v>
      </c>
      <c r="B1980" s="53">
        <v>1979</v>
      </c>
      <c r="C1980" s="53">
        <v>32016.208900000001</v>
      </c>
    </row>
    <row r="1981" spans="1:3" x14ac:dyDescent="0.25">
      <c r="A1981" s="52">
        <f t="shared" si="30"/>
        <v>45440</v>
      </c>
      <c r="B1981" s="53">
        <v>1980</v>
      </c>
      <c r="C1981" s="53">
        <v>32018.8138</v>
      </c>
    </row>
    <row r="1982" spans="1:3" x14ac:dyDescent="0.25">
      <c r="A1982" s="52">
        <f t="shared" si="30"/>
        <v>45441</v>
      </c>
      <c r="B1982" s="53">
        <v>1981</v>
      </c>
      <c r="C1982" s="53">
        <v>32021.419000000002</v>
      </c>
    </row>
    <row r="1983" spans="1:3" x14ac:dyDescent="0.25">
      <c r="A1983" s="52">
        <f t="shared" si="30"/>
        <v>45442</v>
      </c>
      <c r="B1983" s="53">
        <v>1982</v>
      </c>
      <c r="C1983" s="53">
        <v>32024.024300000001</v>
      </c>
    </row>
    <row r="1984" spans="1:3" x14ac:dyDescent="0.25">
      <c r="A1984" s="52">
        <f t="shared" si="30"/>
        <v>45443</v>
      </c>
      <c r="B1984" s="53">
        <v>1983</v>
      </c>
      <c r="C1984" s="53">
        <v>32026.6299</v>
      </c>
    </row>
    <row r="1985" spans="1:3" x14ac:dyDescent="0.25">
      <c r="A1985" s="52">
        <f t="shared" si="30"/>
        <v>45444</v>
      </c>
      <c r="B1985" s="53">
        <v>1984</v>
      </c>
      <c r="C1985" s="53">
        <v>32029.2356</v>
      </c>
    </row>
    <row r="1986" spans="1:3" x14ac:dyDescent="0.25">
      <c r="A1986" s="52">
        <f t="shared" ref="A1986:A2049" si="31">+$G$4+B1986</f>
        <v>45445</v>
      </c>
      <c r="B1986" s="53">
        <v>1985</v>
      </c>
      <c r="C1986" s="53">
        <v>32031.8416</v>
      </c>
    </row>
    <row r="1987" spans="1:3" x14ac:dyDescent="0.25">
      <c r="A1987" s="52">
        <f t="shared" si="31"/>
        <v>45446</v>
      </c>
      <c r="B1987" s="53">
        <v>1986</v>
      </c>
      <c r="C1987" s="53">
        <v>32034.447800000002</v>
      </c>
    </row>
    <row r="1988" spans="1:3" x14ac:dyDescent="0.25">
      <c r="A1988" s="52">
        <f t="shared" si="31"/>
        <v>45447</v>
      </c>
      <c r="B1988" s="53">
        <v>1987</v>
      </c>
      <c r="C1988" s="53">
        <v>32037.054199999999</v>
      </c>
    </row>
    <row r="1989" spans="1:3" x14ac:dyDescent="0.25">
      <c r="A1989" s="52">
        <f t="shared" si="31"/>
        <v>45448</v>
      </c>
      <c r="B1989" s="53">
        <v>1988</v>
      </c>
      <c r="C1989" s="53">
        <v>32039.660800000001</v>
      </c>
    </row>
    <row r="1990" spans="1:3" x14ac:dyDescent="0.25">
      <c r="A1990" s="52">
        <f t="shared" si="31"/>
        <v>45449</v>
      </c>
      <c r="B1990" s="53">
        <v>1989</v>
      </c>
      <c r="C1990" s="53">
        <v>32042.267599999999</v>
      </c>
    </row>
    <row r="1991" spans="1:3" x14ac:dyDescent="0.25">
      <c r="A1991" s="52">
        <f t="shared" si="31"/>
        <v>45450</v>
      </c>
      <c r="B1991" s="53">
        <v>1990</v>
      </c>
      <c r="C1991" s="53">
        <v>32044.8747</v>
      </c>
    </row>
    <row r="1992" spans="1:3" x14ac:dyDescent="0.25">
      <c r="A1992" s="52">
        <f t="shared" si="31"/>
        <v>45451</v>
      </c>
      <c r="B1992" s="53">
        <v>1991</v>
      </c>
      <c r="C1992" s="53">
        <v>32047.481899999999</v>
      </c>
    </row>
    <row r="1993" spans="1:3" x14ac:dyDescent="0.25">
      <c r="A1993" s="52">
        <f t="shared" si="31"/>
        <v>45452</v>
      </c>
      <c r="B1993" s="53">
        <v>1992</v>
      </c>
      <c r="C1993" s="53">
        <v>32050.089400000001</v>
      </c>
    </row>
    <row r="1994" spans="1:3" x14ac:dyDescent="0.25">
      <c r="A1994" s="52">
        <f t="shared" si="31"/>
        <v>45453</v>
      </c>
      <c r="B1994" s="53">
        <v>1993</v>
      </c>
      <c r="C1994" s="53">
        <v>32052.6931</v>
      </c>
    </row>
    <row r="1995" spans="1:3" x14ac:dyDescent="0.25">
      <c r="A1995" s="52">
        <f t="shared" si="31"/>
        <v>45454</v>
      </c>
      <c r="B1995" s="53">
        <v>1994</v>
      </c>
      <c r="C1995" s="53">
        <v>32055.2971</v>
      </c>
    </row>
    <row r="1996" spans="1:3" x14ac:dyDescent="0.25">
      <c r="A1996" s="52">
        <f t="shared" si="31"/>
        <v>45455</v>
      </c>
      <c r="B1996" s="53">
        <v>1995</v>
      </c>
      <c r="C1996" s="53">
        <v>32057.901300000001</v>
      </c>
    </row>
    <row r="1997" spans="1:3" x14ac:dyDescent="0.25">
      <c r="A1997" s="52">
        <f t="shared" si="31"/>
        <v>45456</v>
      </c>
      <c r="B1997" s="53">
        <v>1996</v>
      </c>
      <c r="C1997" s="53">
        <v>32060.505700000002</v>
      </c>
    </row>
    <row r="1998" spans="1:3" x14ac:dyDescent="0.25">
      <c r="A1998" s="52">
        <f t="shared" si="31"/>
        <v>45457</v>
      </c>
      <c r="B1998" s="53">
        <v>1997</v>
      </c>
      <c r="C1998" s="53">
        <v>32063.1103</v>
      </c>
    </row>
    <row r="1999" spans="1:3" x14ac:dyDescent="0.25">
      <c r="A1999" s="52">
        <f t="shared" si="31"/>
        <v>45458</v>
      </c>
      <c r="B1999" s="53">
        <v>1998</v>
      </c>
      <c r="C1999" s="53">
        <v>32065.715199999999</v>
      </c>
    </row>
    <row r="2000" spans="1:3" x14ac:dyDescent="0.25">
      <c r="A2000" s="52">
        <f t="shared" si="31"/>
        <v>45459</v>
      </c>
      <c r="B2000" s="53">
        <v>1999</v>
      </c>
      <c r="C2000" s="53">
        <v>32068.320199999998</v>
      </c>
    </row>
    <row r="2001" spans="1:3" x14ac:dyDescent="0.25">
      <c r="A2001" s="52">
        <f t="shared" si="31"/>
        <v>45460</v>
      </c>
      <c r="B2001" s="53">
        <v>2000</v>
      </c>
      <c r="C2001" s="53">
        <v>32070.925500000001</v>
      </c>
    </row>
    <row r="2002" spans="1:3" x14ac:dyDescent="0.25">
      <c r="A2002" s="52">
        <f t="shared" si="31"/>
        <v>45461</v>
      </c>
      <c r="B2002" s="53">
        <v>2001</v>
      </c>
      <c r="C2002" s="53">
        <v>32073.530900000002</v>
      </c>
    </row>
    <row r="2003" spans="1:3" x14ac:dyDescent="0.25">
      <c r="A2003" s="52">
        <f t="shared" si="31"/>
        <v>45462</v>
      </c>
      <c r="B2003" s="53">
        <v>2002</v>
      </c>
      <c r="C2003" s="53">
        <v>32076.136600000002</v>
      </c>
    </row>
    <row r="2004" spans="1:3" x14ac:dyDescent="0.25">
      <c r="A2004" s="52">
        <f t="shared" si="31"/>
        <v>45463</v>
      </c>
      <c r="B2004" s="53">
        <v>2003</v>
      </c>
      <c r="C2004" s="53">
        <v>32078.7425</v>
      </c>
    </row>
    <row r="2005" spans="1:3" x14ac:dyDescent="0.25">
      <c r="A2005" s="52">
        <f t="shared" si="31"/>
        <v>45464</v>
      </c>
      <c r="B2005" s="53">
        <v>2004</v>
      </c>
      <c r="C2005" s="53">
        <v>32081.348600000001</v>
      </c>
    </row>
    <row r="2006" spans="1:3" x14ac:dyDescent="0.25">
      <c r="A2006" s="52">
        <f t="shared" si="31"/>
        <v>45465</v>
      </c>
      <c r="B2006" s="53">
        <v>2005</v>
      </c>
      <c r="C2006" s="53">
        <v>32083.954900000001</v>
      </c>
    </row>
    <row r="2007" spans="1:3" x14ac:dyDescent="0.25">
      <c r="A2007" s="52">
        <f t="shared" si="31"/>
        <v>45466</v>
      </c>
      <c r="B2007" s="53">
        <v>2006</v>
      </c>
      <c r="C2007" s="53">
        <v>32086.561399999999</v>
      </c>
    </row>
    <row r="2008" spans="1:3" x14ac:dyDescent="0.25">
      <c r="A2008" s="52">
        <f t="shared" si="31"/>
        <v>45467</v>
      </c>
      <c r="B2008" s="53">
        <v>2007</v>
      </c>
      <c r="C2008" s="53">
        <v>32089.1682</v>
      </c>
    </row>
    <row r="2009" spans="1:3" x14ac:dyDescent="0.25">
      <c r="A2009" s="52">
        <f t="shared" si="31"/>
        <v>45468</v>
      </c>
      <c r="B2009" s="53">
        <v>2008</v>
      </c>
      <c r="C2009" s="53">
        <v>32091.775099999999</v>
      </c>
    </row>
    <row r="2010" spans="1:3" x14ac:dyDescent="0.25">
      <c r="A2010" s="52">
        <f t="shared" si="31"/>
        <v>45469</v>
      </c>
      <c r="B2010" s="53">
        <v>2009</v>
      </c>
      <c r="C2010" s="53">
        <v>32094.382300000001</v>
      </c>
    </row>
    <row r="2011" spans="1:3" x14ac:dyDescent="0.25">
      <c r="A2011" s="52">
        <f t="shared" si="31"/>
        <v>45470</v>
      </c>
      <c r="B2011" s="53">
        <v>2010</v>
      </c>
      <c r="C2011" s="53">
        <v>32096.989600000001</v>
      </c>
    </row>
    <row r="2012" spans="1:3" x14ac:dyDescent="0.25">
      <c r="A2012" s="52">
        <f t="shared" si="31"/>
        <v>45471</v>
      </c>
      <c r="B2012" s="53">
        <v>2011</v>
      </c>
      <c r="C2012" s="53">
        <v>32099.5972</v>
      </c>
    </row>
    <row r="2013" spans="1:3" x14ac:dyDescent="0.25">
      <c r="A2013" s="52">
        <f t="shared" si="31"/>
        <v>45472</v>
      </c>
      <c r="B2013" s="53">
        <v>2012</v>
      </c>
      <c r="C2013" s="53">
        <v>32102.205000000002</v>
      </c>
    </row>
    <row r="2014" spans="1:3" x14ac:dyDescent="0.25">
      <c r="A2014" s="52">
        <f t="shared" si="31"/>
        <v>45473</v>
      </c>
      <c r="B2014" s="53">
        <v>2013</v>
      </c>
      <c r="C2014" s="53">
        <v>32104.812999999998</v>
      </c>
    </row>
    <row r="2015" spans="1:3" x14ac:dyDescent="0.25">
      <c r="A2015" s="52">
        <f t="shared" si="31"/>
        <v>45474</v>
      </c>
      <c r="B2015" s="53">
        <v>2014</v>
      </c>
      <c r="C2015" s="53">
        <v>32107.421200000001</v>
      </c>
    </row>
    <row r="2016" spans="1:3" x14ac:dyDescent="0.25">
      <c r="A2016" s="52">
        <f t="shared" si="31"/>
        <v>45475</v>
      </c>
      <c r="B2016" s="53">
        <v>2015</v>
      </c>
      <c r="C2016" s="53">
        <v>32110.029699999999</v>
      </c>
    </row>
    <row r="2017" spans="1:3" x14ac:dyDescent="0.25">
      <c r="A2017" s="52">
        <f t="shared" si="31"/>
        <v>45476</v>
      </c>
      <c r="B2017" s="53">
        <v>2016</v>
      </c>
      <c r="C2017" s="53">
        <v>32112.638299999999</v>
      </c>
    </row>
    <row r="2018" spans="1:3" x14ac:dyDescent="0.25">
      <c r="A2018" s="52">
        <f t="shared" si="31"/>
        <v>45477</v>
      </c>
      <c r="B2018" s="53">
        <v>2017</v>
      </c>
      <c r="C2018" s="53">
        <v>32115.247200000002</v>
      </c>
    </row>
    <row r="2019" spans="1:3" x14ac:dyDescent="0.25">
      <c r="A2019" s="52">
        <f t="shared" si="31"/>
        <v>45478</v>
      </c>
      <c r="B2019" s="53">
        <v>2018</v>
      </c>
      <c r="C2019" s="53">
        <v>32117.856199999998</v>
      </c>
    </row>
    <row r="2020" spans="1:3" x14ac:dyDescent="0.25">
      <c r="A2020" s="52">
        <f t="shared" si="31"/>
        <v>45479</v>
      </c>
      <c r="B2020" s="53">
        <v>2019</v>
      </c>
      <c r="C2020" s="53">
        <v>32120.465499999998</v>
      </c>
    </row>
    <row r="2021" spans="1:3" x14ac:dyDescent="0.25">
      <c r="A2021" s="52">
        <f t="shared" si="31"/>
        <v>45480</v>
      </c>
      <c r="B2021" s="53">
        <v>2020</v>
      </c>
      <c r="C2021" s="53">
        <v>32123.075000000001</v>
      </c>
    </row>
    <row r="2022" spans="1:3" x14ac:dyDescent="0.25">
      <c r="A2022" s="52">
        <f t="shared" si="31"/>
        <v>45481</v>
      </c>
      <c r="B2022" s="53">
        <v>2021</v>
      </c>
      <c r="C2022" s="53">
        <v>32125.684700000002</v>
      </c>
    </row>
    <row r="2023" spans="1:3" x14ac:dyDescent="0.25">
      <c r="A2023" s="52">
        <f t="shared" si="31"/>
        <v>45482</v>
      </c>
      <c r="B2023" s="53">
        <v>2022</v>
      </c>
      <c r="C2023" s="53">
        <v>32128.294600000001</v>
      </c>
    </row>
    <row r="2024" spans="1:3" x14ac:dyDescent="0.25">
      <c r="A2024" s="52">
        <f t="shared" si="31"/>
        <v>45483</v>
      </c>
      <c r="B2024" s="53">
        <v>2023</v>
      </c>
      <c r="C2024" s="53">
        <v>32130.340800000002</v>
      </c>
    </row>
    <row r="2025" spans="1:3" x14ac:dyDescent="0.25">
      <c r="A2025" s="52">
        <f t="shared" si="31"/>
        <v>45484</v>
      </c>
      <c r="B2025" s="53">
        <v>2024</v>
      </c>
      <c r="C2025" s="53">
        <v>32132.3871</v>
      </c>
    </row>
    <row r="2026" spans="1:3" x14ac:dyDescent="0.25">
      <c r="A2026" s="52">
        <f t="shared" si="31"/>
        <v>45485</v>
      </c>
      <c r="B2026" s="53">
        <v>2025</v>
      </c>
      <c r="C2026" s="53">
        <v>32134.433499999999</v>
      </c>
    </row>
    <row r="2027" spans="1:3" x14ac:dyDescent="0.25">
      <c r="A2027" s="52">
        <f t="shared" si="31"/>
        <v>45486</v>
      </c>
      <c r="B2027" s="53">
        <v>2026</v>
      </c>
      <c r="C2027" s="53">
        <v>32136.480100000001</v>
      </c>
    </row>
    <row r="2028" spans="1:3" x14ac:dyDescent="0.25">
      <c r="A2028" s="52">
        <f t="shared" si="31"/>
        <v>45487</v>
      </c>
      <c r="B2028" s="53">
        <v>2027</v>
      </c>
      <c r="C2028" s="53">
        <v>32138.5268</v>
      </c>
    </row>
    <row r="2029" spans="1:3" x14ac:dyDescent="0.25">
      <c r="A2029" s="52">
        <f t="shared" si="31"/>
        <v>45488</v>
      </c>
      <c r="B2029" s="53">
        <v>2028</v>
      </c>
      <c r="C2029" s="53">
        <v>32140.5736</v>
      </c>
    </row>
    <row r="2030" spans="1:3" x14ac:dyDescent="0.25">
      <c r="A2030" s="52">
        <f t="shared" si="31"/>
        <v>45489</v>
      </c>
      <c r="B2030" s="53">
        <v>2029</v>
      </c>
      <c r="C2030" s="53">
        <v>32142.620500000001</v>
      </c>
    </row>
    <row r="2031" spans="1:3" x14ac:dyDescent="0.25">
      <c r="A2031" s="52">
        <f t="shared" si="31"/>
        <v>45490</v>
      </c>
      <c r="B2031" s="53">
        <v>2030</v>
      </c>
      <c r="C2031" s="53">
        <v>32144.667600000001</v>
      </c>
    </row>
    <row r="2032" spans="1:3" x14ac:dyDescent="0.25">
      <c r="A2032" s="52">
        <f t="shared" si="31"/>
        <v>45491</v>
      </c>
      <c r="B2032" s="53">
        <v>2031</v>
      </c>
      <c r="C2032" s="53">
        <v>32146.714800000002</v>
      </c>
    </row>
    <row r="2033" spans="1:3" x14ac:dyDescent="0.25">
      <c r="A2033" s="52">
        <f t="shared" si="31"/>
        <v>45492</v>
      </c>
      <c r="B2033" s="53">
        <v>2032</v>
      </c>
      <c r="C2033" s="53">
        <v>32148.762200000001</v>
      </c>
    </row>
    <row r="2034" spans="1:3" x14ac:dyDescent="0.25">
      <c r="A2034" s="52">
        <f t="shared" si="31"/>
        <v>45493</v>
      </c>
      <c r="B2034" s="53">
        <v>2033</v>
      </c>
      <c r="C2034" s="53">
        <v>32150.809600000001</v>
      </c>
    </row>
    <row r="2035" spans="1:3" x14ac:dyDescent="0.25">
      <c r="A2035" s="52">
        <f t="shared" si="31"/>
        <v>45494</v>
      </c>
      <c r="B2035" s="53">
        <v>2034</v>
      </c>
      <c r="C2035" s="53">
        <v>32152.857199999999</v>
      </c>
    </row>
    <row r="2036" spans="1:3" x14ac:dyDescent="0.25">
      <c r="A2036" s="52">
        <f t="shared" si="31"/>
        <v>45495</v>
      </c>
      <c r="B2036" s="53">
        <v>2035</v>
      </c>
      <c r="C2036" s="53">
        <v>32154.904999999999</v>
      </c>
    </row>
    <row r="2037" spans="1:3" x14ac:dyDescent="0.25">
      <c r="A2037" s="52">
        <f t="shared" si="31"/>
        <v>45496</v>
      </c>
      <c r="B2037" s="53">
        <v>2036</v>
      </c>
      <c r="C2037" s="53">
        <v>32156.952799999999</v>
      </c>
    </row>
    <row r="2038" spans="1:3" x14ac:dyDescent="0.25">
      <c r="A2038" s="52">
        <f t="shared" si="31"/>
        <v>45497</v>
      </c>
      <c r="B2038" s="53">
        <v>2037</v>
      </c>
      <c r="C2038" s="53">
        <v>32159.000800000002</v>
      </c>
    </row>
    <row r="2039" spans="1:3" x14ac:dyDescent="0.25">
      <c r="A2039" s="52">
        <f t="shared" si="31"/>
        <v>45498</v>
      </c>
      <c r="B2039" s="53">
        <v>2038</v>
      </c>
      <c r="C2039" s="53">
        <v>32161.048999999999</v>
      </c>
    </row>
    <row r="2040" spans="1:3" x14ac:dyDescent="0.25">
      <c r="A2040" s="52">
        <f t="shared" si="31"/>
        <v>45499</v>
      </c>
      <c r="B2040" s="53">
        <v>2039</v>
      </c>
      <c r="C2040" s="53">
        <v>32163.0972</v>
      </c>
    </row>
    <row r="2041" spans="1:3" x14ac:dyDescent="0.25">
      <c r="A2041" s="52">
        <f t="shared" si="31"/>
        <v>45500</v>
      </c>
      <c r="B2041" s="53">
        <v>2040</v>
      </c>
      <c r="C2041" s="53">
        <v>32165.1456</v>
      </c>
    </row>
    <row r="2042" spans="1:3" x14ac:dyDescent="0.25">
      <c r="A2042" s="52">
        <f t="shared" si="31"/>
        <v>45501</v>
      </c>
      <c r="B2042" s="53">
        <v>2041</v>
      </c>
      <c r="C2042" s="53">
        <v>32167.194100000001</v>
      </c>
    </row>
    <row r="2043" spans="1:3" x14ac:dyDescent="0.25">
      <c r="A2043" s="52">
        <f t="shared" si="31"/>
        <v>45502</v>
      </c>
      <c r="B2043" s="53">
        <v>2042</v>
      </c>
      <c r="C2043" s="53">
        <v>32169.2428</v>
      </c>
    </row>
    <row r="2044" spans="1:3" x14ac:dyDescent="0.25">
      <c r="A2044" s="52">
        <f t="shared" si="31"/>
        <v>45503</v>
      </c>
      <c r="B2044" s="53">
        <v>2043</v>
      </c>
      <c r="C2044" s="53">
        <v>32171.291499999999</v>
      </c>
    </row>
    <row r="2045" spans="1:3" x14ac:dyDescent="0.25">
      <c r="A2045" s="52">
        <f t="shared" si="31"/>
        <v>45504</v>
      </c>
      <c r="B2045" s="53">
        <v>2044</v>
      </c>
      <c r="C2045" s="53">
        <v>32173.340499999998</v>
      </c>
    </row>
    <row r="2046" spans="1:3" x14ac:dyDescent="0.25">
      <c r="A2046" s="52">
        <f t="shared" si="31"/>
        <v>45505</v>
      </c>
      <c r="B2046" s="53">
        <v>2045</v>
      </c>
      <c r="C2046" s="53">
        <v>32175.389500000001</v>
      </c>
    </row>
    <row r="2047" spans="1:3" x14ac:dyDescent="0.25">
      <c r="A2047" s="52">
        <f t="shared" si="31"/>
        <v>45506</v>
      </c>
      <c r="B2047" s="53">
        <v>2046</v>
      </c>
      <c r="C2047" s="53">
        <v>32177.438699999999</v>
      </c>
    </row>
    <row r="2048" spans="1:3" x14ac:dyDescent="0.25">
      <c r="A2048" s="52">
        <f t="shared" si="31"/>
        <v>45507</v>
      </c>
      <c r="B2048" s="53">
        <v>2047</v>
      </c>
      <c r="C2048" s="53">
        <v>32179.488000000001</v>
      </c>
    </row>
    <row r="2049" spans="1:3" x14ac:dyDescent="0.25">
      <c r="A2049" s="52">
        <f t="shared" si="31"/>
        <v>45508</v>
      </c>
      <c r="B2049" s="53">
        <v>2048</v>
      </c>
      <c r="C2049" s="53">
        <v>32181.537400000001</v>
      </c>
    </row>
    <row r="2050" spans="1:3" x14ac:dyDescent="0.25">
      <c r="A2050" s="52">
        <f t="shared" ref="A2050:A2113" si="32">+$G$4+B2050</f>
        <v>45509</v>
      </c>
      <c r="B2050" s="53">
        <v>2049</v>
      </c>
      <c r="C2050" s="53">
        <v>32183.587</v>
      </c>
    </row>
    <row r="2051" spans="1:3" x14ac:dyDescent="0.25">
      <c r="A2051" s="52">
        <f t="shared" si="32"/>
        <v>45510</v>
      </c>
      <c r="B2051" s="53">
        <v>2050</v>
      </c>
      <c r="C2051" s="53">
        <v>32185.636600000002</v>
      </c>
    </row>
    <row r="2052" spans="1:3" x14ac:dyDescent="0.25">
      <c r="A2052" s="52">
        <f t="shared" si="32"/>
        <v>45511</v>
      </c>
      <c r="B2052" s="53">
        <v>2051</v>
      </c>
      <c r="C2052" s="53">
        <v>32187.6865</v>
      </c>
    </row>
    <row r="2053" spans="1:3" x14ac:dyDescent="0.25">
      <c r="A2053" s="52">
        <f t="shared" si="32"/>
        <v>45512</v>
      </c>
      <c r="B2053" s="53">
        <v>2052</v>
      </c>
      <c r="C2053" s="53">
        <v>32189.736400000002</v>
      </c>
    </row>
    <row r="2054" spans="1:3" x14ac:dyDescent="0.25">
      <c r="A2054" s="52">
        <f t="shared" si="32"/>
        <v>45513</v>
      </c>
      <c r="B2054" s="53">
        <v>2053</v>
      </c>
      <c r="C2054" s="53">
        <v>32191.786499999998</v>
      </c>
    </row>
    <row r="2055" spans="1:3" x14ac:dyDescent="0.25">
      <c r="A2055" s="52">
        <f t="shared" si="32"/>
        <v>45514</v>
      </c>
      <c r="B2055" s="53">
        <v>2054</v>
      </c>
      <c r="C2055" s="53">
        <v>32194.565600000002</v>
      </c>
    </row>
    <row r="2056" spans="1:3" x14ac:dyDescent="0.25">
      <c r="A2056" s="52">
        <f t="shared" si="32"/>
        <v>45515</v>
      </c>
      <c r="B2056" s="53">
        <v>2055</v>
      </c>
      <c r="C2056" s="53">
        <v>32197.3449</v>
      </c>
    </row>
    <row r="2057" spans="1:3" x14ac:dyDescent="0.25">
      <c r="A2057" s="52">
        <f t="shared" si="32"/>
        <v>45516</v>
      </c>
      <c r="B2057" s="53">
        <v>2056</v>
      </c>
      <c r="C2057" s="53">
        <v>32200.124400000001</v>
      </c>
    </row>
    <row r="2058" spans="1:3" x14ac:dyDescent="0.25">
      <c r="A2058" s="52">
        <f t="shared" si="32"/>
        <v>45517</v>
      </c>
      <c r="B2058" s="53">
        <v>2057</v>
      </c>
      <c r="C2058" s="53">
        <v>32202.904200000001</v>
      </c>
    </row>
    <row r="2059" spans="1:3" x14ac:dyDescent="0.25">
      <c r="A2059" s="52">
        <f t="shared" si="32"/>
        <v>45518</v>
      </c>
      <c r="B2059" s="53">
        <v>2058</v>
      </c>
      <c r="C2059" s="53">
        <v>32205.684300000001</v>
      </c>
    </row>
    <row r="2060" spans="1:3" x14ac:dyDescent="0.25">
      <c r="A2060" s="52">
        <f t="shared" si="32"/>
        <v>45519</v>
      </c>
      <c r="B2060" s="53">
        <v>2059</v>
      </c>
      <c r="C2060" s="53">
        <v>32208.464499999998</v>
      </c>
    </row>
    <row r="2061" spans="1:3" x14ac:dyDescent="0.25">
      <c r="A2061" s="52">
        <f t="shared" si="32"/>
        <v>45520</v>
      </c>
      <c r="B2061" s="53">
        <v>2060</v>
      </c>
      <c r="C2061" s="53">
        <v>32211.2451</v>
      </c>
    </row>
    <row r="2062" spans="1:3" x14ac:dyDescent="0.25">
      <c r="A2062" s="52">
        <f t="shared" si="32"/>
        <v>45521</v>
      </c>
      <c r="B2062" s="53">
        <v>2061</v>
      </c>
      <c r="C2062" s="53">
        <v>32214.025799999999</v>
      </c>
    </row>
    <row r="2063" spans="1:3" x14ac:dyDescent="0.25">
      <c r="A2063" s="52">
        <f t="shared" si="32"/>
        <v>45522</v>
      </c>
      <c r="B2063" s="53">
        <v>2062</v>
      </c>
      <c r="C2063" s="53">
        <v>32216.806799999998</v>
      </c>
    </row>
    <row r="2064" spans="1:3" x14ac:dyDescent="0.25">
      <c r="A2064" s="52">
        <f t="shared" si="32"/>
        <v>45523</v>
      </c>
      <c r="B2064" s="53">
        <v>2063</v>
      </c>
      <c r="C2064" s="53">
        <v>32219.588</v>
      </c>
    </row>
    <row r="2065" spans="1:3" x14ac:dyDescent="0.25">
      <c r="A2065" s="52">
        <f t="shared" si="32"/>
        <v>45524</v>
      </c>
      <c r="B2065" s="53">
        <v>2064</v>
      </c>
      <c r="C2065" s="53">
        <v>32222.369500000001</v>
      </c>
    </row>
    <row r="2066" spans="1:3" x14ac:dyDescent="0.25">
      <c r="A2066" s="52">
        <f t="shared" si="32"/>
        <v>45525</v>
      </c>
      <c r="B2066" s="53">
        <v>2065</v>
      </c>
      <c r="C2066" s="53">
        <v>32225.1512</v>
      </c>
    </row>
    <row r="2067" spans="1:3" x14ac:dyDescent="0.25">
      <c r="A2067" s="52">
        <f t="shared" si="32"/>
        <v>45526</v>
      </c>
      <c r="B2067" s="53">
        <v>2066</v>
      </c>
      <c r="C2067" s="53">
        <v>32227.933199999999</v>
      </c>
    </row>
    <row r="2068" spans="1:3" x14ac:dyDescent="0.25">
      <c r="A2068" s="52">
        <f t="shared" si="32"/>
        <v>45527</v>
      </c>
      <c r="B2068" s="53">
        <v>2067</v>
      </c>
      <c r="C2068" s="53">
        <v>32230.715400000001</v>
      </c>
    </row>
    <row r="2069" spans="1:3" x14ac:dyDescent="0.25">
      <c r="A2069" s="52">
        <f t="shared" si="32"/>
        <v>45528</v>
      </c>
      <c r="B2069" s="53">
        <v>2068</v>
      </c>
      <c r="C2069" s="53">
        <v>32233.497800000001</v>
      </c>
    </row>
    <row r="2070" spans="1:3" x14ac:dyDescent="0.25">
      <c r="A2070" s="52">
        <f t="shared" si="32"/>
        <v>45529</v>
      </c>
      <c r="B2070" s="53">
        <v>2069</v>
      </c>
      <c r="C2070" s="53">
        <v>32236.280500000001</v>
      </c>
    </row>
    <row r="2071" spans="1:3" x14ac:dyDescent="0.25">
      <c r="A2071" s="52">
        <f t="shared" si="32"/>
        <v>45530</v>
      </c>
      <c r="B2071" s="53">
        <v>2070</v>
      </c>
      <c r="C2071" s="53">
        <v>32239.063399999999</v>
      </c>
    </row>
    <row r="2072" spans="1:3" x14ac:dyDescent="0.25">
      <c r="A2072" s="52">
        <f t="shared" si="32"/>
        <v>45531</v>
      </c>
      <c r="B2072" s="53">
        <v>2071</v>
      </c>
      <c r="C2072" s="53">
        <v>32241.846600000001</v>
      </c>
    </row>
    <row r="2073" spans="1:3" x14ac:dyDescent="0.25">
      <c r="A2073" s="52">
        <f t="shared" si="32"/>
        <v>45532</v>
      </c>
      <c r="B2073" s="53">
        <v>2072</v>
      </c>
      <c r="C2073" s="53">
        <v>32244.63</v>
      </c>
    </row>
    <row r="2074" spans="1:3" x14ac:dyDescent="0.25">
      <c r="A2074" s="52">
        <f t="shared" si="32"/>
        <v>45533</v>
      </c>
      <c r="B2074" s="53">
        <v>2073</v>
      </c>
      <c r="C2074" s="53">
        <v>32247.4136</v>
      </c>
    </row>
    <row r="2075" spans="1:3" x14ac:dyDescent="0.25">
      <c r="A2075" s="52">
        <f t="shared" si="32"/>
        <v>45534</v>
      </c>
      <c r="B2075" s="53">
        <v>2074</v>
      </c>
      <c r="C2075" s="53">
        <v>32250.197499999998</v>
      </c>
    </row>
    <row r="2076" spans="1:3" x14ac:dyDescent="0.25">
      <c r="A2076" s="52">
        <f t="shared" si="32"/>
        <v>45535</v>
      </c>
      <c r="B2076" s="53">
        <v>2075</v>
      </c>
      <c r="C2076" s="53">
        <v>32252.981599999999</v>
      </c>
    </row>
    <row r="2077" spans="1:3" x14ac:dyDescent="0.25">
      <c r="A2077" s="52">
        <f t="shared" si="32"/>
        <v>45536</v>
      </c>
      <c r="B2077" s="53">
        <v>2076</v>
      </c>
      <c r="C2077" s="53">
        <v>32255.766</v>
      </c>
    </row>
    <row r="2078" spans="1:3" x14ac:dyDescent="0.25">
      <c r="A2078" s="52">
        <f t="shared" si="32"/>
        <v>45537</v>
      </c>
      <c r="B2078" s="53">
        <v>2077</v>
      </c>
      <c r="C2078" s="53">
        <v>32258.550599999999</v>
      </c>
    </row>
    <row r="2079" spans="1:3" x14ac:dyDescent="0.25">
      <c r="A2079" s="52">
        <f t="shared" si="32"/>
        <v>45538</v>
      </c>
      <c r="B2079" s="53">
        <v>2078</v>
      </c>
      <c r="C2079" s="53">
        <v>32261.3354</v>
      </c>
    </row>
    <row r="2080" spans="1:3" x14ac:dyDescent="0.25">
      <c r="A2080" s="52">
        <f t="shared" si="32"/>
        <v>45539</v>
      </c>
      <c r="B2080" s="53">
        <v>2079</v>
      </c>
      <c r="C2080" s="53">
        <v>32264.120500000001</v>
      </c>
    </row>
    <row r="2081" spans="1:3" x14ac:dyDescent="0.25">
      <c r="A2081" s="52">
        <f t="shared" si="32"/>
        <v>45540</v>
      </c>
      <c r="B2081" s="53">
        <v>2080</v>
      </c>
      <c r="C2081" s="53">
        <v>32266.9058</v>
      </c>
    </row>
    <row r="2082" spans="1:3" x14ac:dyDescent="0.25">
      <c r="A2082" s="52">
        <f t="shared" si="32"/>
        <v>45541</v>
      </c>
      <c r="B2082" s="53">
        <v>2081</v>
      </c>
      <c r="C2082" s="53">
        <v>32269.6914</v>
      </c>
    </row>
    <row r="2083" spans="1:3" x14ac:dyDescent="0.25">
      <c r="A2083" s="52">
        <f t="shared" si="32"/>
        <v>45542</v>
      </c>
      <c r="B2083" s="53">
        <v>2082</v>
      </c>
      <c r="C2083" s="53">
        <v>32272.477200000001</v>
      </c>
    </row>
    <row r="2084" spans="1:3" x14ac:dyDescent="0.25">
      <c r="A2084" s="52">
        <f t="shared" si="32"/>
        <v>45543</v>
      </c>
      <c r="B2084" s="53">
        <v>2083</v>
      </c>
      <c r="C2084" s="53">
        <v>32275.263200000001</v>
      </c>
    </row>
    <row r="2085" spans="1:3" x14ac:dyDescent="0.25">
      <c r="A2085" s="52">
        <f t="shared" si="32"/>
        <v>45544</v>
      </c>
      <c r="B2085" s="53">
        <v>2084</v>
      </c>
      <c r="C2085" s="53">
        <v>32278.049500000001</v>
      </c>
    </row>
    <row r="2086" spans="1:3" x14ac:dyDescent="0.25">
      <c r="A2086" s="52">
        <f t="shared" si="32"/>
        <v>45545</v>
      </c>
      <c r="B2086" s="53">
        <v>2085</v>
      </c>
      <c r="C2086" s="53">
        <v>32280.470499999999</v>
      </c>
    </row>
    <row r="2087" spans="1:3" x14ac:dyDescent="0.25">
      <c r="A2087" s="52">
        <f t="shared" si="32"/>
        <v>45546</v>
      </c>
      <c r="B2087" s="53">
        <v>2086</v>
      </c>
      <c r="C2087" s="53">
        <v>32282.891599999999</v>
      </c>
    </row>
    <row r="2088" spans="1:3" x14ac:dyDescent="0.25">
      <c r="A2088" s="52">
        <f t="shared" si="32"/>
        <v>45547</v>
      </c>
      <c r="B2088" s="53">
        <v>2087</v>
      </c>
      <c r="C2088" s="53">
        <v>32285.312999999998</v>
      </c>
    </row>
    <row r="2089" spans="1:3" x14ac:dyDescent="0.25">
      <c r="A2089" s="52">
        <f t="shared" si="32"/>
        <v>45548</v>
      </c>
      <c r="B2089" s="53">
        <v>2088</v>
      </c>
      <c r="C2089" s="53">
        <v>32287.734499999999</v>
      </c>
    </row>
    <row r="2090" spans="1:3" x14ac:dyDescent="0.25">
      <c r="A2090" s="52">
        <f t="shared" si="32"/>
        <v>45549</v>
      </c>
      <c r="B2090" s="53">
        <v>2089</v>
      </c>
      <c r="C2090" s="53">
        <v>32290.156299999999</v>
      </c>
    </row>
    <row r="2091" spans="1:3" x14ac:dyDescent="0.25">
      <c r="A2091" s="52">
        <f t="shared" si="32"/>
        <v>45550</v>
      </c>
      <c r="B2091" s="53">
        <v>2090</v>
      </c>
      <c r="C2091" s="53">
        <v>32292.5782</v>
      </c>
    </row>
    <row r="2092" spans="1:3" x14ac:dyDescent="0.25">
      <c r="A2092" s="52">
        <f t="shared" si="32"/>
        <v>45551</v>
      </c>
      <c r="B2092" s="53">
        <v>2091</v>
      </c>
      <c r="C2092" s="53">
        <v>32295.0003</v>
      </c>
    </row>
    <row r="2093" spans="1:3" x14ac:dyDescent="0.25">
      <c r="A2093" s="52">
        <f t="shared" si="32"/>
        <v>45552</v>
      </c>
      <c r="B2093" s="53">
        <v>2092</v>
      </c>
      <c r="C2093" s="53">
        <v>32297.422500000001</v>
      </c>
    </row>
    <row r="2094" spans="1:3" x14ac:dyDescent="0.25">
      <c r="A2094" s="52">
        <f t="shared" si="32"/>
        <v>45553</v>
      </c>
      <c r="B2094" s="53">
        <v>2093</v>
      </c>
      <c r="C2094" s="53">
        <v>32299.845000000001</v>
      </c>
    </row>
    <row r="2095" spans="1:3" x14ac:dyDescent="0.25">
      <c r="A2095" s="52">
        <f t="shared" si="32"/>
        <v>45554</v>
      </c>
      <c r="B2095" s="53">
        <v>2094</v>
      </c>
      <c r="C2095" s="53">
        <v>32302.267599999999</v>
      </c>
    </row>
    <row r="2096" spans="1:3" x14ac:dyDescent="0.25">
      <c r="A2096" s="52">
        <f t="shared" si="32"/>
        <v>45555</v>
      </c>
      <c r="B2096" s="53">
        <v>2095</v>
      </c>
      <c r="C2096" s="53">
        <v>32304.690399999999</v>
      </c>
    </row>
    <row r="2097" spans="1:3" x14ac:dyDescent="0.25">
      <c r="A2097" s="52">
        <f t="shared" si="32"/>
        <v>45556</v>
      </c>
      <c r="B2097" s="53">
        <v>2096</v>
      </c>
      <c r="C2097" s="53">
        <v>32307.113399999998</v>
      </c>
    </row>
    <row r="2098" spans="1:3" x14ac:dyDescent="0.25">
      <c r="A2098" s="52">
        <f t="shared" si="32"/>
        <v>45557</v>
      </c>
      <c r="B2098" s="53">
        <v>2097</v>
      </c>
      <c r="C2098" s="53">
        <v>32309.536599999999</v>
      </c>
    </row>
    <row r="2099" spans="1:3" x14ac:dyDescent="0.25">
      <c r="A2099" s="52">
        <f t="shared" si="32"/>
        <v>45558</v>
      </c>
      <c r="B2099" s="53">
        <v>2098</v>
      </c>
      <c r="C2099" s="53">
        <v>32311.959900000002</v>
      </c>
    </row>
    <row r="2100" spans="1:3" x14ac:dyDescent="0.25">
      <c r="A2100" s="52">
        <f t="shared" si="32"/>
        <v>45559</v>
      </c>
      <c r="B2100" s="53">
        <v>2099</v>
      </c>
      <c r="C2100" s="53">
        <v>32314.3835</v>
      </c>
    </row>
    <row r="2101" spans="1:3" x14ac:dyDescent="0.25">
      <c r="A2101" s="52">
        <f t="shared" si="32"/>
        <v>45560</v>
      </c>
      <c r="B2101" s="53">
        <v>2100</v>
      </c>
      <c r="C2101" s="53">
        <v>32316.807199999999</v>
      </c>
    </row>
    <row r="2102" spans="1:3" x14ac:dyDescent="0.25">
      <c r="A2102" s="52">
        <f t="shared" si="32"/>
        <v>45561</v>
      </c>
      <c r="B2102" s="53">
        <v>2101</v>
      </c>
      <c r="C2102" s="53">
        <v>32319.231100000001</v>
      </c>
    </row>
    <row r="2103" spans="1:3" x14ac:dyDescent="0.25">
      <c r="A2103" s="52">
        <f t="shared" si="32"/>
        <v>45562</v>
      </c>
      <c r="B2103" s="53">
        <v>2102</v>
      </c>
      <c r="C2103" s="53">
        <v>32321.655200000001</v>
      </c>
    </row>
    <row r="2104" spans="1:3" x14ac:dyDescent="0.25">
      <c r="A2104" s="52">
        <f t="shared" si="32"/>
        <v>45563</v>
      </c>
      <c r="B2104" s="53">
        <v>2103</v>
      </c>
      <c r="C2104" s="53">
        <v>32324.079399999999</v>
      </c>
    </row>
    <row r="2105" spans="1:3" x14ac:dyDescent="0.25">
      <c r="A2105" s="52">
        <f t="shared" si="32"/>
        <v>45564</v>
      </c>
      <c r="B2105" s="53">
        <v>2104</v>
      </c>
      <c r="C2105" s="53">
        <v>32326.5039</v>
      </c>
    </row>
    <row r="2106" spans="1:3" x14ac:dyDescent="0.25">
      <c r="A2106" s="52">
        <f t="shared" si="32"/>
        <v>45565</v>
      </c>
      <c r="B2106" s="53">
        <v>2105</v>
      </c>
      <c r="C2106" s="53">
        <v>32328.928500000002</v>
      </c>
    </row>
    <row r="2107" spans="1:3" x14ac:dyDescent="0.25">
      <c r="A2107" s="52">
        <f t="shared" si="32"/>
        <v>45566</v>
      </c>
      <c r="B2107" s="53">
        <v>2106</v>
      </c>
      <c r="C2107" s="53">
        <v>32331.353299999999</v>
      </c>
    </row>
    <row r="2108" spans="1:3" x14ac:dyDescent="0.25">
      <c r="A2108" s="52">
        <f t="shared" si="32"/>
        <v>45567</v>
      </c>
      <c r="B2108" s="53">
        <v>2107</v>
      </c>
      <c r="C2108" s="53">
        <v>32333.778300000002</v>
      </c>
    </row>
    <row r="2109" spans="1:3" x14ac:dyDescent="0.25">
      <c r="A2109" s="52">
        <f t="shared" si="32"/>
        <v>45568</v>
      </c>
      <c r="B2109" s="53">
        <v>2108</v>
      </c>
      <c r="C2109" s="53">
        <v>32336.2035</v>
      </c>
    </row>
    <row r="2110" spans="1:3" x14ac:dyDescent="0.25">
      <c r="A2110" s="52">
        <f t="shared" si="32"/>
        <v>45569</v>
      </c>
      <c r="B2110" s="53">
        <v>2109</v>
      </c>
      <c r="C2110" s="53">
        <v>32338.6289</v>
      </c>
    </row>
    <row r="2111" spans="1:3" x14ac:dyDescent="0.25">
      <c r="A2111" s="52">
        <f t="shared" si="32"/>
        <v>45570</v>
      </c>
      <c r="B2111" s="53">
        <v>2110</v>
      </c>
      <c r="C2111" s="53">
        <v>32341.054400000001</v>
      </c>
    </row>
    <row r="2112" spans="1:3" x14ac:dyDescent="0.25">
      <c r="A2112" s="52">
        <f t="shared" si="32"/>
        <v>45571</v>
      </c>
      <c r="B2112" s="53">
        <v>2111</v>
      </c>
      <c r="C2112" s="53">
        <v>32343.480100000001</v>
      </c>
    </row>
    <row r="2113" spans="1:3" x14ac:dyDescent="0.25">
      <c r="A2113" s="52">
        <f t="shared" si="32"/>
        <v>45572</v>
      </c>
      <c r="B2113" s="53">
        <v>2112</v>
      </c>
      <c r="C2113" s="53">
        <v>32345.905999999999</v>
      </c>
    </row>
    <row r="2114" spans="1:3" x14ac:dyDescent="0.25">
      <c r="A2114" s="52">
        <f t="shared" ref="A2114:A2177" si="33">+$G$4+B2114</f>
        <v>45573</v>
      </c>
      <c r="B2114" s="53">
        <v>2113</v>
      </c>
      <c r="C2114" s="53">
        <v>32348.3321</v>
      </c>
    </row>
    <row r="2115" spans="1:3" x14ac:dyDescent="0.25">
      <c r="A2115" s="52">
        <f t="shared" si="33"/>
        <v>45574</v>
      </c>
      <c r="B2115" s="53">
        <v>2114</v>
      </c>
      <c r="C2115" s="53">
        <v>32350.758399999999</v>
      </c>
    </row>
    <row r="2116" spans="1:3" x14ac:dyDescent="0.25">
      <c r="A2116" s="52">
        <f t="shared" si="33"/>
        <v>45575</v>
      </c>
      <c r="B2116" s="53">
        <v>2115</v>
      </c>
      <c r="C2116" s="53">
        <v>32354.3135</v>
      </c>
    </row>
    <row r="2117" spans="1:3" x14ac:dyDescent="0.25">
      <c r="A2117" s="52">
        <f t="shared" si="33"/>
        <v>45576</v>
      </c>
      <c r="B2117" s="53">
        <v>2116</v>
      </c>
      <c r="C2117" s="53">
        <v>32357.8691</v>
      </c>
    </row>
    <row r="2118" spans="1:3" x14ac:dyDescent="0.25">
      <c r="A2118" s="52">
        <f t="shared" si="33"/>
        <v>45577</v>
      </c>
      <c r="B2118" s="53">
        <v>2117</v>
      </c>
      <c r="C2118" s="53">
        <v>32361.424999999999</v>
      </c>
    </row>
    <row r="2119" spans="1:3" x14ac:dyDescent="0.25">
      <c r="A2119" s="52">
        <f t="shared" si="33"/>
        <v>45578</v>
      </c>
      <c r="B2119" s="53">
        <v>2118</v>
      </c>
      <c r="C2119" s="53">
        <v>32364.981299999999</v>
      </c>
    </row>
    <row r="2120" spans="1:3" x14ac:dyDescent="0.25">
      <c r="A2120" s="52">
        <f t="shared" si="33"/>
        <v>45579</v>
      </c>
      <c r="B2120" s="53">
        <v>2119</v>
      </c>
      <c r="C2120" s="53">
        <v>32368.538100000002</v>
      </c>
    </row>
    <row r="2121" spans="1:3" x14ac:dyDescent="0.25">
      <c r="A2121" s="52">
        <f t="shared" si="33"/>
        <v>45580</v>
      </c>
      <c r="B2121" s="53">
        <v>2120</v>
      </c>
      <c r="C2121" s="53">
        <v>32372.0952</v>
      </c>
    </row>
    <row r="2122" spans="1:3" x14ac:dyDescent="0.25">
      <c r="A2122" s="52">
        <f t="shared" si="33"/>
        <v>45581</v>
      </c>
      <c r="B2122" s="53">
        <v>2121</v>
      </c>
      <c r="C2122" s="53">
        <v>32375.652699999999</v>
      </c>
    </row>
    <row r="2123" spans="1:3" x14ac:dyDescent="0.25">
      <c r="A2123" s="52">
        <f t="shared" si="33"/>
        <v>45582</v>
      </c>
      <c r="B2123" s="53">
        <v>2122</v>
      </c>
      <c r="C2123" s="53">
        <v>32379.210599999999</v>
      </c>
    </row>
    <row r="2124" spans="1:3" x14ac:dyDescent="0.25">
      <c r="A2124" s="52">
        <f t="shared" si="33"/>
        <v>45583</v>
      </c>
      <c r="B2124" s="53">
        <v>2123</v>
      </c>
      <c r="C2124" s="53">
        <v>32382.768899999999</v>
      </c>
    </row>
    <row r="2125" spans="1:3" x14ac:dyDescent="0.25">
      <c r="A2125" s="52">
        <f t="shared" si="33"/>
        <v>45584</v>
      </c>
      <c r="B2125" s="53">
        <v>2124</v>
      </c>
      <c r="C2125" s="53">
        <v>32386.327499999999</v>
      </c>
    </row>
    <row r="2126" spans="1:3" x14ac:dyDescent="0.25">
      <c r="A2126" s="52">
        <f t="shared" si="33"/>
        <v>45585</v>
      </c>
      <c r="B2126" s="53">
        <v>2125</v>
      </c>
      <c r="C2126" s="53">
        <v>32389.886600000002</v>
      </c>
    </row>
    <row r="2127" spans="1:3" x14ac:dyDescent="0.25">
      <c r="A2127" s="52">
        <f t="shared" si="33"/>
        <v>45586</v>
      </c>
      <c r="B2127" s="53">
        <v>2126</v>
      </c>
      <c r="C2127" s="53">
        <v>32393.446100000001</v>
      </c>
    </row>
    <row r="2128" spans="1:3" x14ac:dyDescent="0.25">
      <c r="A2128" s="52">
        <f t="shared" si="33"/>
        <v>45587</v>
      </c>
      <c r="B2128" s="53">
        <v>2127</v>
      </c>
      <c r="C2128" s="53">
        <v>32397.0059</v>
      </c>
    </row>
    <row r="2129" spans="1:3" x14ac:dyDescent="0.25">
      <c r="A2129" s="52">
        <f t="shared" si="33"/>
        <v>45588</v>
      </c>
      <c r="B2129" s="53">
        <v>2128</v>
      </c>
      <c r="C2129" s="53">
        <v>32400.566200000001</v>
      </c>
    </row>
    <row r="2130" spans="1:3" x14ac:dyDescent="0.25">
      <c r="A2130" s="52">
        <f t="shared" si="33"/>
        <v>45589</v>
      </c>
      <c r="B2130" s="53">
        <v>2129</v>
      </c>
      <c r="C2130" s="53">
        <v>32404.126799999998</v>
      </c>
    </row>
    <row r="2131" spans="1:3" x14ac:dyDescent="0.25">
      <c r="A2131" s="52">
        <f t="shared" si="33"/>
        <v>45590</v>
      </c>
      <c r="B2131" s="53">
        <v>2130</v>
      </c>
      <c r="C2131" s="53">
        <v>32407.6878</v>
      </c>
    </row>
    <row r="2132" spans="1:3" x14ac:dyDescent="0.25">
      <c r="A2132" s="52">
        <f t="shared" si="33"/>
        <v>45591</v>
      </c>
      <c r="B2132" s="53">
        <v>2131</v>
      </c>
      <c r="C2132" s="53">
        <v>32411.249199999998</v>
      </c>
    </row>
    <row r="2133" spans="1:3" x14ac:dyDescent="0.25">
      <c r="A2133" s="52">
        <f t="shared" si="33"/>
        <v>45592</v>
      </c>
      <c r="B2133" s="53">
        <v>2132</v>
      </c>
      <c r="C2133" s="53">
        <v>32414.811000000002</v>
      </c>
    </row>
    <row r="2134" spans="1:3" x14ac:dyDescent="0.25">
      <c r="A2134" s="52">
        <f t="shared" si="33"/>
        <v>45593</v>
      </c>
      <c r="B2134" s="53">
        <v>2133</v>
      </c>
      <c r="C2134" s="53">
        <v>32418.373200000002</v>
      </c>
    </row>
    <row r="2135" spans="1:3" x14ac:dyDescent="0.25">
      <c r="A2135" s="52">
        <f t="shared" si="33"/>
        <v>45594</v>
      </c>
      <c r="B2135" s="53">
        <v>2134</v>
      </c>
      <c r="C2135" s="53">
        <v>32421.935799999999</v>
      </c>
    </row>
    <row r="2136" spans="1:3" x14ac:dyDescent="0.25">
      <c r="A2136" s="52">
        <f t="shared" si="33"/>
        <v>45595</v>
      </c>
      <c r="B2136" s="53">
        <v>2135</v>
      </c>
      <c r="C2136" s="53">
        <v>32425.498800000001</v>
      </c>
    </row>
    <row r="2137" spans="1:3" x14ac:dyDescent="0.25">
      <c r="A2137" s="52">
        <f t="shared" si="33"/>
        <v>45596</v>
      </c>
      <c r="B2137" s="53">
        <v>2136</v>
      </c>
      <c r="C2137" s="53">
        <v>32429.0622</v>
      </c>
    </row>
    <row r="2138" spans="1:3" x14ac:dyDescent="0.25">
      <c r="A2138" s="52">
        <f t="shared" si="33"/>
        <v>45597</v>
      </c>
      <c r="B2138" s="53">
        <v>2137</v>
      </c>
      <c r="C2138" s="53">
        <v>32432.626</v>
      </c>
    </row>
    <row r="2139" spans="1:3" x14ac:dyDescent="0.25">
      <c r="A2139" s="52">
        <f t="shared" si="33"/>
        <v>45598</v>
      </c>
      <c r="B2139" s="53">
        <v>2138</v>
      </c>
      <c r="C2139" s="53">
        <v>32436.1901</v>
      </c>
    </row>
    <row r="2140" spans="1:3" x14ac:dyDescent="0.25">
      <c r="A2140" s="52">
        <f t="shared" si="33"/>
        <v>45599</v>
      </c>
      <c r="B2140" s="53">
        <v>2139</v>
      </c>
      <c r="C2140" s="53">
        <v>32439.754700000001</v>
      </c>
    </row>
    <row r="2141" spans="1:3" x14ac:dyDescent="0.25">
      <c r="A2141" s="52">
        <f t="shared" si="33"/>
        <v>45600</v>
      </c>
      <c r="B2141" s="53">
        <v>2140</v>
      </c>
      <c r="C2141" s="53">
        <v>32443.319599999999</v>
      </c>
    </row>
    <row r="2142" spans="1:3" x14ac:dyDescent="0.25">
      <c r="A2142" s="52">
        <f t="shared" si="33"/>
        <v>45601</v>
      </c>
      <c r="B2142" s="53">
        <v>2141</v>
      </c>
      <c r="C2142" s="53">
        <v>32446.884900000001</v>
      </c>
    </row>
    <row r="2143" spans="1:3" x14ac:dyDescent="0.25">
      <c r="A2143" s="52">
        <f t="shared" si="33"/>
        <v>45602</v>
      </c>
      <c r="B2143" s="53">
        <v>2142</v>
      </c>
      <c r="C2143" s="53">
        <v>32450.450700000001</v>
      </c>
    </row>
    <row r="2144" spans="1:3" x14ac:dyDescent="0.25">
      <c r="A2144" s="52">
        <f t="shared" si="33"/>
        <v>45603</v>
      </c>
      <c r="B2144" s="53">
        <v>2143</v>
      </c>
      <c r="C2144" s="53">
        <v>32454.016800000001</v>
      </c>
    </row>
    <row r="2145" spans="1:3" x14ac:dyDescent="0.25">
      <c r="A2145" s="52">
        <f t="shared" si="33"/>
        <v>45604</v>
      </c>
      <c r="B2145" s="53">
        <v>2144</v>
      </c>
      <c r="C2145" s="53">
        <v>32457.583299999998</v>
      </c>
    </row>
    <row r="2146" spans="1:3" x14ac:dyDescent="0.25">
      <c r="A2146" s="52">
        <f t="shared" si="33"/>
        <v>45605</v>
      </c>
      <c r="B2146" s="53">
        <v>2145</v>
      </c>
      <c r="C2146" s="53">
        <v>32461.1502</v>
      </c>
    </row>
    <row r="2147" spans="1:3" x14ac:dyDescent="0.25">
      <c r="A2147" s="52">
        <f t="shared" si="33"/>
        <v>45606</v>
      </c>
      <c r="B2147" s="53">
        <v>2146</v>
      </c>
      <c r="C2147" s="53">
        <v>32464.808700000001</v>
      </c>
    </row>
    <row r="2148" spans="1:3" x14ac:dyDescent="0.25">
      <c r="A2148" s="52">
        <f t="shared" si="33"/>
        <v>45607</v>
      </c>
      <c r="B2148" s="53">
        <v>2147</v>
      </c>
      <c r="C2148" s="53">
        <v>32468.467700000001</v>
      </c>
    </row>
    <row r="2149" spans="1:3" x14ac:dyDescent="0.25">
      <c r="A2149" s="52">
        <f t="shared" si="33"/>
        <v>45608</v>
      </c>
      <c r="B2149" s="53">
        <v>2148</v>
      </c>
      <c r="C2149" s="53">
        <v>32472.127100000002</v>
      </c>
    </row>
    <row r="2150" spans="1:3" x14ac:dyDescent="0.25">
      <c r="A2150" s="52">
        <f t="shared" si="33"/>
        <v>45609</v>
      </c>
      <c r="B2150" s="53">
        <v>2149</v>
      </c>
      <c r="C2150" s="53">
        <v>32475.786899999999</v>
      </c>
    </row>
    <row r="2151" spans="1:3" x14ac:dyDescent="0.25">
      <c r="A2151" s="52">
        <f t="shared" si="33"/>
        <v>45610</v>
      </c>
      <c r="B2151" s="53">
        <v>2150</v>
      </c>
      <c r="C2151" s="53">
        <v>32479.447100000001</v>
      </c>
    </row>
    <row r="2152" spans="1:3" x14ac:dyDescent="0.25">
      <c r="A2152" s="52">
        <f t="shared" si="33"/>
        <v>45611</v>
      </c>
      <c r="B2152" s="53">
        <v>2151</v>
      </c>
      <c r="C2152" s="53">
        <v>32483.107800000002</v>
      </c>
    </row>
    <row r="2153" spans="1:3" x14ac:dyDescent="0.25">
      <c r="A2153" s="52">
        <f t="shared" si="33"/>
        <v>45612</v>
      </c>
      <c r="B2153" s="53">
        <v>2152</v>
      </c>
      <c r="C2153" s="53">
        <v>32486.768800000002</v>
      </c>
    </row>
    <row r="2154" spans="1:3" x14ac:dyDescent="0.25">
      <c r="A2154" s="52">
        <f t="shared" si="33"/>
        <v>45613</v>
      </c>
      <c r="B2154" s="53">
        <v>2153</v>
      </c>
      <c r="C2154" s="53">
        <v>32490.430199999999</v>
      </c>
    </row>
    <row r="2155" spans="1:3" x14ac:dyDescent="0.25">
      <c r="A2155" s="52">
        <f t="shared" si="33"/>
        <v>45614</v>
      </c>
      <c r="B2155" s="53">
        <v>2154</v>
      </c>
      <c r="C2155" s="53">
        <v>32494.092100000002</v>
      </c>
    </row>
    <row r="2156" spans="1:3" x14ac:dyDescent="0.25">
      <c r="A2156" s="52">
        <f t="shared" si="33"/>
        <v>45615</v>
      </c>
      <c r="B2156" s="53">
        <v>2155</v>
      </c>
      <c r="C2156" s="53">
        <v>32497.754400000002</v>
      </c>
    </row>
    <row r="2157" spans="1:3" x14ac:dyDescent="0.25">
      <c r="A2157" s="52">
        <f t="shared" si="33"/>
        <v>45616</v>
      </c>
      <c r="B2157" s="53">
        <v>2156</v>
      </c>
      <c r="C2157" s="53">
        <v>32501.417099999999</v>
      </c>
    </row>
    <row r="2158" spans="1:3" x14ac:dyDescent="0.25">
      <c r="A2158" s="52">
        <f t="shared" si="33"/>
        <v>45617</v>
      </c>
      <c r="B2158" s="53">
        <v>2157</v>
      </c>
      <c r="C2158" s="53">
        <v>32505.0802</v>
      </c>
    </row>
    <row r="2159" spans="1:3" x14ac:dyDescent="0.25">
      <c r="A2159" s="52">
        <f t="shared" si="33"/>
        <v>45618</v>
      </c>
      <c r="B2159" s="53">
        <v>2158</v>
      </c>
      <c r="C2159" s="53">
        <v>32508.743699999999</v>
      </c>
    </row>
    <row r="2160" spans="1:3" x14ac:dyDescent="0.25">
      <c r="A2160" s="52">
        <f t="shared" si="33"/>
        <v>45619</v>
      </c>
      <c r="B2160" s="53">
        <v>2159</v>
      </c>
      <c r="C2160" s="53">
        <v>32512.407599999999</v>
      </c>
    </row>
    <row r="2161" spans="1:3" x14ac:dyDescent="0.25">
      <c r="A2161" s="52">
        <f t="shared" si="33"/>
        <v>45620</v>
      </c>
      <c r="B2161" s="53">
        <v>2160</v>
      </c>
      <c r="C2161" s="53">
        <v>32516.072</v>
      </c>
    </row>
    <row r="2162" spans="1:3" x14ac:dyDescent="0.25">
      <c r="A2162" s="52">
        <f t="shared" si="33"/>
        <v>45621</v>
      </c>
      <c r="B2162" s="53">
        <v>2161</v>
      </c>
      <c r="C2162" s="53">
        <v>32519.736700000001</v>
      </c>
    </row>
    <row r="2163" spans="1:3" x14ac:dyDescent="0.25">
      <c r="A2163" s="52">
        <f t="shared" si="33"/>
        <v>45622</v>
      </c>
      <c r="B2163" s="53">
        <v>2162</v>
      </c>
      <c r="C2163" s="53">
        <v>32523.401900000001</v>
      </c>
    </row>
    <row r="2164" spans="1:3" x14ac:dyDescent="0.25">
      <c r="A2164" s="52">
        <f t="shared" si="33"/>
        <v>45623</v>
      </c>
      <c r="B2164" s="53">
        <v>2163</v>
      </c>
      <c r="C2164" s="53">
        <v>32527.067500000001</v>
      </c>
    </row>
    <row r="2165" spans="1:3" x14ac:dyDescent="0.25">
      <c r="A2165" s="52">
        <f t="shared" si="33"/>
        <v>45624</v>
      </c>
      <c r="B2165" s="53">
        <v>2164</v>
      </c>
      <c r="C2165" s="53">
        <v>32530.733499999998</v>
      </c>
    </row>
    <row r="2166" spans="1:3" x14ac:dyDescent="0.25">
      <c r="A2166" s="52">
        <f t="shared" si="33"/>
        <v>45625</v>
      </c>
      <c r="B2166" s="53">
        <v>2165</v>
      </c>
      <c r="C2166" s="53">
        <v>32534.3999</v>
      </c>
    </row>
    <row r="2167" spans="1:3" x14ac:dyDescent="0.25">
      <c r="A2167" s="52">
        <f t="shared" si="33"/>
        <v>45626</v>
      </c>
      <c r="B2167" s="53">
        <v>2166</v>
      </c>
      <c r="C2167" s="53">
        <v>32538.066699999999</v>
      </c>
    </row>
    <row r="2168" spans="1:3" x14ac:dyDescent="0.25">
      <c r="A2168" s="52">
        <f t="shared" si="33"/>
        <v>45627</v>
      </c>
      <c r="B2168" s="53">
        <v>2167</v>
      </c>
      <c r="C2168" s="53">
        <v>32541.733899999999</v>
      </c>
    </row>
    <row r="2169" spans="1:3" x14ac:dyDescent="0.25">
      <c r="A2169" s="52">
        <f t="shared" si="33"/>
        <v>45628</v>
      </c>
      <c r="B2169" s="53">
        <v>2168</v>
      </c>
      <c r="C2169" s="53">
        <v>32545.401600000001</v>
      </c>
    </row>
    <row r="2170" spans="1:3" x14ac:dyDescent="0.25">
      <c r="A2170" s="52">
        <f t="shared" si="33"/>
        <v>45629</v>
      </c>
      <c r="B2170" s="53">
        <v>2169</v>
      </c>
      <c r="C2170" s="53">
        <v>32549.069599999999</v>
      </c>
    </row>
    <row r="2171" spans="1:3" x14ac:dyDescent="0.25">
      <c r="A2171" s="52">
        <f t="shared" si="33"/>
        <v>45630</v>
      </c>
      <c r="B2171" s="53">
        <v>2170</v>
      </c>
      <c r="C2171" s="53">
        <v>32552.738099999999</v>
      </c>
    </row>
    <row r="2172" spans="1:3" x14ac:dyDescent="0.25">
      <c r="A2172" s="52">
        <f t="shared" si="33"/>
        <v>45631</v>
      </c>
      <c r="B2172" s="53">
        <v>2171</v>
      </c>
      <c r="C2172" s="53">
        <v>32556.406999999999</v>
      </c>
    </row>
    <row r="2173" spans="1:3" x14ac:dyDescent="0.25">
      <c r="A2173" s="52">
        <f t="shared" si="33"/>
        <v>45632</v>
      </c>
      <c r="B2173" s="53">
        <v>2172</v>
      </c>
      <c r="C2173" s="53">
        <v>32560.076300000001</v>
      </c>
    </row>
    <row r="2174" spans="1:3" x14ac:dyDescent="0.25">
      <c r="A2174" s="52">
        <f t="shared" si="33"/>
        <v>45633</v>
      </c>
      <c r="B2174" s="53">
        <v>2173</v>
      </c>
      <c r="C2174" s="53">
        <v>32563.745999999999</v>
      </c>
    </row>
    <row r="2175" spans="1:3" x14ac:dyDescent="0.25">
      <c r="A2175" s="52">
        <f t="shared" si="33"/>
        <v>45634</v>
      </c>
      <c r="B2175" s="53">
        <v>2174</v>
      </c>
      <c r="C2175" s="53">
        <v>32567.416099999999</v>
      </c>
    </row>
    <row r="2176" spans="1:3" x14ac:dyDescent="0.25">
      <c r="A2176" s="52">
        <f t="shared" si="33"/>
        <v>45635</v>
      </c>
      <c r="B2176" s="53">
        <v>2175</v>
      </c>
      <c r="C2176" s="53">
        <v>32571.0867</v>
      </c>
    </row>
    <row r="2177" spans="1:3" x14ac:dyDescent="0.25">
      <c r="A2177" s="52">
        <f t="shared" si="33"/>
        <v>45636</v>
      </c>
      <c r="B2177" s="53">
        <v>2176</v>
      </c>
      <c r="C2177" s="53">
        <v>32571.906299999999</v>
      </c>
    </row>
    <row r="2178" spans="1:3" x14ac:dyDescent="0.25">
      <c r="A2178" s="52">
        <f t="shared" ref="A2178:A2241" si="34">+$G$4+B2178</f>
        <v>45637</v>
      </c>
      <c r="B2178" s="53">
        <v>2177</v>
      </c>
      <c r="C2178" s="53">
        <v>32572.725999999999</v>
      </c>
    </row>
    <row r="2179" spans="1:3" x14ac:dyDescent="0.25">
      <c r="A2179" s="52">
        <f t="shared" si="34"/>
        <v>45638</v>
      </c>
      <c r="B2179" s="53">
        <v>2178</v>
      </c>
      <c r="C2179" s="53">
        <v>32573.545699999999</v>
      </c>
    </row>
    <row r="2180" spans="1:3" x14ac:dyDescent="0.25">
      <c r="A2180" s="52">
        <f t="shared" si="34"/>
        <v>45639</v>
      </c>
      <c r="B2180" s="53">
        <v>2179</v>
      </c>
      <c r="C2180" s="53">
        <v>32574.365399999999</v>
      </c>
    </row>
    <row r="2181" spans="1:3" x14ac:dyDescent="0.25">
      <c r="A2181" s="52">
        <f t="shared" si="34"/>
        <v>45640</v>
      </c>
      <c r="B2181" s="53">
        <v>2180</v>
      </c>
      <c r="C2181" s="53">
        <v>32575.185099999999</v>
      </c>
    </row>
    <row r="2182" spans="1:3" x14ac:dyDescent="0.25">
      <c r="A2182" s="52">
        <f t="shared" si="34"/>
        <v>45641</v>
      </c>
      <c r="B2182" s="53">
        <v>2181</v>
      </c>
      <c r="C2182" s="53">
        <v>32576.004799999999</v>
      </c>
    </row>
    <row r="2183" spans="1:3" x14ac:dyDescent="0.25">
      <c r="A2183" s="52">
        <f t="shared" si="34"/>
        <v>45642</v>
      </c>
      <c r="B2183" s="53">
        <v>2182</v>
      </c>
      <c r="C2183" s="53">
        <v>32576.8246</v>
      </c>
    </row>
    <row r="2184" spans="1:3" x14ac:dyDescent="0.25">
      <c r="A2184" s="52">
        <f t="shared" si="34"/>
        <v>45643</v>
      </c>
      <c r="B2184" s="53">
        <v>2183</v>
      </c>
      <c r="C2184" s="53">
        <v>32577.644400000001</v>
      </c>
    </row>
    <row r="2185" spans="1:3" x14ac:dyDescent="0.25">
      <c r="A2185" s="52">
        <f t="shared" si="34"/>
        <v>45644</v>
      </c>
      <c r="B2185" s="53">
        <v>2184</v>
      </c>
      <c r="C2185" s="53">
        <v>32578.464199999999</v>
      </c>
    </row>
    <row r="2186" spans="1:3" x14ac:dyDescent="0.25">
      <c r="A2186" s="52">
        <f t="shared" si="34"/>
        <v>45645</v>
      </c>
      <c r="B2186" s="53">
        <v>2185</v>
      </c>
      <c r="C2186" s="53">
        <v>32579.284</v>
      </c>
    </row>
    <row r="2187" spans="1:3" x14ac:dyDescent="0.25">
      <c r="A2187" s="52">
        <f t="shared" si="34"/>
        <v>45646</v>
      </c>
      <c r="B2187" s="53">
        <v>2186</v>
      </c>
      <c r="C2187" s="53">
        <v>32580.103899999998</v>
      </c>
    </row>
    <row r="2188" spans="1:3" x14ac:dyDescent="0.25">
      <c r="A2188" s="52">
        <f t="shared" si="34"/>
        <v>45647</v>
      </c>
      <c r="B2188" s="53">
        <v>2187</v>
      </c>
      <c r="C2188" s="53">
        <v>32580.923699999999</v>
      </c>
    </row>
    <row r="2189" spans="1:3" x14ac:dyDescent="0.25">
      <c r="A2189" s="52">
        <f t="shared" si="34"/>
        <v>45648</v>
      </c>
      <c r="B2189" s="53">
        <v>2188</v>
      </c>
      <c r="C2189" s="53">
        <v>32581.743600000002</v>
      </c>
    </row>
    <row r="2190" spans="1:3" x14ac:dyDescent="0.25">
      <c r="A2190" s="52">
        <f t="shared" si="34"/>
        <v>45649</v>
      </c>
      <c r="B2190" s="53">
        <v>2189</v>
      </c>
      <c r="C2190" s="53">
        <v>32582.5635</v>
      </c>
    </row>
    <row r="2191" spans="1:3" x14ac:dyDescent="0.25">
      <c r="A2191" s="52">
        <f t="shared" si="34"/>
        <v>45650</v>
      </c>
      <c r="B2191" s="53">
        <v>2190</v>
      </c>
      <c r="C2191" s="53">
        <v>32583.3835</v>
      </c>
    </row>
    <row r="2192" spans="1:3" x14ac:dyDescent="0.25">
      <c r="A2192" s="52">
        <f t="shared" si="34"/>
        <v>45651</v>
      </c>
      <c r="B2192" s="53">
        <v>2191</v>
      </c>
      <c r="C2192" s="53">
        <v>32584.203399999999</v>
      </c>
    </row>
    <row r="2193" spans="1:3" x14ac:dyDescent="0.25">
      <c r="A2193" s="52">
        <f t="shared" si="34"/>
        <v>45652</v>
      </c>
      <c r="B2193" s="53">
        <v>2192</v>
      </c>
      <c r="C2193" s="53">
        <v>32585.023399999998</v>
      </c>
    </row>
    <row r="2194" spans="1:3" x14ac:dyDescent="0.25">
      <c r="A2194" s="52">
        <f t="shared" si="34"/>
        <v>45653</v>
      </c>
      <c r="B2194" s="53">
        <v>2193</v>
      </c>
      <c r="C2194" s="53">
        <v>32585.843400000002</v>
      </c>
    </row>
    <row r="2195" spans="1:3" x14ac:dyDescent="0.25">
      <c r="A2195" s="52">
        <f t="shared" si="34"/>
        <v>45654</v>
      </c>
      <c r="B2195" s="53">
        <v>2194</v>
      </c>
      <c r="C2195" s="53">
        <v>32586.663400000001</v>
      </c>
    </row>
    <row r="2196" spans="1:3" x14ac:dyDescent="0.25">
      <c r="A2196" s="52">
        <f t="shared" si="34"/>
        <v>45655</v>
      </c>
      <c r="B2196" s="53">
        <v>2195</v>
      </c>
      <c r="C2196" s="53">
        <v>32587.483400000001</v>
      </c>
    </row>
    <row r="2197" spans="1:3" x14ac:dyDescent="0.25">
      <c r="A2197" s="52">
        <f t="shared" si="34"/>
        <v>45656</v>
      </c>
      <c r="B2197" s="53">
        <v>2196</v>
      </c>
      <c r="C2197" s="53">
        <v>32588.303500000002</v>
      </c>
    </row>
    <row r="2198" spans="1:3" x14ac:dyDescent="0.25">
      <c r="A2198" s="52">
        <f t="shared" si="34"/>
        <v>45657</v>
      </c>
      <c r="B2198" s="53">
        <v>2197</v>
      </c>
      <c r="C2198" s="53">
        <v>32589.123599999999</v>
      </c>
    </row>
    <row r="2199" spans="1:3" x14ac:dyDescent="0.25">
      <c r="A2199" s="52">
        <f t="shared" si="34"/>
        <v>45658</v>
      </c>
      <c r="B2199" s="53">
        <v>2198</v>
      </c>
      <c r="C2199" s="53">
        <v>32589.9437</v>
      </c>
    </row>
    <row r="2200" spans="1:3" x14ac:dyDescent="0.25">
      <c r="A2200" s="52">
        <f t="shared" si="34"/>
        <v>45659</v>
      </c>
      <c r="B2200" s="53">
        <v>2199</v>
      </c>
      <c r="C2200" s="53">
        <v>32590.763800000001</v>
      </c>
    </row>
    <row r="2201" spans="1:3" x14ac:dyDescent="0.25">
      <c r="A2201" s="52">
        <f t="shared" si="34"/>
        <v>45660</v>
      </c>
      <c r="B2201" s="53">
        <v>2200</v>
      </c>
      <c r="C2201" s="53">
        <v>32591.583900000001</v>
      </c>
    </row>
    <row r="2202" spans="1:3" x14ac:dyDescent="0.25">
      <c r="A2202" s="52">
        <f t="shared" si="34"/>
        <v>45661</v>
      </c>
      <c r="B2202" s="53">
        <v>2201</v>
      </c>
      <c r="C2202" s="53">
        <v>32592.4041</v>
      </c>
    </row>
    <row r="2203" spans="1:3" x14ac:dyDescent="0.25">
      <c r="A2203" s="52">
        <f t="shared" si="34"/>
        <v>45662</v>
      </c>
      <c r="B2203" s="53">
        <v>2202</v>
      </c>
      <c r="C2203" s="53">
        <v>32593.224300000002</v>
      </c>
    </row>
    <row r="2204" spans="1:3" x14ac:dyDescent="0.25">
      <c r="A2204" s="52">
        <f t="shared" si="34"/>
        <v>45663</v>
      </c>
      <c r="B2204" s="53">
        <v>2203</v>
      </c>
      <c r="C2204" s="53">
        <v>32594.044399999999</v>
      </c>
    </row>
    <row r="2205" spans="1:3" x14ac:dyDescent="0.25">
      <c r="A2205" s="52">
        <f t="shared" si="34"/>
        <v>45664</v>
      </c>
      <c r="B2205" s="53">
        <v>2204</v>
      </c>
      <c r="C2205" s="53">
        <v>32594.864699999998</v>
      </c>
    </row>
    <row r="2206" spans="1:3" x14ac:dyDescent="0.25">
      <c r="A2206" s="52">
        <f t="shared" si="34"/>
        <v>45665</v>
      </c>
      <c r="B2206" s="53">
        <v>2205</v>
      </c>
      <c r="C2206" s="53">
        <v>32595.6849</v>
      </c>
    </row>
    <row r="2207" spans="1:3" x14ac:dyDescent="0.25">
      <c r="A2207" s="52">
        <f t="shared" si="34"/>
        <v>45666</v>
      </c>
      <c r="B2207" s="53">
        <v>2206</v>
      </c>
      <c r="C2207" s="53">
        <v>32596.5052</v>
      </c>
    </row>
    <row r="2208" spans="1:3" x14ac:dyDescent="0.25">
      <c r="A2208" s="52">
        <f t="shared" si="34"/>
        <v>45667</v>
      </c>
      <c r="B2208" s="53">
        <v>2207</v>
      </c>
      <c r="C2208" s="53">
        <v>32597.372100000001</v>
      </c>
    </row>
    <row r="2209" spans="1:3" x14ac:dyDescent="0.25">
      <c r="A2209" s="52">
        <f t="shared" si="34"/>
        <v>45668</v>
      </c>
      <c r="B2209" s="53">
        <v>2208</v>
      </c>
      <c r="C2209" s="53">
        <v>32598.239099999999</v>
      </c>
    </row>
    <row r="2210" spans="1:3" x14ac:dyDescent="0.25">
      <c r="A2210" s="52">
        <f t="shared" si="34"/>
        <v>45669</v>
      </c>
      <c r="B2210" s="53">
        <v>2209</v>
      </c>
      <c r="C2210" s="53">
        <v>32599.106100000001</v>
      </c>
    </row>
    <row r="2211" spans="1:3" x14ac:dyDescent="0.25">
      <c r="A2211" s="52">
        <f t="shared" si="34"/>
        <v>45670</v>
      </c>
      <c r="B2211" s="53">
        <v>2210</v>
      </c>
      <c r="C2211" s="53">
        <v>32599.973099999999</v>
      </c>
    </row>
    <row r="2212" spans="1:3" x14ac:dyDescent="0.25">
      <c r="A2212" s="52">
        <f t="shared" si="34"/>
        <v>45671</v>
      </c>
      <c r="B2212" s="53">
        <v>2211</v>
      </c>
      <c r="C2212" s="53">
        <v>32600.840199999999</v>
      </c>
    </row>
    <row r="2213" spans="1:3" x14ac:dyDescent="0.25">
      <c r="A2213" s="52">
        <f t="shared" si="34"/>
        <v>45672</v>
      </c>
      <c r="B2213" s="53">
        <v>2212</v>
      </c>
      <c r="C2213" s="53">
        <v>32601.707200000001</v>
      </c>
    </row>
    <row r="2214" spans="1:3" x14ac:dyDescent="0.25">
      <c r="A2214" s="52">
        <f t="shared" si="34"/>
        <v>45673</v>
      </c>
      <c r="B2214" s="53">
        <v>2213</v>
      </c>
      <c r="C2214" s="53">
        <v>32602.5743</v>
      </c>
    </row>
    <row r="2215" spans="1:3" x14ac:dyDescent="0.25">
      <c r="A2215" s="52">
        <f t="shared" si="34"/>
        <v>45674</v>
      </c>
      <c r="B2215" s="53">
        <v>2214</v>
      </c>
      <c r="C2215" s="53">
        <v>32603.4414</v>
      </c>
    </row>
    <row r="2216" spans="1:3" x14ac:dyDescent="0.25">
      <c r="A2216" s="52">
        <f t="shared" si="34"/>
        <v>45675</v>
      </c>
      <c r="B2216" s="53">
        <v>2215</v>
      </c>
      <c r="C2216" s="53">
        <v>32604.3086</v>
      </c>
    </row>
    <row r="2217" spans="1:3" x14ac:dyDescent="0.25">
      <c r="A2217" s="52">
        <f t="shared" si="34"/>
        <v>45676</v>
      </c>
      <c r="B2217" s="53">
        <v>2216</v>
      </c>
      <c r="C2217" s="53">
        <v>32605.1757</v>
      </c>
    </row>
    <row r="2218" spans="1:3" x14ac:dyDescent="0.25">
      <c r="A2218" s="52">
        <f t="shared" si="34"/>
        <v>45677</v>
      </c>
      <c r="B2218" s="53">
        <v>2217</v>
      </c>
      <c r="C2218" s="53">
        <v>32606.0429</v>
      </c>
    </row>
    <row r="2219" spans="1:3" x14ac:dyDescent="0.25">
      <c r="A2219" s="52">
        <f t="shared" si="34"/>
        <v>45678</v>
      </c>
      <c r="B2219" s="53">
        <v>2218</v>
      </c>
      <c r="C2219" s="53">
        <v>32606.910100000001</v>
      </c>
    </row>
    <row r="2220" spans="1:3" x14ac:dyDescent="0.25">
      <c r="A2220" s="52">
        <f t="shared" si="34"/>
        <v>45679</v>
      </c>
      <c r="B2220" s="53">
        <v>2219</v>
      </c>
      <c r="C2220" s="53">
        <v>32607.777399999999</v>
      </c>
    </row>
    <row r="2221" spans="1:3" x14ac:dyDescent="0.25">
      <c r="A2221" s="52">
        <f t="shared" si="34"/>
        <v>45680</v>
      </c>
      <c r="B2221" s="53">
        <v>2220</v>
      </c>
      <c r="C2221" s="53">
        <v>32608.6446</v>
      </c>
    </row>
    <row r="2222" spans="1:3" x14ac:dyDescent="0.25">
      <c r="A2222" s="52">
        <f t="shared" si="34"/>
        <v>45681</v>
      </c>
      <c r="B2222" s="53">
        <v>2221</v>
      </c>
      <c r="C2222" s="53">
        <v>32609.511900000001</v>
      </c>
    </row>
    <row r="2223" spans="1:3" x14ac:dyDescent="0.25">
      <c r="A2223" s="52">
        <f t="shared" si="34"/>
        <v>45682</v>
      </c>
      <c r="B2223" s="53">
        <v>2222</v>
      </c>
      <c r="C2223" s="53">
        <v>32610.379199999999</v>
      </c>
    </row>
    <row r="2224" spans="1:3" x14ac:dyDescent="0.25">
      <c r="A2224" s="52">
        <f t="shared" si="34"/>
        <v>45683</v>
      </c>
      <c r="B2224" s="53">
        <v>2223</v>
      </c>
      <c r="C2224" s="53">
        <v>32611.246500000001</v>
      </c>
    </row>
    <row r="2225" spans="1:3" x14ac:dyDescent="0.25">
      <c r="A2225" s="52">
        <f t="shared" si="34"/>
        <v>45684</v>
      </c>
      <c r="B2225" s="53">
        <v>2224</v>
      </c>
      <c r="C2225" s="53">
        <v>32612.1139</v>
      </c>
    </row>
    <row r="2226" spans="1:3" x14ac:dyDescent="0.25">
      <c r="A2226" s="52">
        <f t="shared" si="34"/>
        <v>45685</v>
      </c>
      <c r="B2226" s="53">
        <v>2225</v>
      </c>
      <c r="C2226" s="53">
        <v>32612.981199999998</v>
      </c>
    </row>
    <row r="2227" spans="1:3" x14ac:dyDescent="0.25">
      <c r="A2227" s="52">
        <f t="shared" si="34"/>
        <v>45686</v>
      </c>
      <c r="B2227" s="53">
        <v>2226</v>
      </c>
      <c r="C2227" s="53">
        <v>32613.848600000001</v>
      </c>
    </row>
    <row r="2228" spans="1:3" x14ac:dyDescent="0.25">
      <c r="A2228" s="52">
        <f t="shared" si="34"/>
        <v>45687</v>
      </c>
      <c r="B2228" s="53">
        <v>2227</v>
      </c>
      <c r="C2228" s="53">
        <v>32614.716</v>
      </c>
    </row>
    <row r="2229" spans="1:3" x14ac:dyDescent="0.25">
      <c r="A2229" s="52">
        <f t="shared" si="34"/>
        <v>45688</v>
      </c>
      <c r="B2229" s="53">
        <v>2228</v>
      </c>
      <c r="C2229" s="53">
        <v>32615.583500000001</v>
      </c>
    </row>
    <row r="2230" spans="1:3" x14ac:dyDescent="0.25">
      <c r="A2230" s="52">
        <f t="shared" si="34"/>
        <v>45689</v>
      </c>
      <c r="B2230" s="53">
        <v>2229</v>
      </c>
      <c r="C2230" s="53">
        <v>32616.4509</v>
      </c>
    </row>
    <row r="2231" spans="1:3" x14ac:dyDescent="0.25">
      <c r="A2231" s="52">
        <f t="shared" si="34"/>
        <v>45690</v>
      </c>
      <c r="B2231" s="53">
        <v>2230</v>
      </c>
      <c r="C2231" s="53">
        <v>32617.3184</v>
      </c>
    </row>
    <row r="2232" spans="1:3" x14ac:dyDescent="0.25">
      <c r="A2232" s="52">
        <f t="shared" si="34"/>
        <v>45691</v>
      </c>
      <c r="B2232" s="53">
        <v>2231</v>
      </c>
      <c r="C2232" s="53">
        <v>32618.1859</v>
      </c>
    </row>
    <row r="2233" spans="1:3" x14ac:dyDescent="0.25">
      <c r="A2233" s="52">
        <f t="shared" si="34"/>
        <v>45692</v>
      </c>
      <c r="B2233" s="53">
        <v>2232</v>
      </c>
      <c r="C2233" s="53">
        <v>32619.053400000001</v>
      </c>
    </row>
    <row r="2234" spans="1:3" x14ac:dyDescent="0.25">
      <c r="A2234" s="52">
        <f t="shared" si="34"/>
        <v>45693</v>
      </c>
      <c r="B2234" s="53">
        <v>2233</v>
      </c>
      <c r="C2234" s="53">
        <v>32619.920999999998</v>
      </c>
    </row>
    <row r="2235" spans="1:3" x14ac:dyDescent="0.25">
      <c r="A2235" s="52">
        <f t="shared" si="34"/>
        <v>45694</v>
      </c>
      <c r="B2235" s="53">
        <v>2234</v>
      </c>
      <c r="C2235" s="53">
        <v>32620.7886</v>
      </c>
    </row>
    <row r="2236" spans="1:3" x14ac:dyDescent="0.25">
      <c r="A2236" s="52">
        <f t="shared" si="34"/>
        <v>45695</v>
      </c>
      <c r="B2236" s="53">
        <v>2235</v>
      </c>
      <c r="C2236" s="53">
        <v>32621.656200000001</v>
      </c>
    </row>
    <row r="2237" spans="1:3" x14ac:dyDescent="0.25">
      <c r="A2237" s="52">
        <f t="shared" si="34"/>
        <v>45696</v>
      </c>
      <c r="B2237" s="53">
        <v>2236</v>
      </c>
      <c r="C2237" s="53">
        <v>32622.523799999999</v>
      </c>
    </row>
    <row r="2238" spans="1:3" x14ac:dyDescent="0.25">
      <c r="A2238" s="52">
        <f t="shared" si="34"/>
        <v>45697</v>
      </c>
      <c r="B2238" s="53">
        <v>2237</v>
      </c>
      <c r="C2238" s="53">
        <v>32623.3914</v>
      </c>
    </row>
    <row r="2239" spans="1:3" x14ac:dyDescent="0.25">
      <c r="A2239" s="52">
        <f t="shared" si="34"/>
        <v>45698</v>
      </c>
      <c r="B2239" s="53">
        <v>2238</v>
      </c>
      <c r="C2239" s="53">
        <v>32626.632300000001</v>
      </c>
    </row>
    <row r="2240" spans="1:3" x14ac:dyDescent="0.25">
      <c r="A2240" s="52">
        <f t="shared" si="34"/>
        <v>45699</v>
      </c>
      <c r="B2240" s="53">
        <v>2239</v>
      </c>
      <c r="C2240" s="53">
        <v>32629.873599999999</v>
      </c>
    </row>
    <row r="2241" spans="1:3" x14ac:dyDescent="0.25">
      <c r="A2241" s="52">
        <f t="shared" si="34"/>
        <v>45700</v>
      </c>
      <c r="B2241" s="53">
        <v>2240</v>
      </c>
      <c r="C2241" s="53">
        <v>32633.115099999999</v>
      </c>
    </row>
    <row r="2242" spans="1:3" x14ac:dyDescent="0.25">
      <c r="A2242" s="52">
        <f t="shared" ref="A2242:A2305" si="35">+$G$4+B2242</f>
        <v>45701</v>
      </c>
      <c r="B2242" s="53">
        <v>2241</v>
      </c>
      <c r="C2242" s="53">
        <v>32636.357</v>
      </c>
    </row>
    <row r="2243" spans="1:3" x14ac:dyDescent="0.25">
      <c r="A2243" s="52">
        <f t="shared" si="35"/>
        <v>45702</v>
      </c>
      <c r="B2243" s="53">
        <v>2242</v>
      </c>
      <c r="C2243" s="53">
        <v>32639.599200000001</v>
      </c>
    </row>
    <row r="2244" spans="1:3" x14ac:dyDescent="0.25">
      <c r="A2244" s="52">
        <f t="shared" si="35"/>
        <v>45703</v>
      </c>
      <c r="B2244" s="53">
        <v>2243</v>
      </c>
      <c r="C2244" s="53">
        <v>32642.841700000001</v>
      </c>
    </row>
    <row r="2245" spans="1:3" x14ac:dyDescent="0.25">
      <c r="A2245" s="52">
        <f t="shared" si="35"/>
        <v>45704</v>
      </c>
      <c r="B2245" s="53">
        <v>2244</v>
      </c>
      <c r="C2245" s="53">
        <v>32646.084500000001</v>
      </c>
    </row>
    <row r="2246" spans="1:3" x14ac:dyDescent="0.25">
      <c r="A2246" s="52">
        <f t="shared" si="35"/>
        <v>45705</v>
      </c>
      <c r="B2246" s="53">
        <v>2245</v>
      </c>
      <c r="C2246" s="53">
        <v>32649.327700000002</v>
      </c>
    </row>
    <row r="2247" spans="1:3" x14ac:dyDescent="0.25">
      <c r="A2247" s="52">
        <f t="shared" si="35"/>
        <v>45706</v>
      </c>
      <c r="B2247" s="53">
        <v>2246</v>
      </c>
      <c r="C2247" s="53">
        <v>32652.571199999998</v>
      </c>
    </row>
    <row r="2248" spans="1:3" x14ac:dyDescent="0.25">
      <c r="A2248" s="52">
        <f t="shared" si="35"/>
        <v>45707</v>
      </c>
      <c r="B2248" s="53">
        <v>2247</v>
      </c>
      <c r="C2248" s="53">
        <v>32655.814999999999</v>
      </c>
    </row>
    <row r="2249" spans="1:3" x14ac:dyDescent="0.25">
      <c r="A2249" s="52">
        <f t="shared" si="35"/>
        <v>45708</v>
      </c>
      <c r="B2249" s="53">
        <v>2248</v>
      </c>
      <c r="C2249" s="53">
        <v>32659.059099999999</v>
      </c>
    </row>
    <row r="2250" spans="1:3" x14ac:dyDescent="0.25">
      <c r="A2250" s="52">
        <f t="shared" si="35"/>
        <v>45709</v>
      </c>
      <c r="B2250" s="53">
        <v>2249</v>
      </c>
      <c r="C2250" s="53">
        <v>32662.303599999999</v>
      </c>
    </row>
    <row r="2251" spans="1:3" x14ac:dyDescent="0.25">
      <c r="A2251" s="52">
        <f t="shared" si="35"/>
        <v>45710</v>
      </c>
      <c r="B2251" s="53">
        <v>2250</v>
      </c>
      <c r="C2251" s="53">
        <v>32665.548299999999</v>
      </c>
    </row>
    <row r="2252" spans="1:3" x14ac:dyDescent="0.25">
      <c r="A2252" s="52">
        <f t="shared" si="35"/>
        <v>45711</v>
      </c>
      <c r="B2252" s="53">
        <v>2251</v>
      </c>
      <c r="C2252" s="53">
        <v>32668.793399999999</v>
      </c>
    </row>
    <row r="2253" spans="1:3" x14ac:dyDescent="0.25">
      <c r="A2253" s="52">
        <f t="shared" si="35"/>
        <v>45712</v>
      </c>
      <c r="B2253" s="53">
        <v>2252</v>
      </c>
      <c r="C2253" s="53">
        <v>32672.0389</v>
      </c>
    </row>
    <row r="2254" spans="1:3" x14ac:dyDescent="0.25">
      <c r="A2254" s="52">
        <f t="shared" si="35"/>
        <v>45713</v>
      </c>
      <c r="B2254" s="53">
        <v>2253</v>
      </c>
      <c r="C2254" s="53">
        <v>32675.284599999999</v>
      </c>
    </row>
    <row r="2255" spans="1:3" x14ac:dyDescent="0.25">
      <c r="A2255" s="52">
        <f t="shared" si="35"/>
        <v>45714</v>
      </c>
      <c r="B2255" s="53">
        <v>2254</v>
      </c>
      <c r="C2255" s="53">
        <v>32678.530699999999</v>
      </c>
    </row>
    <row r="2256" spans="1:3" x14ac:dyDescent="0.25">
      <c r="A2256" s="52">
        <f t="shared" si="35"/>
        <v>45715</v>
      </c>
      <c r="B2256" s="53">
        <v>2255</v>
      </c>
      <c r="C2256" s="53">
        <v>32681.776999999998</v>
      </c>
    </row>
    <row r="2257" spans="1:3" x14ac:dyDescent="0.25">
      <c r="A2257" s="52">
        <f t="shared" si="35"/>
        <v>45716</v>
      </c>
      <c r="B2257" s="53">
        <v>2256</v>
      </c>
      <c r="C2257" s="53">
        <v>32685.023700000002</v>
      </c>
    </row>
    <row r="2258" spans="1:3" x14ac:dyDescent="0.25">
      <c r="A2258" s="52">
        <f t="shared" si="35"/>
        <v>45717</v>
      </c>
      <c r="B2258" s="53">
        <v>2257</v>
      </c>
      <c r="C2258" s="53">
        <v>32688.270799999998</v>
      </c>
    </row>
    <row r="2259" spans="1:3" x14ac:dyDescent="0.25">
      <c r="A2259" s="52">
        <f t="shared" si="35"/>
        <v>45718</v>
      </c>
      <c r="B2259" s="53">
        <v>2258</v>
      </c>
      <c r="C2259" s="53">
        <v>32691.518100000001</v>
      </c>
    </row>
    <row r="2260" spans="1:3" x14ac:dyDescent="0.25">
      <c r="A2260" s="52">
        <f t="shared" si="35"/>
        <v>45719</v>
      </c>
      <c r="B2260" s="53">
        <v>2259</v>
      </c>
      <c r="C2260" s="53">
        <v>32694.765800000001</v>
      </c>
    </row>
    <row r="2261" spans="1:3" x14ac:dyDescent="0.25">
      <c r="A2261" s="52">
        <f t="shared" si="35"/>
        <v>45720</v>
      </c>
      <c r="B2261" s="53">
        <v>2260</v>
      </c>
      <c r="C2261" s="53">
        <v>32698.013800000001</v>
      </c>
    </row>
    <row r="2262" spans="1:3" x14ac:dyDescent="0.25">
      <c r="A2262" s="52">
        <f t="shared" si="35"/>
        <v>45721</v>
      </c>
      <c r="B2262" s="53">
        <v>2261</v>
      </c>
      <c r="C2262" s="53">
        <v>32701.2621</v>
      </c>
    </row>
    <row r="2263" spans="1:3" x14ac:dyDescent="0.25">
      <c r="A2263" s="52">
        <f t="shared" si="35"/>
        <v>45722</v>
      </c>
      <c r="B2263" s="53">
        <v>2262</v>
      </c>
      <c r="C2263" s="53">
        <v>32704.5108</v>
      </c>
    </row>
    <row r="2264" spans="1:3" x14ac:dyDescent="0.25">
      <c r="A2264" s="52">
        <f t="shared" si="35"/>
        <v>45723</v>
      </c>
      <c r="B2264" s="53">
        <v>2263</v>
      </c>
      <c r="C2264" s="53">
        <v>32707.759699999999</v>
      </c>
    </row>
    <row r="2265" spans="1:3" x14ac:dyDescent="0.25">
      <c r="A2265" s="52">
        <f t="shared" si="35"/>
        <v>45724</v>
      </c>
      <c r="B2265" s="53">
        <v>2264</v>
      </c>
      <c r="C2265" s="53">
        <v>32711.008999999998</v>
      </c>
    </row>
    <row r="2266" spans="1:3" x14ac:dyDescent="0.25">
      <c r="A2266" s="52">
        <f t="shared" si="35"/>
        <v>45725</v>
      </c>
      <c r="B2266" s="53">
        <v>2265</v>
      </c>
      <c r="C2266" s="53">
        <v>32714.258600000001</v>
      </c>
    </row>
    <row r="2267" spans="1:3" x14ac:dyDescent="0.25">
      <c r="A2267" s="52">
        <f t="shared" si="35"/>
        <v>45726</v>
      </c>
      <c r="B2267" s="53">
        <v>2266</v>
      </c>
      <c r="C2267" s="53">
        <v>32716.586899999998</v>
      </c>
    </row>
    <row r="2268" spans="1:3" x14ac:dyDescent="0.25">
      <c r="A2268" s="52">
        <f t="shared" si="35"/>
        <v>45727</v>
      </c>
      <c r="B2268" s="53">
        <v>2267</v>
      </c>
      <c r="C2268" s="53">
        <v>32718.915400000002</v>
      </c>
    </row>
    <row r="2269" spans="1:3" x14ac:dyDescent="0.25">
      <c r="A2269" s="52">
        <f t="shared" si="35"/>
        <v>45728</v>
      </c>
      <c r="B2269" s="53">
        <v>2268</v>
      </c>
      <c r="C2269" s="53">
        <v>32721.243999999999</v>
      </c>
    </row>
    <row r="2270" spans="1:3" x14ac:dyDescent="0.25">
      <c r="A2270" s="52">
        <f t="shared" si="35"/>
        <v>45729</v>
      </c>
      <c r="B2270" s="53">
        <v>2269</v>
      </c>
      <c r="C2270" s="53">
        <v>32723.572800000002</v>
      </c>
    </row>
    <row r="2271" spans="1:3" x14ac:dyDescent="0.25">
      <c r="A2271" s="52">
        <f t="shared" si="35"/>
        <v>45730</v>
      </c>
      <c r="B2271" s="53">
        <v>2270</v>
      </c>
      <c r="C2271" s="53">
        <v>32725.9018</v>
      </c>
    </row>
    <row r="2272" spans="1:3" x14ac:dyDescent="0.25">
      <c r="A2272" s="52">
        <f t="shared" si="35"/>
        <v>45731</v>
      </c>
      <c r="B2272" s="53">
        <v>2271</v>
      </c>
      <c r="C2272" s="53">
        <v>32728.230899999999</v>
      </c>
    </row>
    <row r="2273" spans="1:3" x14ac:dyDescent="0.25">
      <c r="A2273" s="52">
        <f t="shared" si="35"/>
        <v>45732</v>
      </c>
      <c r="B2273" s="53">
        <v>2272</v>
      </c>
      <c r="C2273" s="53">
        <v>32730.5602</v>
      </c>
    </row>
    <row r="2274" spans="1:3" x14ac:dyDescent="0.25">
      <c r="A2274" s="52">
        <f t="shared" si="35"/>
        <v>45733</v>
      </c>
      <c r="B2274" s="53">
        <v>2273</v>
      </c>
      <c r="C2274" s="53">
        <v>32732.8897</v>
      </c>
    </row>
    <row r="2275" spans="1:3" x14ac:dyDescent="0.25">
      <c r="A2275" s="52">
        <f t="shared" si="35"/>
        <v>45734</v>
      </c>
      <c r="B2275" s="53">
        <v>2274</v>
      </c>
      <c r="C2275" s="53">
        <v>32735.219300000001</v>
      </c>
    </row>
    <row r="2276" spans="1:3" x14ac:dyDescent="0.25">
      <c r="A2276" s="52">
        <f t="shared" si="35"/>
        <v>45735</v>
      </c>
      <c r="B2276" s="53">
        <v>2275</v>
      </c>
      <c r="C2276" s="53">
        <v>32737.5491</v>
      </c>
    </row>
    <row r="2277" spans="1:3" x14ac:dyDescent="0.25">
      <c r="A2277" s="52">
        <f t="shared" si="35"/>
        <v>45736</v>
      </c>
      <c r="B2277" s="53">
        <v>2276</v>
      </c>
      <c r="C2277" s="53">
        <v>32739.879000000001</v>
      </c>
    </row>
    <row r="2278" spans="1:3" x14ac:dyDescent="0.25">
      <c r="A2278" s="52">
        <f t="shared" si="35"/>
        <v>45737</v>
      </c>
      <c r="B2278" s="53">
        <v>2277</v>
      </c>
      <c r="C2278" s="53">
        <v>32742.2091</v>
      </c>
    </row>
    <row r="2279" spans="1:3" x14ac:dyDescent="0.25">
      <c r="A2279" s="52">
        <f t="shared" si="35"/>
        <v>45738</v>
      </c>
      <c r="B2279" s="53">
        <v>2278</v>
      </c>
      <c r="C2279" s="53">
        <v>32744.539400000001</v>
      </c>
    </row>
    <row r="2280" spans="1:3" x14ac:dyDescent="0.25">
      <c r="A2280" s="52">
        <f t="shared" si="35"/>
        <v>45739</v>
      </c>
      <c r="B2280" s="53">
        <v>2279</v>
      </c>
      <c r="C2280" s="53">
        <v>32746.869900000002</v>
      </c>
    </row>
    <row r="2281" spans="1:3" x14ac:dyDescent="0.25">
      <c r="A2281" s="52">
        <f t="shared" si="35"/>
        <v>45740</v>
      </c>
      <c r="B2281" s="53">
        <v>2280</v>
      </c>
      <c r="C2281" s="53">
        <v>32749.200499999999</v>
      </c>
    </row>
    <row r="2282" spans="1:3" x14ac:dyDescent="0.25">
      <c r="A2282" s="52">
        <f t="shared" si="35"/>
        <v>45741</v>
      </c>
      <c r="B2282" s="53">
        <v>2281</v>
      </c>
      <c r="C2282" s="53">
        <v>32751.531299999999</v>
      </c>
    </row>
    <row r="2283" spans="1:3" x14ac:dyDescent="0.25">
      <c r="A2283" s="52">
        <f t="shared" si="35"/>
        <v>45742</v>
      </c>
      <c r="B2283" s="53">
        <v>2282</v>
      </c>
      <c r="C2283" s="53">
        <v>32753.8622</v>
      </c>
    </row>
    <row r="2284" spans="1:3" x14ac:dyDescent="0.25">
      <c r="A2284" s="52">
        <f t="shared" si="35"/>
        <v>45743</v>
      </c>
      <c r="B2284" s="53">
        <v>2283</v>
      </c>
      <c r="C2284" s="53">
        <v>32756.1934</v>
      </c>
    </row>
    <row r="2285" spans="1:3" x14ac:dyDescent="0.25">
      <c r="A2285" s="52">
        <f t="shared" si="35"/>
        <v>45744</v>
      </c>
      <c r="B2285" s="53">
        <v>2284</v>
      </c>
      <c r="C2285" s="53">
        <v>32758.524600000001</v>
      </c>
    </row>
    <row r="2286" spans="1:3" x14ac:dyDescent="0.25">
      <c r="A2286" s="52">
        <f t="shared" si="35"/>
        <v>45745</v>
      </c>
      <c r="B2286" s="53">
        <v>2285</v>
      </c>
      <c r="C2286" s="53">
        <v>32760.856100000001</v>
      </c>
    </row>
    <row r="2287" spans="1:3" x14ac:dyDescent="0.25">
      <c r="A2287" s="52">
        <f t="shared" si="35"/>
        <v>45746</v>
      </c>
      <c r="B2287" s="53">
        <v>2286</v>
      </c>
      <c r="C2287" s="53">
        <v>32763.187699999999</v>
      </c>
    </row>
    <row r="2288" spans="1:3" x14ac:dyDescent="0.25">
      <c r="A2288" s="52">
        <f t="shared" si="35"/>
        <v>45747</v>
      </c>
      <c r="B2288" s="53">
        <v>2287</v>
      </c>
      <c r="C2288" s="53">
        <v>32765.519499999999</v>
      </c>
    </row>
    <row r="2289" spans="1:3" x14ac:dyDescent="0.25">
      <c r="A2289" s="52">
        <f t="shared" si="35"/>
        <v>45748</v>
      </c>
      <c r="B2289" s="53">
        <v>2288</v>
      </c>
      <c r="C2289" s="53">
        <v>32767.8514</v>
      </c>
    </row>
    <row r="2290" spans="1:3" x14ac:dyDescent="0.25">
      <c r="A2290" s="52">
        <f t="shared" si="35"/>
        <v>45749</v>
      </c>
      <c r="B2290" s="53">
        <v>2289</v>
      </c>
      <c r="C2290" s="53">
        <v>32770.183499999999</v>
      </c>
    </row>
    <row r="2291" spans="1:3" x14ac:dyDescent="0.25">
      <c r="A2291" s="52">
        <f t="shared" si="35"/>
        <v>45750</v>
      </c>
      <c r="B2291" s="53">
        <v>2290</v>
      </c>
      <c r="C2291" s="53">
        <v>32772.515800000001</v>
      </c>
    </row>
    <row r="2292" spans="1:3" x14ac:dyDescent="0.25">
      <c r="A2292" s="52">
        <f t="shared" si="35"/>
        <v>45751</v>
      </c>
      <c r="B2292" s="53">
        <v>2291</v>
      </c>
      <c r="C2292" s="53">
        <v>32774.848299999998</v>
      </c>
    </row>
    <row r="2293" spans="1:3" x14ac:dyDescent="0.25">
      <c r="A2293" s="52">
        <f t="shared" si="35"/>
        <v>45752</v>
      </c>
      <c r="B2293" s="53">
        <v>2292</v>
      </c>
      <c r="C2293" s="53">
        <v>32777.180899999999</v>
      </c>
    </row>
    <row r="2294" spans="1:3" x14ac:dyDescent="0.25">
      <c r="A2294" s="52">
        <f t="shared" si="35"/>
        <v>45753</v>
      </c>
      <c r="B2294" s="53">
        <v>2293</v>
      </c>
      <c r="C2294" s="53">
        <v>32779.513700000003</v>
      </c>
    </row>
    <row r="2295" spans="1:3" x14ac:dyDescent="0.25">
      <c r="A2295" s="52">
        <f t="shared" si="35"/>
        <v>45754</v>
      </c>
      <c r="B2295" s="53">
        <v>2294</v>
      </c>
      <c r="C2295" s="53">
        <v>32781.846599999997</v>
      </c>
    </row>
    <row r="2296" spans="1:3" x14ac:dyDescent="0.25">
      <c r="A2296" s="52">
        <f t="shared" si="35"/>
        <v>45755</v>
      </c>
      <c r="B2296" s="53">
        <v>2295</v>
      </c>
      <c r="C2296" s="53">
        <v>32784.179700000001</v>
      </c>
    </row>
    <row r="2297" spans="1:3" x14ac:dyDescent="0.25">
      <c r="A2297" s="52">
        <f t="shared" si="35"/>
        <v>45756</v>
      </c>
      <c r="B2297" s="53">
        <v>2296</v>
      </c>
      <c r="C2297" s="53">
        <v>32786.512999999999</v>
      </c>
    </row>
    <row r="2298" spans="1:3" x14ac:dyDescent="0.25">
      <c r="A2298" s="52">
        <f t="shared" si="35"/>
        <v>45757</v>
      </c>
      <c r="B2298" s="53">
        <v>2297</v>
      </c>
      <c r="C2298" s="53">
        <v>32789.832600000002</v>
      </c>
    </row>
    <row r="2299" spans="1:3" x14ac:dyDescent="0.25">
      <c r="A2299" s="52">
        <f t="shared" si="35"/>
        <v>45758</v>
      </c>
      <c r="B2299" s="53">
        <v>2298</v>
      </c>
      <c r="C2299" s="53">
        <v>32793.152600000001</v>
      </c>
    </row>
    <row r="2300" spans="1:3" x14ac:dyDescent="0.25">
      <c r="A2300" s="52">
        <f t="shared" si="35"/>
        <v>45759</v>
      </c>
      <c r="B2300" s="53">
        <v>2299</v>
      </c>
      <c r="C2300" s="53">
        <v>32796.472999999998</v>
      </c>
    </row>
    <row r="2301" spans="1:3" x14ac:dyDescent="0.25">
      <c r="A2301" s="52">
        <f t="shared" si="35"/>
        <v>45760</v>
      </c>
      <c r="B2301" s="53">
        <v>2300</v>
      </c>
      <c r="C2301" s="53">
        <v>32799.793700000002</v>
      </c>
    </row>
    <row r="2302" spans="1:3" x14ac:dyDescent="0.25">
      <c r="A2302" s="52">
        <f t="shared" si="35"/>
        <v>45761</v>
      </c>
      <c r="B2302" s="53">
        <v>2301</v>
      </c>
      <c r="C2302" s="53">
        <v>32803.114699999998</v>
      </c>
    </row>
    <row r="2303" spans="1:3" x14ac:dyDescent="0.25">
      <c r="A2303" s="52">
        <f t="shared" si="35"/>
        <v>45762</v>
      </c>
      <c r="B2303" s="53">
        <v>2302</v>
      </c>
      <c r="C2303" s="53">
        <v>32806.436000000002</v>
      </c>
    </row>
    <row r="2304" spans="1:3" x14ac:dyDescent="0.25">
      <c r="A2304" s="52">
        <f t="shared" si="35"/>
        <v>45763</v>
      </c>
      <c r="B2304" s="53">
        <v>2303</v>
      </c>
      <c r="C2304" s="53">
        <v>32809.757700000002</v>
      </c>
    </row>
    <row r="2305" spans="1:3" x14ac:dyDescent="0.25">
      <c r="A2305" s="52">
        <f t="shared" si="35"/>
        <v>45764</v>
      </c>
      <c r="B2305" s="53">
        <v>2304</v>
      </c>
      <c r="C2305" s="53">
        <v>32813.079700000002</v>
      </c>
    </row>
    <row r="2306" spans="1:3" x14ac:dyDescent="0.25">
      <c r="A2306" s="52">
        <f t="shared" ref="A2306:A2369" si="36">+$G$4+B2306</f>
        <v>45765</v>
      </c>
      <c r="B2306" s="53">
        <v>2305</v>
      </c>
      <c r="C2306" s="53">
        <v>32816.402099999999</v>
      </c>
    </row>
    <row r="2307" spans="1:3" x14ac:dyDescent="0.25">
      <c r="A2307" s="52">
        <f t="shared" si="36"/>
        <v>45766</v>
      </c>
      <c r="B2307" s="53">
        <v>2306</v>
      </c>
      <c r="C2307" s="53">
        <v>32819.724800000004</v>
      </c>
    </row>
    <row r="2308" spans="1:3" x14ac:dyDescent="0.25">
      <c r="A2308" s="52">
        <f t="shared" si="36"/>
        <v>45767</v>
      </c>
      <c r="B2308" s="53">
        <v>2307</v>
      </c>
      <c r="C2308" s="53">
        <v>32823.0478</v>
      </c>
    </row>
    <row r="2309" spans="1:3" x14ac:dyDescent="0.25">
      <c r="A2309" s="52">
        <f t="shared" si="36"/>
        <v>45768</v>
      </c>
      <c r="B2309" s="53">
        <v>2308</v>
      </c>
      <c r="C2309" s="53">
        <v>32826.371200000001</v>
      </c>
    </row>
    <row r="2310" spans="1:3" x14ac:dyDescent="0.25">
      <c r="A2310" s="52">
        <f t="shared" si="36"/>
        <v>45769</v>
      </c>
      <c r="B2310" s="53">
        <v>2309</v>
      </c>
      <c r="C2310" s="53">
        <v>32829.694900000002</v>
      </c>
    </row>
    <row r="2311" spans="1:3" x14ac:dyDescent="0.25">
      <c r="A2311" s="52">
        <f t="shared" si="36"/>
        <v>45770</v>
      </c>
      <c r="B2311" s="53">
        <v>2310</v>
      </c>
      <c r="C2311" s="53">
        <v>32833.018900000003</v>
      </c>
    </row>
    <row r="2312" spans="1:3" x14ac:dyDescent="0.25">
      <c r="A2312" s="52">
        <f t="shared" si="36"/>
        <v>45771</v>
      </c>
      <c r="B2312" s="53">
        <v>2311</v>
      </c>
      <c r="C2312" s="53">
        <v>32836.3433</v>
      </c>
    </row>
    <row r="2313" spans="1:3" x14ac:dyDescent="0.25">
      <c r="A2313" s="52">
        <f t="shared" si="36"/>
        <v>45772</v>
      </c>
      <c r="B2313" s="53">
        <v>2312</v>
      </c>
      <c r="C2313" s="53">
        <v>32839.667999999998</v>
      </c>
    </row>
    <row r="2314" spans="1:3" x14ac:dyDescent="0.25">
      <c r="A2314" s="52">
        <f t="shared" si="36"/>
        <v>45773</v>
      </c>
      <c r="B2314" s="53">
        <v>2313</v>
      </c>
      <c r="C2314" s="53">
        <v>32842.993000000002</v>
      </c>
    </row>
    <row r="2315" spans="1:3" x14ac:dyDescent="0.25">
      <c r="A2315" s="52">
        <f t="shared" si="36"/>
        <v>45774</v>
      </c>
      <c r="B2315" s="53">
        <v>2314</v>
      </c>
      <c r="C2315" s="53">
        <v>32846.318399999996</v>
      </c>
    </row>
    <row r="2316" spans="1:3" x14ac:dyDescent="0.25">
      <c r="A2316" s="52">
        <f t="shared" si="36"/>
        <v>45775</v>
      </c>
      <c r="B2316" s="53">
        <v>2315</v>
      </c>
      <c r="C2316" s="53">
        <v>32849.644099999998</v>
      </c>
    </row>
    <row r="2317" spans="1:3" x14ac:dyDescent="0.25">
      <c r="A2317" s="52">
        <f t="shared" si="36"/>
        <v>45776</v>
      </c>
      <c r="B2317" s="53">
        <v>2316</v>
      </c>
      <c r="C2317" s="53">
        <v>32852.970200000003</v>
      </c>
    </row>
    <row r="2318" spans="1:3" x14ac:dyDescent="0.25">
      <c r="A2318" s="52">
        <f t="shared" si="36"/>
        <v>45777</v>
      </c>
      <c r="B2318" s="53">
        <v>2317</v>
      </c>
      <c r="C2318" s="53">
        <v>32856.296600000001</v>
      </c>
    </row>
    <row r="2319" spans="1:3" x14ac:dyDescent="0.25">
      <c r="A2319" s="52">
        <f t="shared" si="36"/>
        <v>45778</v>
      </c>
      <c r="B2319" s="53">
        <v>2318</v>
      </c>
      <c r="C2319" s="53">
        <v>32859.623299999999</v>
      </c>
    </row>
    <row r="2320" spans="1:3" x14ac:dyDescent="0.25">
      <c r="A2320" s="52">
        <f t="shared" si="36"/>
        <v>45779</v>
      </c>
      <c r="B2320" s="53">
        <v>2319</v>
      </c>
      <c r="C2320" s="53">
        <v>32862.950400000002</v>
      </c>
    </row>
    <row r="2321" spans="1:3" x14ac:dyDescent="0.25">
      <c r="A2321" s="52">
        <f t="shared" si="36"/>
        <v>45780</v>
      </c>
      <c r="B2321" s="53">
        <v>2320</v>
      </c>
      <c r="C2321" s="53">
        <v>32866.277800000003</v>
      </c>
    </row>
    <row r="2322" spans="1:3" x14ac:dyDescent="0.25">
      <c r="A2322" s="52">
        <f t="shared" si="36"/>
        <v>45781</v>
      </c>
      <c r="B2322" s="53">
        <v>2321</v>
      </c>
      <c r="C2322" s="53">
        <v>32869.605499999998</v>
      </c>
    </row>
    <row r="2323" spans="1:3" x14ac:dyDescent="0.25">
      <c r="A2323" s="52">
        <f t="shared" si="36"/>
        <v>45782</v>
      </c>
      <c r="B2323" s="53">
        <v>2322</v>
      </c>
      <c r="C2323" s="53">
        <v>32872.933599999997</v>
      </c>
    </row>
    <row r="2324" spans="1:3" x14ac:dyDescent="0.25">
      <c r="A2324" s="52">
        <f t="shared" si="36"/>
        <v>45783</v>
      </c>
      <c r="B2324" s="53">
        <v>2323</v>
      </c>
      <c r="C2324" s="53">
        <v>32876.262000000002</v>
      </c>
    </row>
    <row r="2325" spans="1:3" x14ac:dyDescent="0.25">
      <c r="A2325" s="52">
        <f t="shared" si="36"/>
        <v>45784</v>
      </c>
      <c r="B2325" s="53">
        <v>2324</v>
      </c>
      <c r="C2325" s="53">
        <v>32879.590799999998</v>
      </c>
    </row>
    <row r="2326" spans="1:3" x14ac:dyDescent="0.25">
      <c r="A2326" s="52">
        <f t="shared" si="36"/>
        <v>45785</v>
      </c>
      <c r="B2326" s="53">
        <v>2325</v>
      </c>
      <c r="C2326" s="53">
        <v>32882.919900000001</v>
      </c>
    </row>
    <row r="2327" spans="1:3" x14ac:dyDescent="0.25">
      <c r="A2327" s="52">
        <f t="shared" si="36"/>
        <v>45786</v>
      </c>
      <c r="B2327" s="53">
        <v>2326</v>
      </c>
      <c r="C2327" s="53">
        <v>32886.249300000003</v>
      </c>
    </row>
    <row r="2328" spans="1:3" x14ac:dyDescent="0.25">
      <c r="A2328" s="52">
        <f t="shared" si="36"/>
        <v>45787</v>
      </c>
      <c r="B2328" s="53">
        <v>2327</v>
      </c>
      <c r="C2328" s="53">
        <v>32888.925300000003</v>
      </c>
    </row>
    <row r="2329" spans="1:3" x14ac:dyDescent="0.25">
      <c r="A2329" s="52">
        <f t="shared" si="36"/>
        <v>45788</v>
      </c>
      <c r="B2329" s="53">
        <v>2328</v>
      </c>
      <c r="C2329" s="53">
        <v>32891.601499999997</v>
      </c>
    </row>
    <row r="2330" spans="1:3" x14ac:dyDescent="0.25">
      <c r="A2330" s="52">
        <f t="shared" si="36"/>
        <v>45789</v>
      </c>
      <c r="B2330" s="53">
        <v>2329</v>
      </c>
      <c r="C2330" s="53">
        <v>32894.277999999998</v>
      </c>
    </row>
    <row r="2331" spans="1:3" x14ac:dyDescent="0.25">
      <c r="A2331" s="52">
        <f t="shared" si="36"/>
        <v>45790</v>
      </c>
      <c r="B2331" s="53">
        <v>2330</v>
      </c>
      <c r="C2331" s="53">
        <v>32896.954599999997</v>
      </c>
    </row>
    <row r="2332" spans="1:3" x14ac:dyDescent="0.25">
      <c r="A2332" s="52">
        <f t="shared" si="36"/>
        <v>45791</v>
      </c>
      <c r="B2332" s="53">
        <v>2331</v>
      </c>
      <c r="C2332" s="53">
        <v>32899.631500000003</v>
      </c>
    </row>
    <row r="2333" spans="1:3" x14ac:dyDescent="0.25">
      <c r="A2333" s="52">
        <f t="shared" si="36"/>
        <v>45792</v>
      </c>
      <c r="B2333" s="53">
        <v>2332</v>
      </c>
      <c r="C2333" s="53">
        <v>32902.308599999997</v>
      </c>
    </row>
    <row r="2334" spans="1:3" x14ac:dyDescent="0.25">
      <c r="A2334" s="52">
        <f t="shared" si="36"/>
        <v>45793</v>
      </c>
      <c r="B2334" s="53">
        <v>2333</v>
      </c>
      <c r="C2334" s="53">
        <v>32904.9859</v>
      </c>
    </row>
    <row r="2335" spans="1:3" x14ac:dyDescent="0.25">
      <c r="A2335" s="52">
        <f t="shared" si="36"/>
        <v>45794</v>
      </c>
      <c r="B2335" s="53">
        <v>2334</v>
      </c>
      <c r="C2335" s="53">
        <v>32907.663399999998</v>
      </c>
    </row>
    <row r="2336" spans="1:3" x14ac:dyDescent="0.25">
      <c r="A2336" s="52">
        <f t="shared" si="36"/>
        <v>45795</v>
      </c>
      <c r="B2336" s="53">
        <v>2335</v>
      </c>
      <c r="C2336" s="53">
        <v>32910.341200000003</v>
      </c>
    </row>
    <row r="2337" spans="1:3" x14ac:dyDescent="0.25">
      <c r="A2337" s="52">
        <f t="shared" si="36"/>
        <v>45796</v>
      </c>
      <c r="B2337" s="53">
        <v>2336</v>
      </c>
      <c r="C2337" s="53">
        <v>32913.019200000002</v>
      </c>
    </row>
    <row r="2338" spans="1:3" x14ac:dyDescent="0.25">
      <c r="A2338" s="52">
        <f t="shared" si="36"/>
        <v>45797</v>
      </c>
      <c r="B2338" s="53">
        <v>2337</v>
      </c>
      <c r="C2338" s="53">
        <v>32915.6973</v>
      </c>
    </row>
    <row r="2339" spans="1:3" x14ac:dyDescent="0.25">
      <c r="A2339" s="52">
        <f t="shared" si="36"/>
        <v>45798</v>
      </c>
      <c r="B2339" s="53">
        <v>2338</v>
      </c>
      <c r="C2339" s="53">
        <v>32918.375699999997</v>
      </c>
    </row>
    <row r="2340" spans="1:3" x14ac:dyDescent="0.25">
      <c r="A2340" s="52">
        <f t="shared" si="36"/>
        <v>45799</v>
      </c>
      <c r="B2340" s="53">
        <v>2339</v>
      </c>
      <c r="C2340" s="53">
        <v>32921.054400000001</v>
      </c>
    </row>
    <row r="2341" spans="1:3" x14ac:dyDescent="0.25">
      <c r="A2341" s="52">
        <f t="shared" si="36"/>
        <v>45800</v>
      </c>
      <c r="B2341" s="53">
        <v>2340</v>
      </c>
      <c r="C2341" s="53">
        <v>32923.733200000002</v>
      </c>
    </row>
    <row r="2342" spans="1:3" x14ac:dyDescent="0.25">
      <c r="A2342" s="52">
        <f t="shared" si="36"/>
        <v>45801</v>
      </c>
      <c r="B2342" s="53">
        <v>2341</v>
      </c>
      <c r="C2342" s="53">
        <v>32926.412300000004</v>
      </c>
    </row>
    <row r="2343" spans="1:3" x14ac:dyDescent="0.25">
      <c r="A2343" s="52">
        <f t="shared" si="36"/>
        <v>45802</v>
      </c>
      <c r="B2343" s="53">
        <v>2342</v>
      </c>
      <c r="C2343" s="53">
        <v>32929.091500000002</v>
      </c>
    </row>
    <row r="2344" spans="1:3" x14ac:dyDescent="0.25">
      <c r="A2344" s="52">
        <f t="shared" si="36"/>
        <v>45803</v>
      </c>
      <c r="B2344" s="53">
        <v>2343</v>
      </c>
      <c r="C2344" s="53">
        <v>32931.771000000001</v>
      </c>
    </row>
    <row r="2345" spans="1:3" x14ac:dyDescent="0.25">
      <c r="A2345" s="52">
        <f t="shared" si="36"/>
        <v>45804</v>
      </c>
      <c r="B2345" s="53">
        <v>2344</v>
      </c>
      <c r="C2345" s="53">
        <v>32934.450700000001</v>
      </c>
    </row>
    <row r="2346" spans="1:3" x14ac:dyDescent="0.25">
      <c r="A2346" s="52">
        <f t="shared" si="36"/>
        <v>45805</v>
      </c>
      <c r="B2346" s="53">
        <v>2345</v>
      </c>
      <c r="C2346" s="53">
        <v>32937.130700000002</v>
      </c>
    </row>
    <row r="2347" spans="1:3" x14ac:dyDescent="0.25">
      <c r="A2347" s="52">
        <f t="shared" si="36"/>
        <v>45806</v>
      </c>
      <c r="B2347" s="53">
        <v>2346</v>
      </c>
      <c r="C2347" s="53">
        <v>32939.810799999999</v>
      </c>
    </row>
    <row r="2348" spans="1:3" x14ac:dyDescent="0.25">
      <c r="A2348" s="52">
        <f t="shared" si="36"/>
        <v>45807</v>
      </c>
      <c r="B2348" s="53">
        <v>2347</v>
      </c>
      <c r="C2348" s="53">
        <v>32942.491199999997</v>
      </c>
    </row>
    <row r="2349" spans="1:3" x14ac:dyDescent="0.25">
      <c r="A2349" s="52">
        <f t="shared" si="36"/>
        <v>45808</v>
      </c>
      <c r="B2349" s="53">
        <v>2348</v>
      </c>
      <c r="C2349" s="53">
        <v>32945.171799999996</v>
      </c>
    </row>
    <row r="2350" spans="1:3" x14ac:dyDescent="0.25">
      <c r="A2350" s="52">
        <f t="shared" si="36"/>
        <v>45809</v>
      </c>
      <c r="B2350" s="53">
        <v>2349</v>
      </c>
      <c r="C2350" s="53">
        <v>32947.852599999998</v>
      </c>
    </row>
    <row r="2351" spans="1:3" x14ac:dyDescent="0.25">
      <c r="A2351" s="52">
        <f t="shared" si="36"/>
        <v>45810</v>
      </c>
      <c r="B2351" s="53">
        <v>2350</v>
      </c>
      <c r="C2351" s="53">
        <v>32950.533600000002</v>
      </c>
    </row>
    <row r="2352" spans="1:3" x14ac:dyDescent="0.25">
      <c r="A2352" s="52">
        <f t="shared" si="36"/>
        <v>45811</v>
      </c>
      <c r="B2352" s="53">
        <v>2351</v>
      </c>
      <c r="C2352" s="53">
        <v>32953.214800000002</v>
      </c>
    </row>
    <row r="2353" spans="1:3" x14ac:dyDescent="0.25">
      <c r="A2353" s="52">
        <f t="shared" si="36"/>
        <v>45812</v>
      </c>
      <c r="B2353" s="53">
        <v>2352</v>
      </c>
      <c r="C2353" s="53">
        <v>32955.8963</v>
      </c>
    </row>
    <row r="2354" spans="1:3" x14ac:dyDescent="0.25">
      <c r="A2354" s="52">
        <f t="shared" si="36"/>
        <v>45813</v>
      </c>
      <c r="B2354" s="53">
        <v>2353</v>
      </c>
      <c r="C2354" s="53">
        <v>32958.577899999997</v>
      </c>
    </row>
    <row r="2355" spans="1:3" x14ac:dyDescent="0.25">
      <c r="A2355" s="52">
        <f t="shared" si="36"/>
        <v>45814</v>
      </c>
      <c r="B2355" s="53">
        <v>2354</v>
      </c>
      <c r="C2355" s="53">
        <v>32961.2598</v>
      </c>
    </row>
    <row r="2356" spans="1:3" x14ac:dyDescent="0.25">
      <c r="A2356" s="52">
        <f t="shared" si="36"/>
        <v>45815</v>
      </c>
      <c r="B2356" s="53">
        <v>2355</v>
      </c>
      <c r="C2356" s="53">
        <v>32963.941899999998</v>
      </c>
    </row>
    <row r="2357" spans="1:3" x14ac:dyDescent="0.25">
      <c r="A2357" s="52">
        <f t="shared" si="36"/>
        <v>45816</v>
      </c>
      <c r="B2357" s="53">
        <v>2356</v>
      </c>
      <c r="C2357" s="53">
        <v>32966.624300000003</v>
      </c>
    </row>
    <row r="2358" spans="1:3" x14ac:dyDescent="0.25">
      <c r="A2358" s="52">
        <f t="shared" si="36"/>
        <v>45817</v>
      </c>
      <c r="B2358" s="53">
        <v>2357</v>
      </c>
      <c r="C2358" s="53">
        <v>32969.306799999998</v>
      </c>
    </row>
    <row r="2359" spans="1:3" x14ac:dyDescent="0.25">
      <c r="A2359" s="52">
        <f t="shared" si="36"/>
        <v>45818</v>
      </c>
      <c r="B2359" s="53">
        <v>2358</v>
      </c>
      <c r="C2359" s="53">
        <v>32971.9856</v>
      </c>
    </row>
    <row r="2360" spans="1:3" x14ac:dyDescent="0.25">
      <c r="A2360" s="52">
        <f t="shared" si="36"/>
        <v>45819</v>
      </c>
      <c r="B2360" s="53">
        <v>2359</v>
      </c>
      <c r="C2360" s="53">
        <v>32974.664499999999</v>
      </c>
    </row>
    <row r="2361" spans="1:3" x14ac:dyDescent="0.25">
      <c r="A2361" s="52">
        <f t="shared" si="36"/>
        <v>45820</v>
      </c>
      <c r="B2361" s="53">
        <v>2360</v>
      </c>
      <c r="C2361" s="53">
        <v>32977.343699999998</v>
      </c>
    </row>
    <row r="2362" spans="1:3" x14ac:dyDescent="0.25">
      <c r="A2362" s="52">
        <f t="shared" si="36"/>
        <v>45821</v>
      </c>
      <c r="B2362" s="53">
        <v>2361</v>
      </c>
      <c r="C2362" s="53">
        <v>32980.023099999999</v>
      </c>
    </row>
    <row r="2363" spans="1:3" x14ac:dyDescent="0.25">
      <c r="A2363" s="52">
        <f t="shared" si="36"/>
        <v>45822</v>
      </c>
      <c r="B2363" s="53">
        <v>2362</v>
      </c>
      <c r="C2363" s="53">
        <v>32982.702700000002</v>
      </c>
    </row>
    <row r="2364" spans="1:3" x14ac:dyDescent="0.25">
      <c r="A2364" s="52">
        <f t="shared" si="36"/>
        <v>45823</v>
      </c>
      <c r="B2364" s="53">
        <v>2363</v>
      </c>
      <c r="C2364" s="53">
        <v>32985.382599999997</v>
      </c>
    </row>
    <row r="2365" spans="1:3" x14ac:dyDescent="0.25">
      <c r="A2365" s="52">
        <f t="shared" si="36"/>
        <v>45824</v>
      </c>
      <c r="B2365" s="53">
        <v>2364</v>
      </c>
      <c r="C2365" s="53">
        <v>32988.062599999997</v>
      </c>
    </row>
    <row r="2366" spans="1:3" x14ac:dyDescent="0.25">
      <c r="A2366" s="52">
        <f t="shared" si="36"/>
        <v>45825</v>
      </c>
      <c r="B2366" s="53">
        <v>2365</v>
      </c>
      <c r="C2366" s="53">
        <v>32990.742899999997</v>
      </c>
    </row>
    <row r="2367" spans="1:3" x14ac:dyDescent="0.25">
      <c r="A2367" s="52">
        <f t="shared" si="36"/>
        <v>45826</v>
      </c>
      <c r="B2367" s="53">
        <v>2366</v>
      </c>
      <c r="C2367" s="53">
        <v>32993.4234</v>
      </c>
    </row>
    <row r="2368" spans="1:3" x14ac:dyDescent="0.25">
      <c r="A2368" s="52">
        <f t="shared" si="36"/>
        <v>45827</v>
      </c>
      <c r="B2368" s="53">
        <v>2367</v>
      </c>
      <c r="C2368" s="53">
        <v>32996.104099999997</v>
      </c>
    </row>
    <row r="2369" spans="1:3" x14ac:dyDescent="0.25">
      <c r="A2369" s="52">
        <f t="shared" si="36"/>
        <v>45828</v>
      </c>
      <c r="B2369" s="53">
        <v>2368</v>
      </c>
      <c r="C2369" s="53">
        <v>32998.785100000001</v>
      </c>
    </row>
    <row r="2370" spans="1:3" x14ac:dyDescent="0.25">
      <c r="A2370" s="52">
        <f t="shared" ref="A2370:A2433" si="37">+$G$4+B2370</f>
        <v>45829</v>
      </c>
      <c r="B2370" s="53">
        <v>2369</v>
      </c>
      <c r="C2370" s="53">
        <v>33001.466200000003</v>
      </c>
    </row>
    <row r="2371" spans="1:3" x14ac:dyDescent="0.25">
      <c r="A2371" s="52">
        <f t="shared" si="37"/>
        <v>45830</v>
      </c>
      <c r="B2371" s="53">
        <v>2370</v>
      </c>
      <c r="C2371" s="53">
        <v>33004.147599999997</v>
      </c>
    </row>
    <row r="2372" spans="1:3" x14ac:dyDescent="0.25">
      <c r="A2372" s="52">
        <f t="shared" si="37"/>
        <v>45831</v>
      </c>
      <c r="B2372" s="53">
        <v>2371</v>
      </c>
      <c r="C2372" s="53">
        <v>33006.8292</v>
      </c>
    </row>
    <row r="2373" spans="1:3" x14ac:dyDescent="0.25">
      <c r="A2373" s="52">
        <f t="shared" si="37"/>
        <v>45832</v>
      </c>
      <c r="B2373" s="53">
        <v>2372</v>
      </c>
      <c r="C2373" s="53">
        <v>33009.510999999999</v>
      </c>
    </row>
    <row r="2374" spans="1:3" x14ac:dyDescent="0.25">
      <c r="A2374" s="52">
        <f t="shared" si="37"/>
        <v>45833</v>
      </c>
      <c r="B2374" s="53">
        <v>2373</v>
      </c>
      <c r="C2374" s="53">
        <v>33012.192999999999</v>
      </c>
    </row>
    <row r="2375" spans="1:3" x14ac:dyDescent="0.25">
      <c r="A2375" s="52">
        <f t="shared" si="37"/>
        <v>45834</v>
      </c>
      <c r="B2375" s="53">
        <v>2374</v>
      </c>
      <c r="C2375" s="53">
        <v>33014.875200000002</v>
      </c>
    </row>
    <row r="2376" spans="1:3" x14ac:dyDescent="0.25">
      <c r="A2376" s="52">
        <f t="shared" si="37"/>
        <v>45835</v>
      </c>
      <c r="B2376" s="53">
        <v>2375</v>
      </c>
      <c r="C2376" s="53">
        <v>33017.557699999998</v>
      </c>
    </row>
    <row r="2377" spans="1:3" x14ac:dyDescent="0.25">
      <c r="A2377" s="52">
        <f t="shared" si="37"/>
        <v>45836</v>
      </c>
      <c r="B2377" s="53">
        <v>2376</v>
      </c>
      <c r="C2377" s="53">
        <v>33020.240299999998</v>
      </c>
    </row>
    <row r="2378" spans="1:3" x14ac:dyDescent="0.25">
      <c r="A2378" s="52">
        <f t="shared" si="37"/>
        <v>45837</v>
      </c>
      <c r="B2378" s="53">
        <v>2377</v>
      </c>
      <c r="C2378" s="53">
        <v>33022.923199999997</v>
      </c>
    </row>
    <row r="2379" spans="1:3" x14ac:dyDescent="0.25">
      <c r="A2379" s="52">
        <f t="shared" si="37"/>
        <v>45838</v>
      </c>
      <c r="B2379" s="53">
        <v>2378</v>
      </c>
      <c r="C2379" s="53">
        <v>33025.606299999999</v>
      </c>
    </row>
    <row r="2380" spans="1:3" x14ac:dyDescent="0.25">
      <c r="A2380" s="52">
        <f t="shared" si="37"/>
        <v>45839</v>
      </c>
      <c r="B2380" s="53">
        <v>2379</v>
      </c>
      <c r="C2380" s="53">
        <v>33028.289700000001</v>
      </c>
    </row>
    <row r="2381" spans="1:3" x14ac:dyDescent="0.25">
      <c r="A2381" s="52">
        <f t="shared" si="37"/>
        <v>45840</v>
      </c>
      <c r="B2381" s="53">
        <v>2380</v>
      </c>
      <c r="C2381" s="53">
        <v>33030.9732</v>
      </c>
    </row>
    <row r="2382" spans="1:3" x14ac:dyDescent="0.25">
      <c r="A2382" s="52">
        <f t="shared" si="37"/>
        <v>45841</v>
      </c>
      <c r="B2382" s="53">
        <v>2381</v>
      </c>
      <c r="C2382" s="53">
        <v>33033.656999999999</v>
      </c>
    </row>
    <row r="2383" spans="1:3" x14ac:dyDescent="0.25">
      <c r="A2383" s="52">
        <f t="shared" si="37"/>
        <v>45842</v>
      </c>
      <c r="B2383" s="53">
        <v>2382</v>
      </c>
      <c r="C2383" s="53">
        <v>33036.340900000003</v>
      </c>
    </row>
    <row r="2384" spans="1:3" x14ac:dyDescent="0.25">
      <c r="A2384" s="52">
        <f t="shared" si="37"/>
        <v>45843</v>
      </c>
      <c r="B2384" s="53">
        <v>2383</v>
      </c>
      <c r="C2384" s="53">
        <v>33039.025099999999</v>
      </c>
    </row>
    <row r="2385" spans="1:3" x14ac:dyDescent="0.25">
      <c r="A2385" s="52">
        <f t="shared" si="37"/>
        <v>45844</v>
      </c>
      <c r="B2385" s="53">
        <v>2384</v>
      </c>
      <c r="C2385" s="53">
        <v>33041.709600000002</v>
      </c>
    </row>
    <row r="2386" spans="1:3" x14ac:dyDescent="0.25">
      <c r="A2386" s="52">
        <f t="shared" si="37"/>
        <v>45845</v>
      </c>
      <c r="B2386" s="53">
        <v>2385</v>
      </c>
      <c r="C2386" s="53">
        <v>33044.394200000002</v>
      </c>
    </row>
    <row r="2387" spans="1:3" x14ac:dyDescent="0.25">
      <c r="A2387" s="52">
        <f t="shared" si="37"/>
        <v>45846</v>
      </c>
      <c r="B2387" s="53">
        <v>2386</v>
      </c>
      <c r="C2387" s="53">
        <v>33047.078999999998</v>
      </c>
    </row>
    <row r="2388" spans="1:3" x14ac:dyDescent="0.25">
      <c r="A2388" s="52">
        <f t="shared" si="37"/>
        <v>45847</v>
      </c>
      <c r="B2388" s="53">
        <v>2387</v>
      </c>
      <c r="C2388" s="53">
        <v>33049.7641</v>
      </c>
    </row>
    <row r="2389" spans="1:3" x14ac:dyDescent="0.25">
      <c r="A2389" s="52">
        <f t="shared" si="37"/>
        <v>45848</v>
      </c>
      <c r="B2389" s="53">
        <v>2388</v>
      </c>
      <c r="C2389" s="53">
        <v>33051.869200000001</v>
      </c>
    </row>
    <row r="2390" spans="1:3" x14ac:dyDescent="0.25">
      <c r="A2390" s="52">
        <f t="shared" si="37"/>
        <v>45849</v>
      </c>
      <c r="B2390" s="53">
        <v>2389</v>
      </c>
      <c r="C2390" s="53">
        <v>33053.974399999999</v>
      </c>
    </row>
    <row r="2391" spans="1:3" x14ac:dyDescent="0.25">
      <c r="A2391" s="52">
        <f t="shared" si="37"/>
        <v>45850</v>
      </c>
      <c r="B2391" s="53">
        <v>2390</v>
      </c>
      <c r="C2391" s="53">
        <v>33056.0798</v>
      </c>
    </row>
    <row r="2392" spans="1:3" x14ac:dyDescent="0.25">
      <c r="A2392" s="52">
        <f t="shared" si="37"/>
        <v>45851</v>
      </c>
      <c r="B2392" s="53">
        <v>2391</v>
      </c>
      <c r="C2392" s="53">
        <v>33058.185299999997</v>
      </c>
    </row>
    <row r="2393" spans="1:3" x14ac:dyDescent="0.25">
      <c r="A2393" s="52">
        <f t="shared" si="37"/>
        <v>45852</v>
      </c>
      <c r="B2393" s="53">
        <v>2392</v>
      </c>
      <c r="C2393" s="53">
        <v>33060.2909</v>
      </c>
    </row>
    <row r="2394" spans="1:3" x14ac:dyDescent="0.25">
      <c r="A2394" s="52">
        <f t="shared" si="37"/>
        <v>45853</v>
      </c>
      <c r="B2394" s="53">
        <v>2393</v>
      </c>
      <c r="C2394" s="53">
        <v>33062.396699999998</v>
      </c>
    </row>
    <row r="2395" spans="1:3" x14ac:dyDescent="0.25">
      <c r="A2395" s="52">
        <f t="shared" si="37"/>
        <v>45854</v>
      </c>
      <c r="B2395" s="53">
        <v>2394</v>
      </c>
      <c r="C2395" s="53">
        <v>33064.5026</v>
      </c>
    </row>
    <row r="2396" spans="1:3" x14ac:dyDescent="0.25">
      <c r="A2396" s="52">
        <f t="shared" si="37"/>
        <v>45855</v>
      </c>
      <c r="B2396" s="53">
        <v>2395</v>
      </c>
      <c r="C2396" s="53">
        <v>33066.6086</v>
      </c>
    </row>
    <row r="2397" spans="1:3" x14ac:dyDescent="0.25">
      <c r="A2397" s="52">
        <f t="shared" si="37"/>
        <v>45856</v>
      </c>
      <c r="B2397" s="53">
        <v>2396</v>
      </c>
      <c r="C2397" s="53">
        <v>33068.714800000002</v>
      </c>
    </row>
    <row r="2398" spans="1:3" x14ac:dyDescent="0.25">
      <c r="A2398" s="52">
        <f t="shared" si="37"/>
        <v>45857</v>
      </c>
      <c r="B2398" s="53">
        <v>2397</v>
      </c>
      <c r="C2398" s="53">
        <v>33070.821100000001</v>
      </c>
    </row>
    <row r="2399" spans="1:3" x14ac:dyDescent="0.25">
      <c r="A2399" s="52">
        <f t="shared" si="37"/>
        <v>45858</v>
      </c>
      <c r="B2399" s="53">
        <v>2398</v>
      </c>
      <c r="C2399" s="53">
        <v>33072.927499999998</v>
      </c>
    </row>
    <row r="2400" spans="1:3" x14ac:dyDescent="0.25">
      <c r="A2400" s="52">
        <f t="shared" si="37"/>
        <v>45859</v>
      </c>
      <c r="B2400" s="53">
        <v>2399</v>
      </c>
      <c r="C2400" s="53">
        <v>33075.034099999997</v>
      </c>
    </row>
    <row r="2401" spans="1:3" x14ac:dyDescent="0.25">
      <c r="A2401" s="52">
        <f t="shared" si="37"/>
        <v>45860</v>
      </c>
      <c r="B2401" s="53">
        <v>2400</v>
      </c>
      <c r="C2401" s="53">
        <v>33077.140800000001</v>
      </c>
    </row>
    <row r="2402" spans="1:3" x14ac:dyDescent="0.25">
      <c r="A2402" s="52">
        <f t="shared" si="37"/>
        <v>45861</v>
      </c>
      <c r="B2402" s="53">
        <v>2401</v>
      </c>
      <c r="C2402" s="53">
        <v>33079.247600000002</v>
      </c>
    </row>
    <row r="2403" spans="1:3" x14ac:dyDescent="0.25">
      <c r="A2403" s="52">
        <f t="shared" si="37"/>
        <v>45862</v>
      </c>
      <c r="B2403" s="53">
        <v>2402</v>
      </c>
      <c r="C2403" s="53">
        <v>33081.354599999999</v>
      </c>
    </row>
    <row r="2404" spans="1:3" x14ac:dyDescent="0.25">
      <c r="A2404" s="52">
        <f t="shared" si="37"/>
        <v>45863</v>
      </c>
      <c r="B2404" s="53">
        <v>2403</v>
      </c>
      <c r="C2404" s="53">
        <v>33083.4617</v>
      </c>
    </row>
    <row r="2405" spans="1:3" x14ac:dyDescent="0.25">
      <c r="A2405" s="52">
        <f t="shared" si="37"/>
        <v>45864</v>
      </c>
      <c r="B2405" s="53">
        <v>2404</v>
      </c>
      <c r="C2405" s="53">
        <v>33085.568899999998</v>
      </c>
    </row>
    <row r="2406" spans="1:3" x14ac:dyDescent="0.25">
      <c r="A2406" s="52">
        <f t="shared" si="37"/>
        <v>45865</v>
      </c>
      <c r="B2406" s="53">
        <v>2405</v>
      </c>
      <c r="C2406" s="53">
        <v>33087.676299999999</v>
      </c>
    </row>
    <row r="2407" spans="1:3" x14ac:dyDescent="0.25">
      <c r="A2407" s="52">
        <f t="shared" si="37"/>
        <v>45866</v>
      </c>
      <c r="B2407" s="53">
        <v>2406</v>
      </c>
      <c r="C2407" s="53">
        <v>33089.783799999997</v>
      </c>
    </row>
    <row r="2408" spans="1:3" x14ac:dyDescent="0.25">
      <c r="A2408" s="52">
        <f t="shared" si="37"/>
        <v>45867</v>
      </c>
      <c r="B2408" s="53">
        <v>2407</v>
      </c>
      <c r="C2408" s="53">
        <v>33091.8914</v>
      </c>
    </row>
    <row r="2409" spans="1:3" x14ac:dyDescent="0.25">
      <c r="A2409" s="52">
        <f t="shared" si="37"/>
        <v>45868</v>
      </c>
      <c r="B2409" s="53">
        <v>2408</v>
      </c>
      <c r="C2409" s="53">
        <v>33093.999199999998</v>
      </c>
    </row>
    <row r="2410" spans="1:3" x14ac:dyDescent="0.25">
      <c r="A2410" s="52">
        <f t="shared" si="37"/>
        <v>45869</v>
      </c>
      <c r="B2410" s="53">
        <v>2409</v>
      </c>
      <c r="C2410" s="53">
        <v>33096.107100000001</v>
      </c>
    </row>
    <row r="2411" spans="1:3" x14ac:dyDescent="0.25">
      <c r="A2411" s="52">
        <f t="shared" si="37"/>
        <v>45870</v>
      </c>
      <c r="B2411" s="53">
        <v>2410</v>
      </c>
      <c r="C2411" s="53">
        <v>33098.215199999999</v>
      </c>
    </row>
    <row r="2412" spans="1:3" x14ac:dyDescent="0.25">
      <c r="A2412" s="52">
        <f t="shared" si="37"/>
        <v>45871</v>
      </c>
      <c r="B2412" s="53">
        <v>2411</v>
      </c>
      <c r="C2412" s="53">
        <v>33100.323400000001</v>
      </c>
    </row>
    <row r="2413" spans="1:3" x14ac:dyDescent="0.25">
      <c r="A2413" s="52">
        <f t="shared" si="37"/>
        <v>45872</v>
      </c>
      <c r="B2413" s="53">
        <v>2412</v>
      </c>
      <c r="C2413" s="53">
        <v>33102.431700000001</v>
      </c>
    </row>
    <row r="2414" spans="1:3" x14ac:dyDescent="0.25">
      <c r="A2414" s="52">
        <f t="shared" si="37"/>
        <v>45873</v>
      </c>
      <c r="B2414" s="53">
        <v>2413</v>
      </c>
      <c r="C2414" s="53">
        <v>33104.540099999998</v>
      </c>
    </row>
    <row r="2415" spans="1:3" x14ac:dyDescent="0.25">
      <c r="A2415" s="52">
        <f t="shared" si="37"/>
        <v>45874</v>
      </c>
      <c r="B2415" s="53">
        <v>2414</v>
      </c>
      <c r="C2415" s="53">
        <v>33106.648699999998</v>
      </c>
    </row>
    <row r="2416" spans="1:3" x14ac:dyDescent="0.25">
      <c r="A2416" s="52">
        <f t="shared" si="37"/>
        <v>45875</v>
      </c>
      <c r="B2416" s="53">
        <v>2415</v>
      </c>
      <c r="C2416" s="53">
        <v>33108.757400000002</v>
      </c>
    </row>
    <row r="2417" spans="1:3" x14ac:dyDescent="0.25">
      <c r="A2417" s="52">
        <f t="shared" si="37"/>
        <v>45876</v>
      </c>
      <c r="B2417" s="53">
        <v>2416</v>
      </c>
      <c r="C2417" s="53">
        <v>33110.866300000002</v>
      </c>
    </row>
    <row r="2418" spans="1:3" x14ac:dyDescent="0.25">
      <c r="A2418" s="52">
        <f t="shared" si="37"/>
        <v>45877</v>
      </c>
      <c r="B2418" s="53">
        <v>2417</v>
      </c>
      <c r="C2418" s="53">
        <v>33112.975200000001</v>
      </c>
    </row>
    <row r="2419" spans="1:3" x14ac:dyDescent="0.25">
      <c r="A2419" s="52">
        <f t="shared" si="37"/>
        <v>45878</v>
      </c>
      <c r="B2419" s="53">
        <v>2418</v>
      </c>
      <c r="C2419" s="53">
        <v>33115.0844</v>
      </c>
    </row>
    <row r="2420" spans="1:3" x14ac:dyDescent="0.25">
      <c r="A2420" s="52">
        <f t="shared" si="37"/>
        <v>45879</v>
      </c>
      <c r="B2420" s="53">
        <v>2419</v>
      </c>
      <c r="C2420" s="53">
        <v>33117.943500000001</v>
      </c>
    </row>
    <row r="2421" spans="1:3" x14ac:dyDescent="0.25">
      <c r="A2421" s="52">
        <f t="shared" si="37"/>
        <v>45880</v>
      </c>
      <c r="B2421" s="53">
        <v>2420</v>
      </c>
      <c r="C2421" s="53">
        <v>33120.802799999998</v>
      </c>
    </row>
    <row r="2422" spans="1:3" x14ac:dyDescent="0.25">
      <c r="A2422" s="52">
        <f t="shared" si="37"/>
        <v>45881</v>
      </c>
      <c r="B2422" s="53">
        <v>2421</v>
      </c>
      <c r="C2422" s="53">
        <v>33123.662400000001</v>
      </c>
    </row>
    <row r="2423" spans="1:3" x14ac:dyDescent="0.25">
      <c r="A2423" s="52">
        <f t="shared" si="37"/>
        <v>45882</v>
      </c>
      <c r="B2423" s="53">
        <v>2422</v>
      </c>
      <c r="C2423" s="53">
        <v>33126.522299999997</v>
      </c>
    </row>
    <row r="2424" spans="1:3" x14ac:dyDescent="0.25">
      <c r="A2424" s="52">
        <f t="shared" si="37"/>
        <v>45883</v>
      </c>
      <c r="B2424" s="53">
        <v>2423</v>
      </c>
      <c r="C2424" s="53">
        <v>33129.382400000002</v>
      </c>
    </row>
    <row r="2425" spans="1:3" x14ac:dyDescent="0.25">
      <c r="A2425" s="52">
        <f t="shared" si="37"/>
        <v>45884</v>
      </c>
      <c r="B2425" s="53">
        <v>2424</v>
      </c>
      <c r="C2425" s="53">
        <v>33132.242700000003</v>
      </c>
    </row>
    <row r="2426" spans="1:3" x14ac:dyDescent="0.25">
      <c r="A2426" s="52">
        <f t="shared" si="37"/>
        <v>45885</v>
      </c>
      <c r="B2426" s="53">
        <v>2425</v>
      </c>
      <c r="C2426" s="53">
        <v>33135.103300000002</v>
      </c>
    </row>
    <row r="2427" spans="1:3" x14ac:dyDescent="0.25">
      <c r="A2427" s="52">
        <f t="shared" si="37"/>
        <v>45886</v>
      </c>
      <c r="B2427" s="53">
        <v>2426</v>
      </c>
      <c r="C2427" s="53">
        <v>33137.964099999997</v>
      </c>
    </row>
    <row r="2428" spans="1:3" x14ac:dyDescent="0.25">
      <c r="A2428" s="52">
        <f t="shared" si="37"/>
        <v>45887</v>
      </c>
      <c r="B2428" s="53">
        <v>2427</v>
      </c>
      <c r="C2428" s="53">
        <v>33140.825199999999</v>
      </c>
    </row>
    <row r="2429" spans="1:3" x14ac:dyDescent="0.25">
      <c r="A2429" s="52">
        <f t="shared" si="37"/>
        <v>45888</v>
      </c>
      <c r="B2429" s="53">
        <v>2428</v>
      </c>
      <c r="C2429" s="53">
        <v>33143.686500000003</v>
      </c>
    </row>
    <row r="2430" spans="1:3" x14ac:dyDescent="0.25">
      <c r="A2430" s="52">
        <f t="shared" si="37"/>
        <v>45889</v>
      </c>
      <c r="B2430" s="53">
        <v>2429</v>
      </c>
      <c r="C2430" s="53">
        <v>33146.5481</v>
      </c>
    </row>
    <row r="2431" spans="1:3" x14ac:dyDescent="0.25">
      <c r="A2431" s="52">
        <f t="shared" si="37"/>
        <v>45890</v>
      </c>
      <c r="B2431" s="53">
        <v>2430</v>
      </c>
      <c r="C2431" s="53">
        <v>33149.409899999999</v>
      </c>
    </row>
    <row r="2432" spans="1:3" x14ac:dyDescent="0.25">
      <c r="A2432" s="52">
        <f t="shared" si="37"/>
        <v>45891</v>
      </c>
      <c r="B2432" s="53">
        <v>2431</v>
      </c>
      <c r="C2432" s="53">
        <v>33152.271999999997</v>
      </c>
    </row>
    <row r="2433" spans="1:3" x14ac:dyDescent="0.25">
      <c r="A2433" s="52">
        <f t="shared" si="37"/>
        <v>45892</v>
      </c>
      <c r="B2433" s="53">
        <v>2432</v>
      </c>
      <c r="C2433" s="53">
        <v>33155.134299999998</v>
      </c>
    </row>
    <row r="2434" spans="1:3" x14ac:dyDescent="0.25">
      <c r="A2434" s="52">
        <f t="shared" ref="A2434:A2497" si="38">+$G$4+B2434</f>
        <v>45893</v>
      </c>
      <c r="B2434" s="53">
        <v>2433</v>
      </c>
      <c r="C2434" s="53">
        <v>33157.996800000001</v>
      </c>
    </row>
    <row r="2435" spans="1:3" x14ac:dyDescent="0.25">
      <c r="A2435" s="52">
        <f t="shared" si="38"/>
        <v>45894</v>
      </c>
      <c r="B2435" s="53">
        <v>2434</v>
      </c>
      <c r="C2435" s="53">
        <v>33160.859600000003</v>
      </c>
    </row>
    <row r="2436" spans="1:3" x14ac:dyDescent="0.25">
      <c r="A2436" s="52">
        <f t="shared" si="38"/>
        <v>45895</v>
      </c>
      <c r="B2436" s="53">
        <v>2435</v>
      </c>
      <c r="C2436" s="53">
        <v>33163.722699999998</v>
      </c>
    </row>
    <row r="2437" spans="1:3" x14ac:dyDescent="0.25">
      <c r="A2437" s="52">
        <f t="shared" si="38"/>
        <v>45896</v>
      </c>
      <c r="B2437" s="53">
        <v>2436</v>
      </c>
      <c r="C2437" s="53">
        <v>33166.586000000003</v>
      </c>
    </row>
    <row r="2438" spans="1:3" x14ac:dyDescent="0.25">
      <c r="A2438" s="52">
        <f t="shared" si="38"/>
        <v>45897</v>
      </c>
      <c r="B2438" s="53">
        <v>2437</v>
      </c>
      <c r="C2438" s="53">
        <v>33169.4496</v>
      </c>
    </row>
    <row r="2439" spans="1:3" x14ac:dyDescent="0.25">
      <c r="A2439" s="52">
        <f t="shared" si="38"/>
        <v>45898</v>
      </c>
      <c r="B2439" s="53">
        <v>2438</v>
      </c>
      <c r="C2439" s="53">
        <v>33172.313399999999</v>
      </c>
    </row>
    <row r="2440" spans="1:3" x14ac:dyDescent="0.25">
      <c r="A2440" s="52">
        <f t="shared" si="38"/>
        <v>45899</v>
      </c>
      <c r="B2440" s="53">
        <v>2439</v>
      </c>
      <c r="C2440" s="53">
        <v>33175.1774</v>
      </c>
    </row>
    <row r="2441" spans="1:3" x14ac:dyDescent="0.25">
      <c r="A2441" s="52">
        <f t="shared" si="38"/>
        <v>45900</v>
      </c>
      <c r="B2441" s="53">
        <v>2440</v>
      </c>
      <c r="C2441" s="53">
        <v>33178.041700000002</v>
      </c>
    </row>
    <row r="2442" spans="1:3" x14ac:dyDescent="0.25">
      <c r="A2442" s="52">
        <f t="shared" si="38"/>
        <v>45901</v>
      </c>
      <c r="B2442" s="53">
        <v>2441</v>
      </c>
      <c r="C2442" s="53">
        <v>33180.906199999998</v>
      </c>
    </row>
    <row r="2443" spans="1:3" x14ac:dyDescent="0.25">
      <c r="A2443" s="52">
        <f t="shared" si="38"/>
        <v>45902</v>
      </c>
      <c r="B2443" s="53">
        <v>2442</v>
      </c>
      <c r="C2443" s="53">
        <v>33183.771000000001</v>
      </c>
    </row>
    <row r="2444" spans="1:3" x14ac:dyDescent="0.25">
      <c r="A2444" s="52">
        <f t="shared" si="38"/>
        <v>45903</v>
      </c>
      <c r="B2444" s="53">
        <v>2443</v>
      </c>
      <c r="C2444" s="53">
        <v>33186.635999999999</v>
      </c>
    </row>
    <row r="2445" spans="1:3" x14ac:dyDescent="0.25">
      <c r="A2445" s="52">
        <f t="shared" si="38"/>
        <v>45904</v>
      </c>
      <c r="B2445" s="53">
        <v>2444</v>
      </c>
      <c r="C2445" s="53">
        <v>33189.501300000004</v>
      </c>
    </row>
    <row r="2446" spans="1:3" x14ac:dyDescent="0.25">
      <c r="A2446" s="52">
        <f t="shared" si="38"/>
        <v>45905</v>
      </c>
      <c r="B2446" s="53">
        <v>2445</v>
      </c>
      <c r="C2446" s="53">
        <v>33192.366900000001</v>
      </c>
    </row>
    <row r="2447" spans="1:3" x14ac:dyDescent="0.25">
      <c r="A2447" s="52">
        <f t="shared" si="38"/>
        <v>45906</v>
      </c>
      <c r="B2447" s="53">
        <v>2446</v>
      </c>
      <c r="C2447" s="53">
        <v>33195.232600000003</v>
      </c>
    </row>
    <row r="2448" spans="1:3" x14ac:dyDescent="0.25">
      <c r="A2448" s="52">
        <f t="shared" si="38"/>
        <v>45907</v>
      </c>
      <c r="B2448" s="53">
        <v>2447</v>
      </c>
      <c r="C2448" s="53">
        <v>33198.098700000002</v>
      </c>
    </row>
    <row r="2449" spans="1:3" x14ac:dyDescent="0.25">
      <c r="A2449" s="52">
        <f t="shared" si="38"/>
        <v>45908</v>
      </c>
      <c r="B2449" s="53">
        <v>2448</v>
      </c>
      <c r="C2449" s="53">
        <v>33200.964899999999</v>
      </c>
    </row>
    <row r="2450" spans="1:3" x14ac:dyDescent="0.25">
      <c r="A2450" s="52">
        <f t="shared" si="38"/>
        <v>45909</v>
      </c>
      <c r="B2450" s="53">
        <v>2449</v>
      </c>
      <c r="C2450" s="53">
        <v>33203.831400000003</v>
      </c>
    </row>
    <row r="2451" spans="1:3" x14ac:dyDescent="0.25">
      <c r="A2451" s="52">
        <f t="shared" si="38"/>
        <v>45910</v>
      </c>
      <c r="B2451" s="53">
        <v>2450</v>
      </c>
      <c r="C2451" s="53">
        <v>33206.322200000002</v>
      </c>
    </row>
    <row r="2452" spans="1:3" x14ac:dyDescent="0.25">
      <c r="A2452" s="52">
        <f t="shared" si="38"/>
        <v>45911</v>
      </c>
      <c r="B2452" s="53">
        <v>2451</v>
      </c>
      <c r="C2452" s="53">
        <v>33208.813000000002</v>
      </c>
    </row>
    <row r="2453" spans="1:3" x14ac:dyDescent="0.25">
      <c r="A2453" s="52">
        <f t="shared" si="38"/>
        <v>45912</v>
      </c>
      <c r="B2453" s="53">
        <v>2452</v>
      </c>
      <c r="C2453" s="53">
        <v>33211.304100000001</v>
      </c>
    </row>
    <row r="2454" spans="1:3" x14ac:dyDescent="0.25">
      <c r="A2454" s="52">
        <f t="shared" si="38"/>
        <v>45913</v>
      </c>
      <c r="B2454" s="53">
        <v>2453</v>
      </c>
      <c r="C2454" s="53">
        <v>33213.795400000003</v>
      </c>
    </row>
    <row r="2455" spans="1:3" x14ac:dyDescent="0.25">
      <c r="A2455" s="52">
        <f t="shared" si="38"/>
        <v>45914</v>
      </c>
      <c r="B2455" s="53">
        <v>2454</v>
      </c>
      <c r="C2455" s="53">
        <v>33216.286899999999</v>
      </c>
    </row>
    <row r="2456" spans="1:3" x14ac:dyDescent="0.25">
      <c r="A2456" s="52">
        <f t="shared" si="38"/>
        <v>45915</v>
      </c>
      <c r="B2456" s="53">
        <v>2455</v>
      </c>
      <c r="C2456" s="53">
        <v>33218.7785</v>
      </c>
    </row>
    <row r="2457" spans="1:3" x14ac:dyDescent="0.25">
      <c r="A2457" s="52">
        <f t="shared" si="38"/>
        <v>45916</v>
      </c>
      <c r="B2457" s="53">
        <v>2456</v>
      </c>
      <c r="C2457" s="53">
        <v>33221.270299999996</v>
      </c>
    </row>
    <row r="2458" spans="1:3" x14ac:dyDescent="0.25">
      <c r="A2458" s="52">
        <f t="shared" si="38"/>
        <v>45917</v>
      </c>
      <c r="B2458" s="53">
        <v>2457</v>
      </c>
      <c r="C2458" s="53">
        <v>33223.7624</v>
      </c>
    </row>
    <row r="2459" spans="1:3" x14ac:dyDescent="0.25">
      <c r="A2459" s="52">
        <f t="shared" si="38"/>
        <v>45918</v>
      </c>
      <c r="B2459" s="53">
        <v>2458</v>
      </c>
      <c r="C2459" s="53">
        <v>33226.2546</v>
      </c>
    </row>
    <row r="2460" spans="1:3" x14ac:dyDescent="0.25">
      <c r="A2460" s="52">
        <f t="shared" si="38"/>
        <v>45919</v>
      </c>
      <c r="B2460" s="53">
        <v>2459</v>
      </c>
      <c r="C2460" s="53">
        <v>33228.747000000003</v>
      </c>
    </row>
    <row r="2461" spans="1:3" x14ac:dyDescent="0.25">
      <c r="A2461" s="52">
        <f t="shared" si="38"/>
        <v>45920</v>
      </c>
      <c r="B2461" s="53">
        <v>2460</v>
      </c>
      <c r="C2461" s="53">
        <v>33231.239500000003</v>
      </c>
    </row>
    <row r="2462" spans="1:3" x14ac:dyDescent="0.25">
      <c r="A2462" s="52">
        <f t="shared" si="38"/>
        <v>45921</v>
      </c>
      <c r="B2462" s="53">
        <v>2461</v>
      </c>
      <c r="C2462" s="53">
        <v>33233.732300000003</v>
      </c>
    </row>
    <row r="2463" spans="1:3" x14ac:dyDescent="0.25">
      <c r="A2463" s="52">
        <f t="shared" si="38"/>
        <v>45922</v>
      </c>
      <c r="B2463" s="53">
        <v>2462</v>
      </c>
      <c r="C2463" s="53">
        <v>33236.225299999998</v>
      </c>
    </row>
    <row r="2464" spans="1:3" x14ac:dyDescent="0.25">
      <c r="A2464" s="52">
        <f t="shared" si="38"/>
        <v>45923</v>
      </c>
      <c r="B2464" s="53">
        <v>2463</v>
      </c>
      <c r="C2464" s="53">
        <v>33238.718399999998</v>
      </c>
    </row>
    <row r="2465" spans="1:3" x14ac:dyDescent="0.25">
      <c r="A2465" s="52">
        <f t="shared" si="38"/>
        <v>45924</v>
      </c>
      <c r="B2465" s="53">
        <v>2464</v>
      </c>
      <c r="C2465" s="53">
        <v>33241.2117</v>
      </c>
    </row>
    <row r="2466" spans="1:3" x14ac:dyDescent="0.25">
      <c r="A2466" s="52">
        <f t="shared" si="38"/>
        <v>45925</v>
      </c>
      <c r="B2466" s="53">
        <v>2465</v>
      </c>
      <c r="C2466" s="53">
        <v>33243.705199999997</v>
      </c>
    </row>
    <row r="2467" spans="1:3" x14ac:dyDescent="0.25">
      <c r="A2467" s="52">
        <f t="shared" si="38"/>
        <v>45926</v>
      </c>
      <c r="B2467" s="53">
        <v>2466</v>
      </c>
      <c r="C2467" s="53">
        <v>33246.198900000003</v>
      </c>
    </row>
    <row r="2468" spans="1:3" x14ac:dyDescent="0.25">
      <c r="A2468" s="52">
        <f t="shared" si="38"/>
        <v>45927</v>
      </c>
      <c r="B2468" s="53">
        <v>2467</v>
      </c>
      <c r="C2468" s="53">
        <v>33248.692799999997</v>
      </c>
    </row>
    <row r="2469" spans="1:3" x14ac:dyDescent="0.25">
      <c r="A2469" s="52">
        <f t="shared" si="38"/>
        <v>45928</v>
      </c>
      <c r="B2469" s="53">
        <v>2468</v>
      </c>
      <c r="C2469" s="53">
        <v>33251.186900000001</v>
      </c>
    </row>
    <row r="2470" spans="1:3" x14ac:dyDescent="0.25">
      <c r="A2470" s="52">
        <f t="shared" si="38"/>
        <v>45929</v>
      </c>
      <c r="B2470" s="53">
        <v>2469</v>
      </c>
      <c r="C2470" s="53">
        <v>33253.681199999999</v>
      </c>
    </row>
    <row r="2471" spans="1:3" x14ac:dyDescent="0.25">
      <c r="A2471" s="52">
        <f t="shared" si="38"/>
        <v>45930</v>
      </c>
      <c r="B2471" s="53">
        <v>2470</v>
      </c>
      <c r="C2471" s="53">
        <v>33256.175600000002</v>
      </c>
    </row>
    <row r="2472" spans="1:3" x14ac:dyDescent="0.25">
      <c r="A2472" s="52">
        <f t="shared" si="38"/>
        <v>45931</v>
      </c>
      <c r="B2472" s="53">
        <v>2471</v>
      </c>
      <c r="C2472" s="53">
        <v>33258.670299999998</v>
      </c>
    </row>
    <row r="2473" spans="1:3" x14ac:dyDescent="0.25">
      <c r="A2473" s="52">
        <f t="shared" si="38"/>
        <v>45932</v>
      </c>
      <c r="B2473" s="53">
        <v>2472</v>
      </c>
      <c r="C2473" s="53">
        <v>33261.165099999998</v>
      </c>
    </row>
    <row r="2474" spans="1:3" x14ac:dyDescent="0.25">
      <c r="A2474" s="52">
        <f t="shared" si="38"/>
        <v>45933</v>
      </c>
      <c r="B2474" s="53">
        <v>2473</v>
      </c>
      <c r="C2474" s="53">
        <v>33263.660100000001</v>
      </c>
    </row>
    <row r="2475" spans="1:3" x14ac:dyDescent="0.25">
      <c r="A2475" s="52">
        <f t="shared" si="38"/>
        <v>45934</v>
      </c>
      <c r="B2475" s="53">
        <v>2474</v>
      </c>
      <c r="C2475" s="53">
        <v>33266.155299999999</v>
      </c>
    </row>
    <row r="2476" spans="1:3" x14ac:dyDescent="0.25">
      <c r="A2476" s="52">
        <f t="shared" si="38"/>
        <v>45935</v>
      </c>
      <c r="B2476" s="53">
        <v>2475</v>
      </c>
      <c r="C2476" s="53">
        <v>33268.650699999998</v>
      </c>
    </row>
    <row r="2477" spans="1:3" x14ac:dyDescent="0.25">
      <c r="A2477" s="52">
        <f t="shared" si="38"/>
        <v>45936</v>
      </c>
      <c r="B2477" s="53">
        <v>2476</v>
      </c>
      <c r="C2477" s="53">
        <v>33271.1463</v>
      </c>
    </row>
    <row r="2478" spans="1:3" x14ac:dyDescent="0.25">
      <c r="A2478" s="52">
        <f t="shared" si="38"/>
        <v>45937</v>
      </c>
      <c r="B2478" s="53">
        <v>2477</v>
      </c>
      <c r="C2478" s="53">
        <v>33273.642</v>
      </c>
    </row>
    <row r="2479" spans="1:3" x14ac:dyDescent="0.25">
      <c r="A2479" s="52">
        <f t="shared" si="38"/>
        <v>45938</v>
      </c>
      <c r="B2479" s="53">
        <v>2478</v>
      </c>
      <c r="C2479" s="53">
        <v>33276.137999999999</v>
      </c>
    </row>
    <row r="2480" spans="1:3" x14ac:dyDescent="0.25">
      <c r="A2480" s="52">
        <f t="shared" si="38"/>
        <v>45939</v>
      </c>
      <c r="B2480" s="53">
        <v>2479</v>
      </c>
      <c r="C2480" s="53">
        <v>33278.634100000003</v>
      </c>
    </row>
    <row r="2481" spans="1:3" x14ac:dyDescent="0.25">
      <c r="A2481" s="52">
        <f t="shared" si="38"/>
        <v>45940</v>
      </c>
      <c r="B2481" s="53">
        <v>2480</v>
      </c>
      <c r="C2481" s="53">
        <v>33282.291599999997</v>
      </c>
    </row>
    <row r="2482" spans="1:3" x14ac:dyDescent="0.25">
      <c r="A2482" s="52">
        <f t="shared" si="38"/>
        <v>45941</v>
      </c>
      <c r="B2482" s="53">
        <v>2481</v>
      </c>
      <c r="C2482" s="53">
        <v>33285.9496</v>
      </c>
    </row>
    <row r="2483" spans="1:3" x14ac:dyDescent="0.25">
      <c r="A2483" s="52">
        <f t="shared" si="38"/>
        <v>45942</v>
      </c>
      <c r="B2483" s="53">
        <v>2482</v>
      </c>
      <c r="C2483" s="53">
        <v>33289.607900000003</v>
      </c>
    </row>
    <row r="2484" spans="1:3" x14ac:dyDescent="0.25">
      <c r="A2484" s="52">
        <f t="shared" si="38"/>
        <v>45943</v>
      </c>
      <c r="B2484" s="53">
        <v>2483</v>
      </c>
      <c r="C2484" s="53">
        <v>33293.2667</v>
      </c>
    </row>
    <row r="2485" spans="1:3" x14ac:dyDescent="0.25">
      <c r="A2485" s="52">
        <f t="shared" si="38"/>
        <v>45944</v>
      </c>
      <c r="B2485" s="53">
        <v>2484</v>
      </c>
      <c r="C2485" s="53">
        <v>33296.925799999997</v>
      </c>
    </row>
    <row r="2486" spans="1:3" x14ac:dyDescent="0.25">
      <c r="A2486" s="52">
        <f t="shared" si="38"/>
        <v>45945</v>
      </c>
      <c r="B2486" s="53">
        <v>2485</v>
      </c>
      <c r="C2486" s="53">
        <v>33300.585299999999</v>
      </c>
    </row>
    <row r="2487" spans="1:3" x14ac:dyDescent="0.25">
      <c r="A2487" s="52">
        <f t="shared" si="38"/>
        <v>45946</v>
      </c>
      <c r="B2487" s="53">
        <v>2486</v>
      </c>
      <c r="C2487" s="53">
        <v>33304.245300000002</v>
      </c>
    </row>
    <row r="2488" spans="1:3" x14ac:dyDescent="0.25">
      <c r="A2488" s="52">
        <f t="shared" si="38"/>
        <v>45947</v>
      </c>
      <c r="B2488" s="53">
        <v>2487</v>
      </c>
      <c r="C2488" s="53">
        <v>33307.905599999998</v>
      </c>
    </row>
    <row r="2489" spans="1:3" x14ac:dyDescent="0.25">
      <c r="A2489" s="52">
        <f t="shared" si="38"/>
        <v>45948</v>
      </c>
      <c r="B2489" s="53">
        <v>2488</v>
      </c>
      <c r="C2489" s="53">
        <v>33311.566400000003</v>
      </c>
    </row>
    <row r="2490" spans="1:3" x14ac:dyDescent="0.25">
      <c r="A2490" s="52">
        <f t="shared" si="38"/>
        <v>45949</v>
      </c>
      <c r="B2490" s="53">
        <v>2489</v>
      </c>
      <c r="C2490" s="53">
        <v>33315.227599999998</v>
      </c>
    </row>
    <row r="2491" spans="1:3" x14ac:dyDescent="0.25">
      <c r="A2491" s="52">
        <f t="shared" si="38"/>
        <v>45950</v>
      </c>
      <c r="B2491" s="53">
        <v>2490</v>
      </c>
      <c r="C2491" s="53">
        <v>33318.8891</v>
      </c>
    </row>
    <row r="2492" spans="1:3" x14ac:dyDescent="0.25">
      <c r="A2492" s="52">
        <f t="shared" si="38"/>
        <v>45951</v>
      </c>
      <c r="B2492" s="53">
        <v>2491</v>
      </c>
      <c r="C2492" s="53">
        <v>33322.551099999997</v>
      </c>
    </row>
    <row r="2493" spans="1:3" x14ac:dyDescent="0.25">
      <c r="A2493" s="52">
        <f t="shared" si="38"/>
        <v>45952</v>
      </c>
      <c r="B2493" s="53">
        <v>2492</v>
      </c>
      <c r="C2493" s="53">
        <v>33326.213400000001</v>
      </c>
    </row>
    <row r="2494" spans="1:3" x14ac:dyDescent="0.25">
      <c r="A2494" s="52">
        <f t="shared" si="38"/>
        <v>45953</v>
      </c>
      <c r="B2494" s="53">
        <v>2493</v>
      </c>
      <c r="C2494" s="53">
        <v>33329.876199999999</v>
      </c>
    </row>
    <row r="2495" spans="1:3" x14ac:dyDescent="0.25">
      <c r="A2495" s="52">
        <f t="shared" si="38"/>
        <v>45954</v>
      </c>
      <c r="B2495" s="53">
        <v>2494</v>
      </c>
      <c r="C2495" s="53">
        <v>33333.539400000001</v>
      </c>
    </row>
    <row r="2496" spans="1:3" x14ac:dyDescent="0.25">
      <c r="A2496" s="52">
        <f t="shared" si="38"/>
        <v>45955</v>
      </c>
      <c r="B2496" s="53">
        <v>2495</v>
      </c>
      <c r="C2496" s="53">
        <v>33337.202899999997</v>
      </c>
    </row>
    <row r="2497" spans="1:3" x14ac:dyDescent="0.25">
      <c r="A2497" s="52">
        <f t="shared" si="38"/>
        <v>45956</v>
      </c>
      <c r="B2497" s="53">
        <v>2496</v>
      </c>
      <c r="C2497" s="53">
        <v>33340.866900000001</v>
      </c>
    </row>
    <row r="2498" spans="1:3" x14ac:dyDescent="0.25">
      <c r="A2498" s="52">
        <f t="shared" ref="A2498:A2561" si="39">+$G$4+B2498</f>
        <v>45957</v>
      </c>
      <c r="B2498" s="53">
        <v>2497</v>
      </c>
      <c r="C2498" s="53">
        <v>33344.531300000002</v>
      </c>
    </row>
    <row r="2499" spans="1:3" x14ac:dyDescent="0.25">
      <c r="A2499" s="52">
        <f t="shared" si="39"/>
        <v>45958</v>
      </c>
      <c r="B2499" s="53">
        <v>2498</v>
      </c>
      <c r="C2499" s="53">
        <v>33348.196100000001</v>
      </c>
    </row>
    <row r="2500" spans="1:3" x14ac:dyDescent="0.25">
      <c r="A2500" s="52">
        <f t="shared" si="39"/>
        <v>45959</v>
      </c>
      <c r="B2500" s="53">
        <v>2499</v>
      </c>
      <c r="C2500" s="53">
        <v>33351.861299999997</v>
      </c>
    </row>
    <row r="2501" spans="1:3" x14ac:dyDescent="0.25">
      <c r="A2501" s="52">
        <f t="shared" si="39"/>
        <v>45960</v>
      </c>
      <c r="B2501" s="53">
        <v>2500</v>
      </c>
      <c r="C2501" s="53">
        <v>33355.5268</v>
      </c>
    </row>
    <row r="2502" spans="1:3" x14ac:dyDescent="0.25">
      <c r="A2502" s="52">
        <f t="shared" si="39"/>
        <v>45961</v>
      </c>
      <c r="B2502" s="53">
        <v>2501</v>
      </c>
      <c r="C2502" s="53">
        <v>33359.192799999997</v>
      </c>
    </row>
    <row r="2503" spans="1:3" x14ac:dyDescent="0.25">
      <c r="A2503" s="52">
        <f t="shared" si="39"/>
        <v>45962</v>
      </c>
      <c r="B2503" s="53">
        <v>2502</v>
      </c>
      <c r="C2503" s="53">
        <v>33362.859199999999</v>
      </c>
    </row>
    <row r="2504" spans="1:3" x14ac:dyDescent="0.25">
      <c r="A2504" s="52">
        <f t="shared" si="39"/>
        <v>45963</v>
      </c>
      <c r="B2504" s="53">
        <v>2503</v>
      </c>
      <c r="C2504" s="53">
        <v>33366.525999999998</v>
      </c>
    </row>
    <row r="2505" spans="1:3" x14ac:dyDescent="0.25">
      <c r="A2505" s="52">
        <f t="shared" si="39"/>
        <v>45964</v>
      </c>
      <c r="B2505" s="53">
        <v>2504</v>
      </c>
      <c r="C2505" s="53">
        <v>33370.193200000002</v>
      </c>
    </row>
    <row r="2506" spans="1:3" x14ac:dyDescent="0.25">
      <c r="A2506" s="52">
        <f t="shared" si="39"/>
        <v>45965</v>
      </c>
      <c r="B2506" s="53">
        <v>2505</v>
      </c>
      <c r="C2506" s="53">
        <v>33373.860800000002</v>
      </c>
    </row>
    <row r="2507" spans="1:3" x14ac:dyDescent="0.25">
      <c r="A2507" s="52">
        <f t="shared" si="39"/>
        <v>45966</v>
      </c>
      <c r="B2507" s="53">
        <v>2506</v>
      </c>
      <c r="C2507" s="53">
        <v>33377.5288</v>
      </c>
    </row>
    <row r="2508" spans="1:3" x14ac:dyDescent="0.25">
      <c r="A2508" s="52">
        <f t="shared" si="39"/>
        <v>45967</v>
      </c>
      <c r="B2508" s="53">
        <v>2507</v>
      </c>
      <c r="C2508" s="53">
        <v>33381.197200000002</v>
      </c>
    </row>
    <row r="2509" spans="1:3" x14ac:dyDescent="0.25">
      <c r="A2509" s="52">
        <f t="shared" si="39"/>
        <v>45968</v>
      </c>
      <c r="B2509" s="53">
        <v>2508</v>
      </c>
      <c r="C2509" s="53">
        <v>33384.866000000002</v>
      </c>
    </row>
    <row r="2510" spans="1:3" x14ac:dyDescent="0.25">
      <c r="A2510" s="52">
        <f t="shared" si="39"/>
        <v>45969</v>
      </c>
      <c r="B2510" s="53">
        <v>2509</v>
      </c>
      <c r="C2510" s="53">
        <v>33388.535199999998</v>
      </c>
    </row>
    <row r="2511" spans="1:3" x14ac:dyDescent="0.25">
      <c r="A2511" s="52">
        <f t="shared" si="39"/>
        <v>45970</v>
      </c>
      <c r="B2511" s="53">
        <v>2510</v>
      </c>
      <c r="C2511" s="53">
        <v>33392.2048</v>
      </c>
    </row>
    <row r="2512" spans="1:3" x14ac:dyDescent="0.25">
      <c r="A2512" s="52">
        <f t="shared" si="39"/>
        <v>45971</v>
      </c>
      <c r="B2512" s="53">
        <v>2511</v>
      </c>
      <c r="C2512" s="53">
        <v>33395.968800000002</v>
      </c>
    </row>
    <row r="2513" spans="1:3" x14ac:dyDescent="0.25">
      <c r="A2513" s="52">
        <f t="shared" si="39"/>
        <v>45972</v>
      </c>
      <c r="B2513" s="53">
        <v>2512</v>
      </c>
      <c r="C2513" s="53">
        <v>33399.733099999998</v>
      </c>
    </row>
    <row r="2514" spans="1:3" x14ac:dyDescent="0.25">
      <c r="A2514" s="52">
        <f t="shared" si="39"/>
        <v>45973</v>
      </c>
      <c r="B2514" s="53">
        <v>2513</v>
      </c>
      <c r="C2514" s="53">
        <v>33403.497900000002</v>
      </c>
    </row>
    <row r="2515" spans="1:3" x14ac:dyDescent="0.25">
      <c r="A2515" s="52">
        <f t="shared" si="39"/>
        <v>45974</v>
      </c>
      <c r="B2515" s="53">
        <v>2514</v>
      </c>
      <c r="C2515" s="53">
        <v>33407.263099999996</v>
      </c>
    </row>
    <row r="2516" spans="1:3" x14ac:dyDescent="0.25">
      <c r="A2516" s="52">
        <f t="shared" si="39"/>
        <v>45975</v>
      </c>
      <c r="B2516" s="53">
        <v>2515</v>
      </c>
      <c r="C2516" s="53">
        <v>33411.028700000003</v>
      </c>
    </row>
    <row r="2517" spans="1:3" x14ac:dyDescent="0.25">
      <c r="A2517" s="52">
        <f t="shared" si="39"/>
        <v>45976</v>
      </c>
      <c r="B2517" s="53">
        <v>2516</v>
      </c>
      <c r="C2517" s="53">
        <v>33414.794699999999</v>
      </c>
    </row>
    <row r="2518" spans="1:3" x14ac:dyDescent="0.25">
      <c r="A2518" s="52">
        <f t="shared" si="39"/>
        <v>45977</v>
      </c>
      <c r="B2518" s="53">
        <v>2517</v>
      </c>
      <c r="C2518" s="53">
        <v>33418.561199999996</v>
      </c>
    </row>
    <row r="2519" spans="1:3" x14ac:dyDescent="0.25">
      <c r="A2519" s="52">
        <f t="shared" si="39"/>
        <v>45978</v>
      </c>
      <c r="B2519" s="53">
        <v>2518</v>
      </c>
      <c r="C2519" s="53">
        <v>33422.328099999999</v>
      </c>
    </row>
    <row r="2520" spans="1:3" x14ac:dyDescent="0.25">
      <c r="A2520" s="52">
        <f t="shared" si="39"/>
        <v>45979</v>
      </c>
      <c r="B2520" s="53">
        <v>2519</v>
      </c>
      <c r="C2520" s="53">
        <v>33426.095399999998</v>
      </c>
    </row>
    <row r="2521" spans="1:3" x14ac:dyDescent="0.25">
      <c r="A2521" s="52">
        <f t="shared" si="39"/>
        <v>45980</v>
      </c>
      <c r="B2521" s="53">
        <v>2520</v>
      </c>
      <c r="C2521" s="53">
        <v>33429.863100000002</v>
      </c>
    </row>
    <row r="2522" spans="1:3" x14ac:dyDescent="0.25">
      <c r="A2522" s="52">
        <f t="shared" si="39"/>
        <v>45981</v>
      </c>
      <c r="B2522" s="53">
        <v>2521</v>
      </c>
      <c r="C2522" s="53">
        <v>33433.631300000001</v>
      </c>
    </row>
    <row r="2523" spans="1:3" x14ac:dyDescent="0.25">
      <c r="A2523" s="52">
        <f t="shared" si="39"/>
        <v>45982</v>
      </c>
      <c r="B2523" s="53">
        <v>2522</v>
      </c>
      <c r="C2523" s="53">
        <v>33437.399899999997</v>
      </c>
    </row>
    <row r="2524" spans="1:3" x14ac:dyDescent="0.25">
      <c r="A2524" s="52">
        <f t="shared" si="39"/>
        <v>45983</v>
      </c>
      <c r="B2524" s="53">
        <v>2523</v>
      </c>
      <c r="C2524" s="53">
        <v>33441.168899999997</v>
      </c>
    </row>
    <row r="2525" spans="1:3" x14ac:dyDescent="0.25">
      <c r="A2525" s="52">
        <f t="shared" si="39"/>
        <v>45984</v>
      </c>
      <c r="B2525" s="53">
        <v>2524</v>
      </c>
      <c r="C2525" s="53">
        <v>33444.938300000002</v>
      </c>
    </row>
    <row r="2526" spans="1:3" x14ac:dyDescent="0.25">
      <c r="A2526" s="52">
        <f t="shared" si="39"/>
        <v>45985</v>
      </c>
      <c r="B2526" s="53">
        <v>2525</v>
      </c>
      <c r="C2526" s="53">
        <v>33448.708200000001</v>
      </c>
    </row>
    <row r="2527" spans="1:3" x14ac:dyDescent="0.25">
      <c r="A2527" s="52">
        <f t="shared" si="39"/>
        <v>45986</v>
      </c>
      <c r="B2527" s="53">
        <v>2526</v>
      </c>
      <c r="C2527" s="53">
        <v>33452.478499999997</v>
      </c>
    </row>
    <row r="2528" spans="1:3" x14ac:dyDescent="0.25">
      <c r="A2528" s="52">
        <f t="shared" si="39"/>
        <v>45987</v>
      </c>
      <c r="B2528" s="53">
        <v>2527</v>
      </c>
      <c r="C2528" s="53">
        <v>33456.249199999998</v>
      </c>
    </row>
    <row r="2529" spans="1:3" x14ac:dyDescent="0.25">
      <c r="A2529" s="52">
        <f t="shared" si="39"/>
        <v>45988</v>
      </c>
      <c r="B2529" s="53">
        <v>2528</v>
      </c>
      <c r="C2529" s="53">
        <v>33460.020299999996</v>
      </c>
    </row>
    <row r="2530" spans="1:3" x14ac:dyDescent="0.25">
      <c r="A2530" s="52">
        <f t="shared" si="39"/>
        <v>45989</v>
      </c>
      <c r="B2530" s="53">
        <v>2529</v>
      </c>
      <c r="C2530" s="53">
        <v>33463.791899999997</v>
      </c>
    </row>
    <row r="2531" spans="1:3" x14ac:dyDescent="0.25">
      <c r="A2531" s="52">
        <f t="shared" si="39"/>
        <v>45990</v>
      </c>
      <c r="B2531" s="53">
        <v>2530</v>
      </c>
      <c r="C2531" s="53">
        <v>33467.563900000001</v>
      </c>
    </row>
    <row r="2532" spans="1:3" x14ac:dyDescent="0.25">
      <c r="A2532" s="52">
        <f t="shared" si="39"/>
        <v>45991</v>
      </c>
      <c r="B2532" s="53">
        <v>2531</v>
      </c>
      <c r="C2532" s="53">
        <v>33471.336300000003</v>
      </c>
    </row>
    <row r="2533" spans="1:3" x14ac:dyDescent="0.25">
      <c r="A2533" s="52">
        <f t="shared" si="39"/>
        <v>45992</v>
      </c>
      <c r="B2533" s="53">
        <v>2532</v>
      </c>
      <c r="C2533" s="53">
        <v>33475.109100000001</v>
      </c>
    </row>
    <row r="2534" spans="1:3" x14ac:dyDescent="0.25">
      <c r="A2534" s="52">
        <f t="shared" si="39"/>
        <v>45993</v>
      </c>
      <c r="B2534" s="53">
        <v>2533</v>
      </c>
      <c r="C2534" s="53">
        <v>33478.882400000002</v>
      </c>
    </row>
    <row r="2535" spans="1:3" x14ac:dyDescent="0.25">
      <c r="A2535" s="52">
        <f t="shared" si="39"/>
        <v>45994</v>
      </c>
      <c r="B2535" s="53">
        <v>2534</v>
      </c>
      <c r="C2535" s="53">
        <v>33482.6561</v>
      </c>
    </row>
    <row r="2536" spans="1:3" x14ac:dyDescent="0.25">
      <c r="A2536" s="52">
        <f t="shared" si="39"/>
        <v>45995</v>
      </c>
      <c r="B2536" s="53">
        <v>2535</v>
      </c>
      <c r="C2536" s="53">
        <v>33486.430200000003</v>
      </c>
    </row>
    <row r="2537" spans="1:3" x14ac:dyDescent="0.25">
      <c r="A2537" s="52">
        <f t="shared" si="39"/>
        <v>45996</v>
      </c>
      <c r="B2537" s="53">
        <v>2536</v>
      </c>
      <c r="C2537" s="53">
        <v>33490.204700000002</v>
      </c>
    </row>
    <row r="2538" spans="1:3" x14ac:dyDescent="0.25">
      <c r="A2538" s="52">
        <f t="shared" si="39"/>
        <v>45997</v>
      </c>
      <c r="B2538" s="53">
        <v>2537</v>
      </c>
      <c r="C2538" s="53">
        <v>33493.979700000004</v>
      </c>
    </row>
    <row r="2539" spans="1:3" x14ac:dyDescent="0.25">
      <c r="A2539" s="52">
        <f t="shared" si="39"/>
        <v>45998</v>
      </c>
      <c r="B2539" s="53">
        <v>2538</v>
      </c>
      <c r="C2539" s="53">
        <v>33497.755100000002</v>
      </c>
    </row>
    <row r="2540" spans="1:3" x14ac:dyDescent="0.25">
      <c r="A2540" s="52">
        <f t="shared" si="39"/>
        <v>45999</v>
      </c>
      <c r="B2540" s="53">
        <v>2539</v>
      </c>
      <c r="C2540" s="53">
        <v>33501.530899999998</v>
      </c>
    </row>
    <row r="2541" spans="1:3" x14ac:dyDescent="0.25">
      <c r="A2541" s="52">
        <f t="shared" si="39"/>
        <v>46000</v>
      </c>
      <c r="B2541" s="53">
        <v>2540</v>
      </c>
      <c r="C2541" s="53">
        <v>33505.307200000003</v>
      </c>
    </row>
    <row r="2542" spans="1:3" x14ac:dyDescent="0.25">
      <c r="A2542" s="52">
        <f t="shared" si="39"/>
        <v>46001</v>
      </c>
      <c r="B2542" s="53">
        <v>2541</v>
      </c>
      <c r="C2542" s="53">
        <v>33506.191899999998</v>
      </c>
    </row>
    <row r="2543" spans="1:3" x14ac:dyDescent="0.25">
      <c r="A2543" s="52">
        <f t="shared" si="39"/>
        <v>46002</v>
      </c>
      <c r="B2543" s="53">
        <v>2542</v>
      </c>
      <c r="C2543" s="53">
        <v>33507.076699999998</v>
      </c>
    </row>
    <row r="2544" spans="1:3" x14ac:dyDescent="0.25">
      <c r="A2544" s="52">
        <f t="shared" si="39"/>
        <v>46003</v>
      </c>
      <c r="B2544" s="53">
        <v>2543</v>
      </c>
      <c r="C2544" s="53">
        <v>33507.961499999998</v>
      </c>
    </row>
    <row r="2545" spans="1:3" x14ac:dyDescent="0.25">
      <c r="A2545" s="52">
        <f t="shared" si="39"/>
        <v>46004</v>
      </c>
      <c r="B2545" s="53">
        <v>2544</v>
      </c>
      <c r="C2545" s="53">
        <v>33508.846299999997</v>
      </c>
    </row>
    <row r="2546" spans="1:3" x14ac:dyDescent="0.25">
      <c r="A2546" s="52">
        <f t="shared" si="39"/>
        <v>46005</v>
      </c>
      <c r="B2546" s="53">
        <v>2545</v>
      </c>
      <c r="C2546" s="53">
        <v>33509.731200000002</v>
      </c>
    </row>
    <row r="2547" spans="1:3" x14ac:dyDescent="0.25">
      <c r="A2547" s="52">
        <f t="shared" si="39"/>
        <v>46006</v>
      </c>
      <c r="B2547" s="53">
        <v>2546</v>
      </c>
      <c r="C2547" s="53">
        <v>33510.616099999999</v>
      </c>
    </row>
    <row r="2548" spans="1:3" x14ac:dyDescent="0.25">
      <c r="A2548" s="52">
        <f t="shared" si="39"/>
        <v>46007</v>
      </c>
      <c r="B2548" s="53">
        <v>2547</v>
      </c>
      <c r="C2548" s="53">
        <v>33511.500999999997</v>
      </c>
    </row>
    <row r="2549" spans="1:3" x14ac:dyDescent="0.25">
      <c r="A2549" s="52">
        <f t="shared" si="39"/>
        <v>46008</v>
      </c>
      <c r="B2549" s="53">
        <v>2548</v>
      </c>
      <c r="C2549" s="53">
        <v>33512.385900000001</v>
      </c>
    </row>
    <row r="2550" spans="1:3" x14ac:dyDescent="0.25">
      <c r="A2550" s="52">
        <f t="shared" si="39"/>
        <v>46009</v>
      </c>
      <c r="B2550" s="53">
        <v>2549</v>
      </c>
      <c r="C2550" s="53">
        <v>33513.270799999998</v>
      </c>
    </row>
    <row r="2551" spans="1:3" x14ac:dyDescent="0.25">
      <c r="A2551" s="52">
        <f t="shared" si="39"/>
        <v>46010</v>
      </c>
      <c r="B2551" s="53">
        <v>2550</v>
      </c>
      <c r="C2551" s="53">
        <v>33514.1558</v>
      </c>
    </row>
    <row r="2552" spans="1:3" x14ac:dyDescent="0.25">
      <c r="A2552" s="52">
        <f t="shared" si="39"/>
        <v>46011</v>
      </c>
      <c r="B2552" s="53">
        <v>2551</v>
      </c>
      <c r="C2552" s="53">
        <v>33515.040800000002</v>
      </c>
    </row>
    <row r="2553" spans="1:3" x14ac:dyDescent="0.25">
      <c r="A2553" s="52">
        <f t="shared" si="39"/>
        <v>46012</v>
      </c>
      <c r="B2553" s="53">
        <v>2552</v>
      </c>
      <c r="C2553" s="53">
        <v>33515.925799999997</v>
      </c>
    </row>
    <row r="2554" spans="1:3" x14ac:dyDescent="0.25">
      <c r="A2554" s="52">
        <f t="shared" si="39"/>
        <v>46013</v>
      </c>
      <c r="B2554" s="53">
        <v>2553</v>
      </c>
      <c r="C2554" s="53">
        <v>33516.810899999997</v>
      </c>
    </row>
    <row r="2555" spans="1:3" x14ac:dyDescent="0.25">
      <c r="A2555" s="52">
        <f t="shared" si="39"/>
        <v>46014</v>
      </c>
      <c r="B2555" s="53">
        <v>2554</v>
      </c>
      <c r="C2555" s="53">
        <v>33517.695899999999</v>
      </c>
    </row>
    <row r="2556" spans="1:3" x14ac:dyDescent="0.25">
      <c r="A2556" s="52">
        <f t="shared" si="39"/>
        <v>46015</v>
      </c>
      <c r="B2556" s="53">
        <v>2555</v>
      </c>
      <c r="C2556" s="53">
        <v>33518.580999999998</v>
      </c>
    </row>
    <row r="2557" spans="1:3" x14ac:dyDescent="0.25">
      <c r="A2557" s="52">
        <f t="shared" si="39"/>
        <v>46016</v>
      </c>
      <c r="B2557" s="53">
        <v>2556</v>
      </c>
      <c r="C2557" s="53">
        <v>33519.466099999998</v>
      </c>
    </row>
    <row r="2558" spans="1:3" x14ac:dyDescent="0.25">
      <c r="A2558" s="52">
        <f t="shared" si="39"/>
        <v>46017</v>
      </c>
      <c r="B2558" s="53">
        <v>2557</v>
      </c>
      <c r="C2558" s="53">
        <v>33520.351300000002</v>
      </c>
    </row>
    <row r="2559" spans="1:3" x14ac:dyDescent="0.25">
      <c r="A2559" s="52">
        <f t="shared" si="39"/>
        <v>46018</v>
      </c>
      <c r="B2559" s="53">
        <v>2558</v>
      </c>
      <c r="C2559" s="53">
        <v>33521.236400000002</v>
      </c>
    </row>
    <row r="2560" spans="1:3" x14ac:dyDescent="0.25">
      <c r="A2560" s="52">
        <f t="shared" si="39"/>
        <v>46019</v>
      </c>
      <c r="B2560" s="53">
        <v>2559</v>
      </c>
      <c r="C2560" s="53">
        <v>33522.121599999999</v>
      </c>
    </row>
    <row r="2561" spans="1:3" x14ac:dyDescent="0.25">
      <c r="A2561" s="52">
        <f t="shared" si="39"/>
        <v>46020</v>
      </c>
      <c r="B2561" s="53">
        <v>2560</v>
      </c>
      <c r="C2561" s="53">
        <v>33523.006800000003</v>
      </c>
    </row>
    <row r="2562" spans="1:3" x14ac:dyDescent="0.25">
      <c r="A2562" s="52">
        <f t="shared" ref="A2562:A2625" si="40">+$G$4+B2562</f>
        <v>46021</v>
      </c>
      <c r="B2562" s="53">
        <v>2561</v>
      </c>
      <c r="C2562" s="53">
        <v>33523.892</v>
      </c>
    </row>
    <row r="2563" spans="1:3" x14ac:dyDescent="0.25">
      <c r="A2563" s="52">
        <f t="shared" si="40"/>
        <v>46022</v>
      </c>
      <c r="B2563" s="53">
        <v>2562</v>
      </c>
      <c r="C2563" s="53">
        <v>33524.777300000002</v>
      </c>
    </row>
    <row r="2564" spans="1:3" x14ac:dyDescent="0.25">
      <c r="A2564" s="52">
        <f t="shared" si="40"/>
        <v>46023</v>
      </c>
      <c r="B2564" s="53">
        <v>2563</v>
      </c>
      <c r="C2564" s="53">
        <v>33525.662600000003</v>
      </c>
    </row>
    <row r="2565" spans="1:3" x14ac:dyDescent="0.25">
      <c r="A2565" s="52">
        <f t="shared" si="40"/>
        <v>46024</v>
      </c>
      <c r="B2565" s="53">
        <v>2564</v>
      </c>
      <c r="C2565" s="53">
        <v>33526.547899999998</v>
      </c>
    </row>
    <row r="2566" spans="1:3" x14ac:dyDescent="0.25">
      <c r="A2566" s="52">
        <f t="shared" si="40"/>
        <v>46025</v>
      </c>
      <c r="B2566" s="53">
        <v>2565</v>
      </c>
      <c r="C2566" s="53">
        <v>33527.433199999999</v>
      </c>
    </row>
    <row r="2567" spans="1:3" x14ac:dyDescent="0.25">
      <c r="A2567" s="52">
        <f t="shared" si="40"/>
        <v>46026</v>
      </c>
      <c r="B2567" s="53">
        <v>2566</v>
      </c>
      <c r="C2567" s="53">
        <v>33528.318500000001</v>
      </c>
    </row>
    <row r="2568" spans="1:3" x14ac:dyDescent="0.25">
      <c r="A2568" s="52">
        <f t="shared" si="40"/>
        <v>46027</v>
      </c>
      <c r="B2568" s="53">
        <v>2567</v>
      </c>
      <c r="C2568" s="53">
        <v>33529.2039</v>
      </c>
    </row>
    <row r="2569" spans="1:3" x14ac:dyDescent="0.25">
      <c r="A2569" s="52">
        <f t="shared" si="40"/>
        <v>46028</v>
      </c>
      <c r="B2569" s="53">
        <v>2568</v>
      </c>
      <c r="C2569" s="53">
        <v>33530.0893</v>
      </c>
    </row>
    <row r="2570" spans="1:3" x14ac:dyDescent="0.25">
      <c r="A2570" s="52">
        <f t="shared" si="40"/>
        <v>46029</v>
      </c>
      <c r="B2570" s="53">
        <v>2569</v>
      </c>
      <c r="C2570" s="53">
        <v>33530.974699999999</v>
      </c>
    </row>
    <row r="2571" spans="1:3" x14ac:dyDescent="0.25">
      <c r="A2571" s="52">
        <f t="shared" si="40"/>
        <v>46030</v>
      </c>
      <c r="B2571" s="53">
        <v>2570</v>
      </c>
      <c r="C2571" s="53">
        <v>33531.860099999998</v>
      </c>
    </row>
    <row r="2572" spans="1:3" x14ac:dyDescent="0.25">
      <c r="A2572" s="52">
        <f t="shared" si="40"/>
        <v>46031</v>
      </c>
      <c r="B2572" s="53">
        <v>2571</v>
      </c>
      <c r="C2572" s="53">
        <v>33532.745600000002</v>
      </c>
    </row>
    <row r="2573" spans="1:3" x14ac:dyDescent="0.25">
      <c r="A2573" s="52">
        <f t="shared" si="40"/>
        <v>46032</v>
      </c>
      <c r="B2573" s="53">
        <v>2572</v>
      </c>
      <c r="C2573" s="53">
        <v>33533.681400000001</v>
      </c>
    </row>
    <row r="2574" spans="1:3" x14ac:dyDescent="0.25">
      <c r="A2574" s="52">
        <f t="shared" si="40"/>
        <v>46033</v>
      </c>
      <c r="B2574" s="53">
        <v>2573</v>
      </c>
      <c r="C2574" s="53">
        <v>33534.617299999998</v>
      </c>
    </row>
    <row r="2575" spans="1:3" x14ac:dyDescent="0.25">
      <c r="A2575" s="52">
        <f t="shared" si="40"/>
        <v>46034</v>
      </c>
      <c r="B2575" s="53">
        <v>2574</v>
      </c>
      <c r="C2575" s="53">
        <v>33535.553200000002</v>
      </c>
    </row>
    <row r="2576" spans="1:3" x14ac:dyDescent="0.25">
      <c r="A2576" s="52">
        <f t="shared" si="40"/>
        <v>46035</v>
      </c>
      <c r="B2576" s="53">
        <v>2575</v>
      </c>
      <c r="C2576" s="53">
        <v>33536.489099999999</v>
      </c>
    </row>
    <row r="2577" spans="1:3" x14ac:dyDescent="0.25">
      <c r="A2577" s="52">
        <f t="shared" si="40"/>
        <v>46036</v>
      </c>
      <c r="B2577" s="53">
        <v>2576</v>
      </c>
      <c r="C2577" s="53">
        <v>33537.425000000003</v>
      </c>
    </row>
    <row r="2578" spans="1:3" x14ac:dyDescent="0.25">
      <c r="A2578" s="52">
        <f t="shared" si="40"/>
        <v>46037</v>
      </c>
      <c r="B2578" s="53">
        <v>2577</v>
      </c>
      <c r="C2578" s="53">
        <v>33538.360999999997</v>
      </c>
    </row>
    <row r="2579" spans="1:3" x14ac:dyDescent="0.25">
      <c r="A2579" s="52">
        <f t="shared" si="40"/>
        <v>46038</v>
      </c>
      <c r="B2579" s="53">
        <v>2578</v>
      </c>
      <c r="C2579" s="53">
        <v>33539.296999999999</v>
      </c>
    </row>
    <row r="2580" spans="1:3" x14ac:dyDescent="0.25">
      <c r="A2580" s="52">
        <f t="shared" si="40"/>
        <v>46039</v>
      </c>
      <c r="B2580" s="53">
        <v>2579</v>
      </c>
      <c r="C2580" s="53">
        <v>33540.233</v>
      </c>
    </row>
    <row r="2581" spans="1:3" x14ac:dyDescent="0.25">
      <c r="A2581" s="52">
        <f t="shared" si="40"/>
        <v>46040</v>
      </c>
      <c r="B2581" s="53">
        <v>2580</v>
      </c>
      <c r="C2581" s="53">
        <v>33541.169000000002</v>
      </c>
    </row>
    <row r="2582" spans="1:3" x14ac:dyDescent="0.25">
      <c r="A2582" s="52">
        <f t="shared" si="40"/>
        <v>46041</v>
      </c>
      <c r="B2582" s="53">
        <v>2581</v>
      </c>
      <c r="C2582" s="53">
        <v>33542.105100000001</v>
      </c>
    </row>
    <row r="2583" spans="1:3" x14ac:dyDescent="0.25">
      <c r="A2583" s="52">
        <f t="shared" si="40"/>
        <v>46042</v>
      </c>
      <c r="B2583" s="53">
        <v>2582</v>
      </c>
      <c r="C2583" s="53">
        <v>33543.0412</v>
      </c>
    </row>
    <row r="2584" spans="1:3" x14ac:dyDescent="0.25">
      <c r="A2584" s="52">
        <f t="shared" si="40"/>
        <v>46043</v>
      </c>
      <c r="B2584" s="53">
        <v>2583</v>
      </c>
      <c r="C2584" s="53">
        <v>33543.977299999999</v>
      </c>
    </row>
    <row r="2585" spans="1:3" x14ac:dyDescent="0.25">
      <c r="A2585" s="52">
        <f t="shared" si="40"/>
        <v>46044</v>
      </c>
      <c r="B2585" s="53">
        <v>2584</v>
      </c>
      <c r="C2585" s="53">
        <v>33544.913399999998</v>
      </c>
    </row>
    <row r="2586" spans="1:3" x14ac:dyDescent="0.25">
      <c r="A2586" s="52">
        <f t="shared" si="40"/>
        <v>46045</v>
      </c>
      <c r="B2586" s="53">
        <v>2585</v>
      </c>
      <c r="C2586" s="53">
        <v>33545.849600000001</v>
      </c>
    </row>
    <row r="2587" spans="1:3" x14ac:dyDescent="0.25">
      <c r="A2587" s="52">
        <f t="shared" si="40"/>
        <v>46046</v>
      </c>
      <c r="B2587" s="53">
        <v>2586</v>
      </c>
      <c r="C2587" s="53">
        <v>33546.785799999998</v>
      </c>
    </row>
    <row r="2588" spans="1:3" x14ac:dyDescent="0.25">
      <c r="A2588" s="52">
        <f t="shared" si="40"/>
        <v>46047</v>
      </c>
      <c r="B2588" s="53">
        <v>2587</v>
      </c>
      <c r="C2588" s="53">
        <v>33547.722000000002</v>
      </c>
    </row>
    <row r="2589" spans="1:3" x14ac:dyDescent="0.25">
      <c r="A2589" s="52">
        <f t="shared" si="40"/>
        <v>46048</v>
      </c>
      <c r="B2589" s="53">
        <v>2588</v>
      </c>
      <c r="C2589" s="53">
        <v>33548.658300000003</v>
      </c>
    </row>
    <row r="2590" spans="1:3" x14ac:dyDescent="0.25">
      <c r="A2590" s="52">
        <f t="shared" si="40"/>
        <v>46049</v>
      </c>
      <c r="B2590" s="53">
        <v>2589</v>
      </c>
      <c r="C2590" s="53">
        <v>33549.594499999999</v>
      </c>
    </row>
    <row r="2591" spans="1:3" x14ac:dyDescent="0.25">
      <c r="A2591" s="52">
        <f t="shared" si="40"/>
        <v>46050</v>
      </c>
      <c r="B2591" s="53">
        <v>2590</v>
      </c>
      <c r="C2591" s="53">
        <v>33550.5308</v>
      </c>
    </row>
    <row r="2592" spans="1:3" x14ac:dyDescent="0.25">
      <c r="A2592" s="52">
        <f t="shared" si="40"/>
        <v>46051</v>
      </c>
      <c r="B2592" s="53">
        <v>2591</v>
      </c>
      <c r="C2592" s="53">
        <v>33551.467199999999</v>
      </c>
    </row>
    <row r="2593" spans="1:3" x14ac:dyDescent="0.25">
      <c r="A2593" s="52">
        <f t="shared" si="40"/>
        <v>46052</v>
      </c>
      <c r="B2593" s="53">
        <v>2592</v>
      </c>
      <c r="C2593" s="53">
        <v>33552.4035</v>
      </c>
    </row>
    <row r="2594" spans="1:3" x14ac:dyDescent="0.25">
      <c r="A2594" s="52">
        <f t="shared" si="40"/>
        <v>46053</v>
      </c>
      <c r="B2594" s="53">
        <v>2593</v>
      </c>
      <c r="C2594" s="53">
        <v>33553.339899999999</v>
      </c>
    </row>
    <row r="2595" spans="1:3" x14ac:dyDescent="0.25">
      <c r="A2595" s="52">
        <f t="shared" si="40"/>
        <v>46054</v>
      </c>
      <c r="B2595" s="53">
        <v>2594</v>
      </c>
      <c r="C2595" s="53">
        <v>33554.276299999998</v>
      </c>
    </row>
    <row r="2596" spans="1:3" x14ac:dyDescent="0.25">
      <c r="A2596" s="52">
        <f t="shared" si="40"/>
        <v>46055</v>
      </c>
      <c r="B2596" s="53">
        <v>2595</v>
      </c>
      <c r="C2596" s="53">
        <v>33555.212699999996</v>
      </c>
    </row>
    <row r="2597" spans="1:3" x14ac:dyDescent="0.25">
      <c r="A2597" s="52">
        <f t="shared" si="40"/>
        <v>46056</v>
      </c>
      <c r="B2597" s="53">
        <v>2596</v>
      </c>
      <c r="C2597" s="53">
        <v>33556.1492</v>
      </c>
    </row>
    <row r="2598" spans="1:3" x14ac:dyDescent="0.25">
      <c r="A2598" s="52">
        <f t="shared" si="40"/>
        <v>46057</v>
      </c>
      <c r="B2598" s="53">
        <v>2597</v>
      </c>
      <c r="C2598" s="53">
        <v>33557.085700000003</v>
      </c>
    </row>
    <row r="2599" spans="1:3" x14ac:dyDescent="0.25">
      <c r="A2599" s="52">
        <f t="shared" si="40"/>
        <v>46058</v>
      </c>
      <c r="B2599" s="53">
        <v>2598</v>
      </c>
      <c r="C2599" s="53">
        <v>33558.022199999999</v>
      </c>
    </row>
    <row r="2600" spans="1:3" x14ac:dyDescent="0.25">
      <c r="A2600" s="52">
        <f t="shared" si="40"/>
        <v>46059</v>
      </c>
      <c r="B2600" s="53">
        <v>2599</v>
      </c>
      <c r="C2600" s="53">
        <v>33558.958700000003</v>
      </c>
    </row>
    <row r="2601" spans="1:3" x14ac:dyDescent="0.25">
      <c r="A2601" s="52">
        <f t="shared" si="40"/>
        <v>46060</v>
      </c>
      <c r="B2601" s="53">
        <v>2600</v>
      </c>
      <c r="C2601" s="53">
        <v>33559.895299999996</v>
      </c>
    </row>
    <row r="2602" spans="1:3" x14ac:dyDescent="0.25">
      <c r="A2602" s="52">
        <f t="shared" si="40"/>
        <v>46061</v>
      </c>
      <c r="B2602" s="53">
        <v>2601</v>
      </c>
      <c r="C2602" s="53">
        <v>33560.831899999997</v>
      </c>
    </row>
    <row r="2603" spans="1:3" x14ac:dyDescent="0.25">
      <c r="A2603" s="52">
        <f t="shared" si="40"/>
        <v>46062</v>
      </c>
      <c r="B2603" s="53">
        <v>2602</v>
      </c>
      <c r="C2603" s="53">
        <v>33561.768499999998</v>
      </c>
    </row>
    <row r="2604" spans="1:3" x14ac:dyDescent="0.25">
      <c r="A2604" s="52">
        <f t="shared" si="40"/>
        <v>46063</v>
      </c>
      <c r="B2604" s="53">
        <v>2603</v>
      </c>
      <c r="C2604" s="53">
        <v>33565.2667</v>
      </c>
    </row>
    <row r="2605" spans="1:3" x14ac:dyDescent="0.25">
      <c r="A2605" s="52">
        <f t="shared" si="40"/>
        <v>46064</v>
      </c>
      <c r="B2605" s="53">
        <v>2604</v>
      </c>
      <c r="C2605" s="53">
        <v>33568.765299999999</v>
      </c>
    </row>
    <row r="2606" spans="1:3" x14ac:dyDescent="0.25">
      <c r="A2606" s="52">
        <f t="shared" si="40"/>
        <v>46065</v>
      </c>
      <c r="B2606" s="53">
        <v>2605</v>
      </c>
      <c r="C2606" s="53">
        <v>33572.264199999998</v>
      </c>
    </row>
    <row r="2607" spans="1:3" x14ac:dyDescent="0.25">
      <c r="A2607" s="52">
        <f t="shared" si="40"/>
        <v>46066</v>
      </c>
      <c r="B2607" s="53">
        <v>2606</v>
      </c>
      <c r="C2607" s="53">
        <v>33575.763599999998</v>
      </c>
    </row>
    <row r="2608" spans="1:3" x14ac:dyDescent="0.25">
      <c r="A2608" s="52">
        <f t="shared" si="40"/>
        <v>46067</v>
      </c>
      <c r="B2608" s="53">
        <v>2607</v>
      </c>
      <c r="C2608" s="53">
        <v>33579.263200000001</v>
      </c>
    </row>
    <row r="2609" spans="1:3" x14ac:dyDescent="0.25">
      <c r="A2609" s="52">
        <f t="shared" si="40"/>
        <v>46068</v>
      </c>
      <c r="B2609" s="53">
        <v>2608</v>
      </c>
      <c r="C2609" s="53">
        <v>33582.763299999999</v>
      </c>
    </row>
    <row r="2610" spans="1:3" x14ac:dyDescent="0.25">
      <c r="A2610" s="52">
        <f t="shared" si="40"/>
        <v>46069</v>
      </c>
      <c r="B2610" s="53">
        <v>2609</v>
      </c>
      <c r="C2610" s="53">
        <v>33586.263700000003</v>
      </c>
    </row>
    <row r="2611" spans="1:3" x14ac:dyDescent="0.25">
      <c r="A2611" s="52">
        <f t="shared" si="40"/>
        <v>46070</v>
      </c>
      <c r="B2611" s="53">
        <v>2610</v>
      </c>
      <c r="C2611" s="53">
        <v>33589.764499999997</v>
      </c>
    </row>
    <row r="2612" spans="1:3" x14ac:dyDescent="0.25">
      <c r="A2612" s="52">
        <f t="shared" si="40"/>
        <v>46071</v>
      </c>
      <c r="B2612" s="53">
        <v>2611</v>
      </c>
      <c r="C2612" s="53">
        <v>33593.265599999999</v>
      </c>
    </row>
    <row r="2613" spans="1:3" x14ac:dyDescent="0.25">
      <c r="A2613" s="52">
        <f t="shared" si="40"/>
        <v>46072</v>
      </c>
      <c r="B2613" s="53">
        <v>2612</v>
      </c>
      <c r="C2613" s="53">
        <v>33596.767099999997</v>
      </c>
    </row>
    <row r="2614" spans="1:3" x14ac:dyDescent="0.25">
      <c r="A2614" s="52">
        <f t="shared" si="40"/>
        <v>46073</v>
      </c>
      <c r="B2614" s="53">
        <v>2613</v>
      </c>
      <c r="C2614" s="53">
        <v>33600.269</v>
      </c>
    </row>
    <row r="2615" spans="1:3" x14ac:dyDescent="0.25">
      <c r="A2615" s="52">
        <f t="shared" si="40"/>
        <v>46074</v>
      </c>
      <c r="B2615" s="53">
        <v>2614</v>
      </c>
      <c r="C2615" s="53">
        <v>33603.771200000003</v>
      </c>
    </row>
    <row r="2616" spans="1:3" x14ac:dyDescent="0.25">
      <c r="A2616" s="52">
        <f t="shared" si="40"/>
        <v>46075</v>
      </c>
      <c r="B2616" s="53">
        <v>2615</v>
      </c>
      <c r="C2616" s="53">
        <v>33607.2739</v>
      </c>
    </row>
    <row r="2617" spans="1:3" x14ac:dyDescent="0.25">
      <c r="A2617" s="52">
        <f t="shared" si="40"/>
        <v>46076</v>
      </c>
      <c r="B2617" s="53">
        <v>2616</v>
      </c>
      <c r="C2617" s="53">
        <v>33610.7768</v>
      </c>
    </row>
    <row r="2618" spans="1:3" x14ac:dyDescent="0.25">
      <c r="A2618" s="52">
        <f t="shared" si="40"/>
        <v>46077</v>
      </c>
      <c r="B2618" s="53">
        <v>2617</v>
      </c>
      <c r="C2618" s="53">
        <v>33614.280200000001</v>
      </c>
    </row>
    <row r="2619" spans="1:3" x14ac:dyDescent="0.25">
      <c r="A2619" s="52">
        <f t="shared" si="40"/>
        <v>46078</v>
      </c>
      <c r="B2619" s="53">
        <v>2618</v>
      </c>
      <c r="C2619" s="53">
        <v>33617.783900000002</v>
      </c>
    </row>
    <row r="2620" spans="1:3" x14ac:dyDescent="0.25">
      <c r="A2620" s="52">
        <f t="shared" si="40"/>
        <v>46079</v>
      </c>
      <c r="B2620" s="53">
        <v>2619</v>
      </c>
      <c r="C2620" s="53">
        <v>33621.287900000003</v>
      </c>
    </row>
    <row r="2621" spans="1:3" x14ac:dyDescent="0.25">
      <c r="A2621" s="52">
        <f t="shared" si="40"/>
        <v>46080</v>
      </c>
      <c r="B2621" s="53">
        <v>2620</v>
      </c>
      <c r="C2621" s="53">
        <v>33624.792300000001</v>
      </c>
    </row>
    <row r="2622" spans="1:3" x14ac:dyDescent="0.25">
      <c r="A2622" s="52">
        <f t="shared" si="40"/>
        <v>46081</v>
      </c>
      <c r="B2622" s="53">
        <v>2621</v>
      </c>
      <c r="C2622" s="53">
        <v>33628.297100000003</v>
      </c>
    </row>
    <row r="2623" spans="1:3" x14ac:dyDescent="0.25">
      <c r="A2623" s="52">
        <f t="shared" si="40"/>
        <v>46082</v>
      </c>
      <c r="B2623" s="53">
        <v>2622</v>
      </c>
      <c r="C2623" s="53">
        <v>33631.802300000003</v>
      </c>
    </row>
    <row r="2624" spans="1:3" x14ac:dyDescent="0.25">
      <c r="A2624" s="52">
        <f t="shared" si="40"/>
        <v>46083</v>
      </c>
      <c r="B2624" s="53">
        <v>2623</v>
      </c>
      <c r="C2624" s="53">
        <v>33635.307800000002</v>
      </c>
    </row>
    <row r="2625" spans="1:3" x14ac:dyDescent="0.25">
      <c r="A2625" s="52">
        <f t="shared" si="40"/>
        <v>46084</v>
      </c>
      <c r="B2625" s="53">
        <v>2624</v>
      </c>
      <c r="C2625" s="53">
        <v>33638.813699999999</v>
      </c>
    </row>
    <row r="2626" spans="1:3" x14ac:dyDescent="0.25">
      <c r="A2626" s="52">
        <f t="shared" ref="A2626:A2689" si="41">+$G$4+B2626</f>
        <v>46085</v>
      </c>
      <c r="B2626" s="53">
        <v>2625</v>
      </c>
      <c r="C2626" s="53">
        <v>33642.32</v>
      </c>
    </row>
    <row r="2627" spans="1:3" x14ac:dyDescent="0.25">
      <c r="A2627" s="52">
        <f t="shared" si="41"/>
        <v>46086</v>
      </c>
      <c r="B2627" s="53">
        <v>2626</v>
      </c>
      <c r="C2627" s="53">
        <v>33645.8266</v>
      </c>
    </row>
    <row r="2628" spans="1:3" x14ac:dyDescent="0.25">
      <c r="A2628" s="52">
        <f t="shared" si="41"/>
        <v>46087</v>
      </c>
      <c r="B2628" s="53">
        <v>2627</v>
      </c>
      <c r="C2628" s="53">
        <v>33649.333599999998</v>
      </c>
    </row>
    <row r="2629" spans="1:3" x14ac:dyDescent="0.25">
      <c r="A2629" s="52">
        <f t="shared" si="41"/>
        <v>46088</v>
      </c>
      <c r="B2629" s="53">
        <v>2628</v>
      </c>
      <c r="C2629" s="53">
        <v>33652.840900000003</v>
      </c>
    </row>
    <row r="2630" spans="1:3" x14ac:dyDescent="0.25">
      <c r="A2630" s="52">
        <f t="shared" si="41"/>
        <v>46089</v>
      </c>
      <c r="B2630" s="53">
        <v>2629</v>
      </c>
      <c r="C2630" s="53">
        <v>33656.348599999998</v>
      </c>
    </row>
    <row r="2631" spans="1:3" x14ac:dyDescent="0.25">
      <c r="A2631" s="52">
        <f t="shared" si="41"/>
        <v>46090</v>
      </c>
      <c r="B2631" s="53">
        <v>2630</v>
      </c>
      <c r="C2631" s="53">
        <v>33659.856699999997</v>
      </c>
    </row>
    <row r="2632" spans="1:3" x14ac:dyDescent="0.25">
      <c r="A2632" s="52">
        <f t="shared" si="41"/>
        <v>46091</v>
      </c>
      <c r="B2632" s="53">
        <v>2631</v>
      </c>
      <c r="C2632" s="53">
        <v>33662.369899999998</v>
      </c>
    </row>
    <row r="2633" spans="1:3" x14ac:dyDescent="0.25">
      <c r="A2633" s="52">
        <f t="shared" si="41"/>
        <v>46092</v>
      </c>
      <c r="B2633" s="53">
        <v>2632</v>
      </c>
      <c r="C2633" s="53">
        <v>33664.883300000001</v>
      </c>
    </row>
    <row r="2634" spans="1:3" x14ac:dyDescent="0.25">
      <c r="A2634" s="52">
        <f t="shared" si="41"/>
        <v>46093</v>
      </c>
      <c r="B2634" s="53">
        <v>2633</v>
      </c>
      <c r="C2634" s="53">
        <v>33667.3969</v>
      </c>
    </row>
    <row r="2635" spans="1:3" x14ac:dyDescent="0.25">
      <c r="A2635" s="52">
        <f t="shared" si="41"/>
        <v>46094</v>
      </c>
      <c r="B2635" s="53">
        <v>2634</v>
      </c>
      <c r="C2635" s="53">
        <v>33669.910600000003</v>
      </c>
    </row>
    <row r="2636" spans="1:3" x14ac:dyDescent="0.25">
      <c r="A2636" s="52">
        <f t="shared" si="41"/>
        <v>46095</v>
      </c>
      <c r="B2636" s="53">
        <v>2635</v>
      </c>
      <c r="C2636" s="53">
        <v>33672.424599999998</v>
      </c>
    </row>
    <row r="2637" spans="1:3" x14ac:dyDescent="0.25">
      <c r="A2637" s="52">
        <f t="shared" si="41"/>
        <v>46096</v>
      </c>
      <c r="B2637" s="53">
        <v>2636</v>
      </c>
      <c r="C2637" s="53">
        <v>33674.938699999999</v>
      </c>
    </row>
    <row r="2638" spans="1:3" x14ac:dyDescent="0.25">
      <c r="A2638" s="52">
        <f t="shared" si="41"/>
        <v>46097</v>
      </c>
      <c r="B2638" s="53">
        <v>2637</v>
      </c>
      <c r="C2638" s="53">
        <v>33677.453000000001</v>
      </c>
    </row>
    <row r="2639" spans="1:3" x14ac:dyDescent="0.25">
      <c r="A2639" s="52">
        <f t="shared" si="41"/>
        <v>46098</v>
      </c>
      <c r="B2639" s="53">
        <v>2638</v>
      </c>
      <c r="C2639" s="53">
        <v>33679.967499999999</v>
      </c>
    </row>
    <row r="2640" spans="1:3" x14ac:dyDescent="0.25">
      <c r="A2640" s="52">
        <f t="shared" si="41"/>
        <v>46099</v>
      </c>
      <c r="B2640" s="53">
        <v>2639</v>
      </c>
      <c r="C2640" s="53">
        <v>33682.482199999999</v>
      </c>
    </row>
    <row r="2641" spans="1:3" x14ac:dyDescent="0.25">
      <c r="A2641" s="52">
        <f t="shared" si="41"/>
        <v>46100</v>
      </c>
      <c r="B2641" s="53">
        <v>2640</v>
      </c>
      <c r="C2641" s="53">
        <v>33684.997100000001</v>
      </c>
    </row>
    <row r="2642" spans="1:3" x14ac:dyDescent="0.25">
      <c r="A2642" s="52">
        <f t="shared" si="41"/>
        <v>46101</v>
      </c>
      <c r="B2642" s="53">
        <v>2641</v>
      </c>
      <c r="C2642" s="53">
        <v>33687.512199999997</v>
      </c>
    </row>
    <row r="2643" spans="1:3" x14ac:dyDescent="0.25">
      <c r="A2643" s="52">
        <f t="shared" si="41"/>
        <v>46102</v>
      </c>
      <c r="B2643" s="53">
        <v>2642</v>
      </c>
      <c r="C2643" s="53">
        <v>33690.027399999999</v>
      </c>
    </row>
    <row r="2644" spans="1:3" x14ac:dyDescent="0.25">
      <c r="A2644" s="52">
        <f t="shared" si="41"/>
        <v>46103</v>
      </c>
      <c r="B2644" s="53">
        <v>2643</v>
      </c>
      <c r="C2644" s="53">
        <v>33692.5429</v>
      </c>
    </row>
    <row r="2645" spans="1:3" x14ac:dyDescent="0.25">
      <c r="A2645" s="52">
        <f t="shared" si="41"/>
        <v>46104</v>
      </c>
      <c r="B2645" s="53">
        <v>2644</v>
      </c>
      <c r="C2645" s="53">
        <v>33695.058499999999</v>
      </c>
    </row>
    <row r="2646" spans="1:3" x14ac:dyDescent="0.25">
      <c r="A2646" s="52">
        <f t="shared" si="41"/>
        <v>46105</v>
      </c>
      <c r="B2646" s="53">
        <v>2645</v>
      </c>
      <c r="C2646" s="53">
        <v>33697.5743</v>
      </c>
    </row>
    <row r="2647" spans="1:3" x14ac:dyDescent="0.25">
      <c r="A2647" s="52">
        <f t="shared" si="41"/>
        <v>46106</v>
      </c>
      <c r="B2647" s="53">
        <v>2646</v>
      </c>
      <c r="C2647" s="53">
        <v>33700.090300000003</v>
      </c>
    </row>
    <row r="2648" spans="1:3" x14ac:dyDescent="0.25">
      <c r="A2648" s="52">
        <f t="shared" si="41"/>
        <v>46107</v>
      </c>
      <c r="B2648" s="53">
        <v>2647</v>
      </c>
      <c r="C2648" s="53">
        <v>33702.606500000002</v>
      </c>
    </row>
    <row r="2649" spans="1:3" x14ac:dyDescent="0.25">
      <c r="A2649" s="52">
        <f t="shared" si="41"/>
        <v>46108</v>
      </c>
      <c r="B2649" s="53">
        <v>2648</v>
      </c>
      <c r="C2649" s="53">
        <v>33705.122900000002</v>
      </c>
    </row>
    <row r="2650" spans="1:3" x14ac:dyDescent="0.25">
      <c r="A2650" s="52">
        <f t="shared" si="41"/>
        <v>46109</v>
      </c>
      <c r="B2650" s="53">
        <v>2649</v>
      </c>
      <c r="C2650" s="53">
        <v>33707.639499999997</v>
      </c>
    </row>
    <row r="2651" spans="1:3" x14ac:dyDescent="0.25">
      <c r="A2651" s="52">
        <f t="shared" si="41"/>
        <v>46110</v>
      </c>
      <c r="B2651" s="53">
        <v>2650</v>
      </c>
      <c r="C2651" s="53">
        <v>33710.156199999998</v>
      </c>
    </row>
    <row r="2652" spans="1:3" x14ac:dyDescent="0.25">
      <c r="A2652" s="52">
        <f t="shared" si="41"/>
        <v>46111</v>
      </c>
      <c r="B2652" s="53">
        <v>2651</v>
      </c>
      <c r="C2652" s="53">
        <v>33712.673199999997</v>
      </c>
    </row>
    <row r="2653" spans="1:3" x14ac:dyDescent="0.25">
      <c r="A2653" s="52">
        <f t="shared" si="41"/>
        <v>46112</v>
      </c>
      <c r="B2653" s="53">
        <v>2652</v>
      </c>
      <c r="C2653" s="53">
        <v>33715.190300000002</v>
      </c>
    </row>
    <row r="2654" spans="1:3" x14ac:dyDescent="0.25">
      <c r="A2654" s="52">
        <f t="shared" si="41"/>
        <v>46113</v>
      </c>
      <c r="B2654" s="53">
        <v>2653</v>
      </c>
      <c r="C2654" s="53">
        <v>33717.707600000002</v>
      </c>
    </row>
    <row r="2655" spans="1:3" x14ac:dyDescent="0.25">
      <c r="A2655" s="52">
        <f t="shared" si="41"/>
        <v>46114</v>
      </c>
      <c r="B2655" s="53">
        <v>2654</v>
      </c>
      <c r="C2655" s="53">
        <v>33720.225200000001</v>
      </c>
    </row>
    <row r="2656" spans="1:3" x14ac:dyDescent="0.25">
      <c r="A2656" s="52">
        <f t="shared" si="41"/>
        <v>46115</v>
      </c>
      <c r="B2656" s="53">
        <v>2655</v>
      </c>
      <c r="C2656" s="53">
        <v>33722.742899999997</v>
      </c>
    </row>
    <row r="2657" spans="1:3" x14ac:dyDescent="0.25">
      <c r="A2657" s="52">
        <f t="shared" si="41"/>
        <v>46116</v>
      </c>
      <c r="B2657" s="53">
        <v>2656</v>
      </c>
      <c r="C2657" s="53">
        <v>33725.260699999999</v>
      </c>
    </row>
    <row r="2658" spans="1:3" x14ac:dyDescent="0.25">
      <c r="A2658" s="52">
        <f t="shared" si="41"/>
        <v>46117</v>
      </c>
      <c r="B2658" s="53">
        <v>2657</v>
      </c>
      <c r="C2658" s="53">
        <v>33727.7788</v>
      </c>
    </row>
    <row r="2659" spans="1:3" x14ac:dyDescent="0.25">
      <c r="A2659" s="52">
        <f t="shared" si="41"/>
        <v>46118</v>
      </c>
      <c r="B2659" s="53">
        <v>2658</v>
      </c>
      <c r="C2659" s="53">
        <v>33730.297100000003</v>
      </c>
    </row>
    <row r="2660" spans="1:3" x14ac:dyDescent="0.25">
      <c r="A2660" s="52">
        <f t="shared" si="41"/>
        <v>46119</v>
      </c>
      <c r="B2660" s="53">
        <v>2659</v>
      </c>
      <c r="C2660" s="53">
        <v>33732.815499999997</v>
      </c>
    </row>
    <row r="2661" spans="1:3" x14ac:dyDescent="0.25">
      <c r="A2661" s="52">
        <f t="shared" si="41"/>
        <v>46120</v>
      </c>
      <c r="B2661" s="53">
        <v>2660</v>
      </c>
      <c r="C2661" s="53">
        <v>33735.334199999998</v>
      </c>
    </row>
    <row r="2662" spans="1:3" x14ac:dyDescent="0.25">
      <c r="A2662" s="52">
        <f t="shared" si="41"/>
        <v>46121</v>
      </c>
      <c r="B2662" s="53">
        <v>2661</v>
      </c>
      <c r="C2662" s="53">
        <v>33737.853000000003</v>
      </c>
    </row>
    <row r="2663" spans="1:3" x14ac:dyDescent="0.25">
      <c r="A2663" s="52">
        <f t="shared" si="41"/>
        <v>46122</v>
      </c>
      <c r="B2663" s="53">
        <v>2662</v>
      </c>
      <c r="C2663" s="53">
        <v>33741.436199999996</v>
      </c>
    </row>
    <row r="2664" spans="1:3" x14ac:dyDescent="0.25">
      <c r="A2664" s="52">
        <f t="shared" si="41"/>
        <v>46123</v>
      </c>
      <c r="B2664" s="53">
        <v>2663</v>
      </c>
      <c r="C2664" s="53">
        <v>33745.019800000002</v>
      </c>
    </row>
    <row r="2665" spans="1:3" x14ac:dyDescent="0.25">
      <c r="A2665" s="52">
        <f t="shared" si="41"/>
        <v>46124</v>
      </c>
      <c r="B2665" s="53">
        <v>2664</v>
      </c>
      <c r="C2665" s="53">
        <v>33748.603799999997</v>
      </c>
    </row>
    <row r="2666" spans="1:3" x14ac:dyDescent="0.25">
      <c r="A2666" s="52">
        <f t="shared" si="41"/>
        <v>46125</v>
      </c>
      <c r="B2666" s="53">
        <v>2665</v>
      </c>
      <c r="C2666" s="53">
        <v>33752.188099999999</v>
      </c>
    </row>
    <row r="2667" spans="1:3" x14ac:dyDescent="0.25">
      <c r="A2667" s="52">
        <f t="shared" si="41"/>
        <v>46126</v>
      </c>
      <c r="B2667" s="53">
        <v>2666</v>
      </c>
      <c r="C2667" s="53">
        <v>33755.772900000004</v>
      </c>
    </row>
    <row r="2668" spans="1:3" x14ac:dyDescent="0.25">
      <c r="A2668" s="52">
        <f t="shared" si="41"/>
        <v>46127</v>
      </c>
      <c r="B2668" s="53">
        <v>2667</v>
      </c>
      <c r="C2668" s="53">
        <v>33759.358</v>
      </c>
    </row>
    <row r="2669" spans="1:3" x14ac:dyDescent="0.25">
      <c r="A2669" s="52">
        <f t="shared" si="41"/>
        <v>46128</v>
      </c>
      <c r="B2669" s="53">
        <v>2668</v>
      </c>
      <c r="C2669" s="53">
        <v>33762.943500000001</v>
      </c>
    </row>
    <row r="2670" spans="1:3" x14ac:dyDescent="0.25">
      <c r="A2670" s="52">
        <f t="shared" si="41"/>
        <v>46129</v>
      </c>
      <c r="B2670" s="53">
        <v>2669</v>
      </c>
      <c r="C2670" s="53">
        <v>33766.529399999999</v>
      </c>
    </row>
    <row r="2671" spans="1:3" x14ac:dyDescent="0.25">
      <c r="A2671" s="52">
        <f t="shared" si="41"/>
        <v>46130</v>
      </c>
      <c r="B2671" s="53">
        <v>2670</v>
      </c>
      <c r="C2671" s="53">
        <v>33770.115599999997</v>
      </c>
    </row>
    <row r="2672" spans="1:3" x14ac:dyDescent="0.25">
      <c r="A2672" s="52">
        <f t="shared" si="41"/>
        <v>46131</v>
      </c>
      <c r="B2672" s="53">
        <v>2671</v>
      </c>
      <c r="C2672" s="53">
        <v>33773.702299999997</v>
      </c>
    </row>
    <row r="2673" spans="1:3" x14ac:dyDescent="0.25">
      <c r="A2673" s="52">
        <f t="shared" si="41"/>
        <v>46132</v>
      </c>
      <c r="B2673" s="53">
        <v>2672</v>
      </c>
      <c r="C2673" s="53">
        <v>33777.289299999997</v>
      </c>
    </row>
    <row r="2674" spans="1:3" x14ac:dyDescent="0.25">
      <c r="A2674" s="52">
        <f t="shared" si="41"/>
        <v>46133</v>
      </c>
      <c r="B2674" s="53">
        <v>2673</v>
      </c>
      <c r="C2674" s="53">
        <v>33780.876700000001</v>
      </c>
    </row>
    <row r="2675" spans="1:3" x14ac:dyDescent="0.25">
      <c r="A2675" s="52">
        <f t="shared" si="41"/>
        <v>46134</v>
      </c>
      <c r="B2675" s="53">
        <v>2674</v>
      </c>
      <c r="C2675" s="53">
        <v>33784.464500000002</v>
      </c>
    </row>
    <row r="2676" spans="1:3" x14ac:dyDescent="0.25">
      <c r="A2676" s="52">
        <f t="shared" si="41"/>
        <v>46135</v>
      </c>
      <c r="B2676" s="53">
        <v>2675</v>
      </c>
      <c r="C2676" s="53">
        <v>33788.0527</v>
      </c>
    </row>
    <row r="2677" spans="1:3" x14ac:dyDescent="0.25">
      <c r="A2677" s="52">
        <f t="shared" si="41"/>
        <v>46136</v>
      </c>
      <c r="B2677" s="53">
        <v>2676</v>
      </c>
      <c r="C2677" s="53">
        <v>33791.641199999998</v>
      </c>
    </row>
    <row r="2678" spans="1:3" x14ac:dyDescent="0.25">
      <c r="A2678" s="52">
        <f t="shared" si="41"/>
        <v>46137</v>
      </c>
      <c r="B2678" s="53">
        <v>2677</v>
      </c>
      <c r="C2678" s="53">
        <v>33795.230100000001</v>
      </c>
    </row>
    <row r="2679" spans="1:3" x14ac:dyDescent="0.25">
      <c r="A2679" s="52">
        <f t="shared" si="41"/>
        <v>46138</v>
      </c>
      <c r="B2679" s="53">
        <v>2678</v>
      </c>
      <c r="C2679" s="53">
        <v>33798.819499999998</v>
      </c>
    </row>
    <row r="2680" spans="1:3" x14ac:dyDescent="0.25">
      <c r="A2680" s="52">
        <f t="shared" si="41"/>
        <v>46139</v>
      </c>
      <c r="B2680" s="53">
        <v>2679</v>
      </c>
      <c r="C2680" s="53">
        <v>33802.409200000002</v>
      </c>
    </row>
    <row r="2681" spans="1:3" x14ac:dyDescent="0.25">
      <c r="A2681" s="52">
        <f t="shared" si="41"/>
        <v>46140</v>
      </c>
      <c r="B2681" s="53">
        <v>2680</v>
      </c>
      <c r="C2681" s="53">
        <v>33805.999199999998</v>
      </c>
    </row>
    <row r="2682" spans="1:3" x14ac:dyDescent="0.25">
      <c r="A2682" s="52">
        <f t="shared" si="41"/>
        <v>46141</v>
      </c>
      <c r="B2682" s="53">
        <v>2681</v>
      </c>
      <c r="C2682" s="53">
        <v>33809.589699999997</v>
      </c>
    </row>
    <row r="2683" spans="1:3" x14ac:dyDescent="0.25">
      <c r="A2683" s="52">
        <f t="shared" si="41"/>
        <v>46142</v>
      </c>
      <c r="B2683" s="53">
        <v>2682</v>
      </c>
      <c r="C2683" s="53">
        <v>33813.180500000002</v>
      </c>
    </row>
    <row r="2684" spans="1:3" x14ac:dyDescent="0.25">
      <c r="A2684" s="52">
        <f t="shared" si="41"/>
        <v>46143</v>
      </c>
      <c r="B2684" s="53">
        <v>2683</v>
      </c>
      <c r="C2684" s="53">
        <v>33816.771699999998</v>
      </c>
    </row>
    <row r="2685" spans="1:3" x14ac:dyDescent="0.25">
      <c r="A2685" s="52">
        <f t="shared" si="41"/>
        <v>46144</v>
      </c>
      <c r="B2685" s="53">
        <v>2684</v>
      </c>
      <c r="C2685" s="53">
        <v>33820.363299999997</v>
      </c>
    </row>
    <row r="2686" spans="1:3" x14ac:dyDescent="0.25">
      <c r="A2686" s="52">
        <f t="shared" si="41"/>
        <v>46145</v>
      </c>
      <c r="B2686" s="53">
        <v>2685</v>
      </c>
      <c r="C2686" s="53">
        <v>33823.955300000001</v>
      </c>
    </row>
    <row r="2687" spans="1:3" x14ac:dyDescent="0.25">
      <c r="A2687" s="52">
        <f t="shared" si="41"/>
        <v>46146</v>
      </c>
      <c r="B2687" s="53">
        <v>2686</v>
      </c>
      <c r="C2687" s="53">
        <v>33827.547700000003</v>
      </c>
    </row>
    <row r="2688" spans="1:3" x14ac:dyDescent="0.25">
      <c r="A2688" s="52">
        <f t="shared" si="41"/>
        <v>46147</v>
      </c>
      <c r="B2688" s="53">
        <v>2687</v>
      </c>
      <c r="C2688" s="53">
        <v>33831.140399999997</v>
      </c>
    </row>
    <row r="2689" spans="1:3" x14ac:dyDescent="0.25">
      <c r="A2689" s="52">
        <f t="shared" si="41"/>
        <v>46148</v>
      </c>
      <c r="B2689" s="53">
        <v>2688</v>
      </c>
      <c r="C2689" s="53">
        <v>33834.733500000002</v>
      </c>
    </row>
    <row r="2690" spans="1:3" x14ac:dyDescent="0.25">
      <c r="A2690" s="52">
        <f t="shared" ref="A2690:A2753" si="42">+$G$4+B2690</f>
        <v>46149</v>
      </c>
      <c r="B2690" s="53">
        <v>2689</v>
      </c>
      <c r="C2690" s="53">
        <v>33838.326999999997</v>
      </c>
    </row>
    <row r="2691" spans="1:3" x14ac:dyDescent="0.25">
      <c r="A2691" s="52">
        <f t="shared" si="42"/>
        <v>46150</v>
      </c>
      <c r="B2691" s="53">
        <v>2690</v>
      </c>
      <c r="C2691" s="53">
        <v>33841.920899999997</v>
      </c>
    </row>
    <row r="2692" spans="1:3" x14ac:dyDescent="0.25">
      <c r="A2692" s="52">
        <f t="shared" si="42"/>
        <v>46151</v>
      </c>
      <c r="B2692" s="53">
        <v>2691</v>
      </c>
      <c r="C2692" s="53">
        <v>33845.515200000002</v>
      </c>
    </row>
    <row r="2693" spans="1:3" x14ac:dyDescent="0.25">
      <c r="A2693" s="52">
        <f t="shared" si="42"/>
        <v>46152</v>
      </c>
      <c r="B2693" s="53">
        <v>2692</v>
      </c>
      <c r="C2693" s="53">
        <v>33848.403700000003</v>
      </c>
    </row>
    <row r="2694" spans="1:3" x14ac:dyDescent="0.25">
      <c r="A2694" s="52">
        <f t="shared" si="42"/>
        <v>46153</v>
      </c>
      <c r="B2694" s="53">
        <v>2693</v>
      </c>
      <c r="C2694" s="53">
        <v>33851.292399999998</v>
      </c>
    </row>
    <row r="2695" spans="1:3" x14ac:dyDescent="0.25">
      <c r="A2695" s="52">
        <f t="shared" si="42"/>
        <v>46154</v>
      </c>
      <c r="B2695" s="53">
        <v>2694</v>
      </c>
      <c r="C2695" s="53">
        <v>33854.181400000001</v>
      </c>
    </row>
    <row r="2696" spans="1:3" x14ac:dyDescent="0.25">
      <c r="A2696" s="52">
        <f t="shared" si="42"/>
        <v>46155</v>
      </c>
      <c r="B2696" s="53">
        <v>2695</v>
      </c>
      <c r="C2696" s="53">
        <v>33857.070599999999</v>
      </c>
    </row>
    <row r="2697" spans="1:3" x14ac:dyDescent="0.25">
      <c r="A2697" s="52">
        <f t="shared" si="42"/>
        <v>46156</v>
      </c>
      <c r="B2697" s="53">
        <v>2696</v>
      </c>
      <c r="C2697" s="53">
        <v>33859.960099999997</v>
      </c>
    </row>
    <row r="2698" spans="1:3" x14ac:dyDescent="0.25">
      <c r="A2698" s="52">
        <f t="shared" si="42"/>
        <v>46157</v>
      </c>
      <c r="B2698" s="53">
        <v>2697</v>
      </c>
      <c r="C2698" s="53">
        <v>33862.849800000004</v>
      </c>
    </row>
    <row r="2699" spans="1:3" x14ac:dyDescent="0.25">
      <c r="A2699" s="52">
        <f t="shared" si="42"/>
        <v>46158</v>
      </c>
      <c r="B2699" s="53">
        <v>2698</v>
      </c>
      <c r="C2699" s="53">
        <v>33865.739800000003</v>
      </c>
    </row>
    <row r="2700" spans="1:3" x14ac:dyDescent="0.25">
      <c r="A2700" s="52">
        <f t="shared" si="42"/>
        <v>46159</v>
      </c>
      <c r="B2700" s="53">
        <v>2699</v>
      </c>
      <c r="C2700" s="53">
        <v>33868.629999999997</v>
      </c>
    </row>
    <row r="2701" spans="1:3" x14ac:dyDescent="0.25">
      <c r="A2701" s="52">
        <f t="shared" si="42"/>
        <v>46160</v>
      </c>
      <c r="B2701" s="53">
        <v>2700</v>
      </c>
      <c r="C2701" s="53">
        <v>33871.520499999999</v>
      </c>
    </row>
    <row r="2702" spans="1:3" x14ac:dyDescent="0.25">
      <c r="A2702" s="52">
        <f t="shared" si="42"/>
        <v>46161</v>
      </c>
      <c r="B2702" s="53">
        <v>2701</v>
      </c>
      <c r="C2702" s="53">
        <v>33874.411200000002</v>
      </c>
    </row>
    <row r="2703" spans="1:3" x14ac:dyDescent="0.25">
      <c r="A2703" s="52">
        <f t="shared" si="42"/>
        <v>46162</v>
      </c>
      <c r="B2703" s="53">
        <v>2702</v>
      </c>
      <c r="C2703" s="53">
        <v>33877.302199999998</v>
      </c>
    </row>
    <row r="2704" spans="1:3" x14ac:dyDescent="0.25">
      <c r="A2704" s="52">
        <f t="shared" si="42"/>
        <v>46163</v>
      </c>
      <c r="B2704" s="53">
        <v>2703</v>
      </c>
      <c r="C2704" s="53">
        <v>33880.193399999996</v>
      </c>
    </row>
    <row r="2705" spans="1:3" x14ac:dyDescent="0.25">
      <c r="A2705" s="52">
        <f t="shared" si="42"/>
        <v>46164</v>
      </c>
      <c r="B2705" s="53">
        <v>2704</v>
      </c>
      <c r="C2705" s="53">
        <v>33883.084799999997</v>
      </c>
    </row>
    <row r="2706" spans="1:3" x14ac:dyDescent="0.25">
      <c r="A2706" s="52">
        <f t="shared" si="42"/>
        <v>46165</v>
      </c>
      <c r="B2706" s="53">
        <v>2705</v>
      </c>
      <c r="C2706" s="53">
        <v>33885.976499999997</v>
      </c>
    </row>
    <row r="2707" spans="1:3" x14ac:dyDescent="0.25">
      <c r="A2707" s="52">
        <f t="shared" si="42"/>
        <v>46166</v>
      </c>
      <c r="B2707" s="53">
        <v>2706</v>
      </c>
      <c r="C2707" s="53">
        <v>33888.868499999997</v>
      </c>
    </row>
    <row r="2708" spans="1:3" x14ac:dyDescent="0.25">
      <c r="A2708" s="52">
        <f t="shared" si="42"/>
        <v>46167</v>
      </c>
      <c r="B2708" s="53">
        <v>2707</v>
      </c>
      <c r="C2708" s="53">
        <v>33891.760600000001</v>
      </c>
    </row>
    <row r="2709" spans="1:3" x14ac:dyDescent="0.25">
      <c r="A2709" s="52">
        <f t="shared" si="42"/>
        <v>46168</v>
      </c>
      <c r="B2709" s="53">
        <v>2708</v>
      </c>
      <c r="C2709" s="53">
        <v>33894.653100000003</v>
      </c>
    </row>
    <row r="2710" spans="1:3" x14ac:dyDescent="0.25">
      <c r="A2710" s="52">
        <f t="shared" si="42"/>
        <v>46169</v>
      </c>
      <c r="B2710" s="53">
        <v>2709</v>
      </c>
      <c r="C2710" s="53">
        <v>33897.5458</v>
      </c>
    </row>
    <row r="2711" spans="1:3" x14ac:dyDescent="0.25">
      <c r="A2711" s="52">
        <f t="shared" si="42"/>
        <v>46170</v>
      </c>
      <c r="B2711" s="53">
        <v>2710</v>
      </c>
      <c r="C2711" s="53">
        <v>33900.438699999999</v>
      </c>
    </row>
    <row r="2712" spans="1:3" x14ac:dyDescent="0.25">
      <c r="A2712" s="52">
        <f t="shared" si="42"/>
        <v>46171</v>
      </c>
      <c r="B2712" s="53">
        <v>2711</v>
      </c>
      <c r="C2712" s="53">
        <v>33903.331899999997</v>
      </c>
    </row>
    <row r="2713" spans="1:3" x14ac:dyDescent="0.25">
      <c r="A2713" s="52">
        <f t="shared" si="42"/>
        <v>46172</v>
      </c>
      <c r="B2713" s="53">
        <v>2712</v>
      </c>
      <c r="C2713" s="53">
        <v>33906.225299999998</v>
      </c>
    </row>
    <row r="2714" spans="1:3" x14ac:dyDescent="0.25">
      <c r="A2714" s="52">
        <f t="shared" si="42"/>
        <v>46173</v>
      </c>
      <c r="B2714" s="53">
        <v>2713</v>
      </c>
      <c r="C2714" s="53">
        <v>33909.118999999999</v>
      </c>
    </row>
    <row r="2715" spans="1:3" x14ac:dyDescent="0.25">
      <c r="A2715" s="52">
        <f t="shared" si="42"/>
        <v>46174</v>
      </c>
      <c r="B2715" s="53">
        <v>2714</v>
      </c>
      <c r="C2715" s="53">
        <v>33912.012900000002</v>
      </c>
    </row>
    <row r="2716" spans="1:3" x14ac:dyDescent="0.25">
      <c r="A2716" s="52">
        <f t="shared" si="42"/>
        <v>46175</v>
      </c>
      <c r="B2716" s="53">
        <v>2715</v>
      </c>
      <c r="C2716" s="53">
        <v>33914.907099999997</v>
      </c>
    </row>
    <row r="2717" spans="1:3" x14ac:dyDescent="0.25">
      <c r="A2717" s="52">
        <f t="shared" si="42"/>
        <v>46176</v>
      </c>
      <c r="B2717" s="53">
        <v>2716</v>
      </c>
      <c r="C2717" s="53">
        <v>33917.801500000001</v>
      </c>
    </row>
    <row r="2718" spans="1:3" x14ac:dyDescent="0.25">
      <c r="A2718" s="52">
        <f t="shared" si="42"/>
        <v>46177</v>
      </c>
      <c r="B2718" s="53">
        <v>2717</v>
      </c>
      <c r="C2718" s="53">
        <v>33920.696100000001</v>
      </c>
    </row>
    <row r="2719" spans="1:3" x14ac:dyDescent="0.25">
      <c r="A2719" s="52">
        <f t="shared" si="42"/>
        <v>46178</v>
      </c>
      <c r="B2719" s="53">
        <v>2718</v>
      </c>
      <c r="C2719" s="53">
        <v>33923.591</v>
      </c>
    </row>
    <row r="2720" spans="1:3" x14ac:dyDescent="0.25">
      <c r="A2720" s="52">
        <f t="shared" si="42"/>
        <v>46179</v>
      </c>
      <c r="B2720" s="53">
        <v>2719</v>
      </c>
      <c r="C2720" s="53">
        <v>33926.486199999999</v>
      </c>
    </row>
    <row r="2721" spans="1:3" x14ac:dyDescent="0.25">
      <c r="A2721" s="52">
        <f t="shared" si="42"/>
        <v>46180</v>
      </c>
      <c r="B2721" s="53">
        <v>2720</v>
      </c>
      <c r="C2721" s="53">
        <v>33929.381600000001</v>
      </c>
    </row>
    <row r="2722" spans="1:3" x14ac:dyDescent="0.25">
      <c r="A2722" s="52">
        <f t="shared" si="42"/>
        <v>46181</v>
      </c>
      <c r="B2722" s="53">
        <v>2721</v>
      </c>
      <c r="C2722" s="53">
        <v>33932.277199999997</v>
      </c>
    </row>
    <row r="2723" spans="1:3" x14ac:dyDescent="0.25">
      <c r="A2723" s="52">
        <f t="shared" si="42"/>
        <v>46182</v>
      </c>
      <c r="B2723" s="53">
        <v>2722</v>
      </c>
      <c r="C2723" s="53">
        <v>33935.1731</v>
      </c>
    </row>
    <row r="2724" spans="1:3" x14ac:dyDescent="0.25">
      <c r="A2724" s="52">
        <f t="shared" si="42"/>
        <v>46183</v>
      </c>
      <c r="B2724" s="53">
        <v>2723</v>
      </c>
      <c r="C2724" s="53">
        <v>33938.064599999998</v>
      </c>
    </row>
    <row r="2725" spans="1:3" x14ac:dyDescent="0.25">
      <c r="A2725" s="52">
        <f t="shared" si="42"/>
        <v>46184</v>
      </c>
      <c r="B2725" s="53">
        <v>2724</v>
      </c>
      <c r="C2725" s="53">
        <v>33940.956299999998</v>
      </c>
    </row>
    <row r="2726" spans="1:3" x14ac:dyDescent="0.25">
      <c r="A2726" s="52">
        <f t="shared" si="42"/>
        <v>46185</v>
      </c>
      <c r="B2726" s="53">
        <v>2725</v>
      </c>
      <c r="C2726" s="53">
        <v>33943.848299999998</v>
      </c>
    </row>
    <row r="2727" spans="1:3" x14ac:dyDescent="0.25">
      <c r="A2727" s="52">
        <f t="shared" si="42"/>
        <v>46186</v>
      </c>
      <c r="B2727" s="53">
        <v>2726</v>
      </c>
      <c r="C2727" s="53">
        <v>33946.7405</v>
      </c>
    </row>
    <row r="2728" spans="1:3" x14ac:dyDescent="0.25">
      <c r="A2728" s="52">
        <f t="shared" si="42"/>
        <v>46187</v>
      </c>
      <c r="B2728" s="53">
        <v>2727</v>
      </c>
      <c r="C2728" s="53">
        <v>33949.632899999997</v>
      </c>
    </row>
    <row r="2729" spans="1:3" x14ac:dyDescent="0.25">
      <c r="A2729" s="52">
        <f t="shared" si="42"/>
        <v>46188</v>
      </c>
      <c r="B2729" s="53">
        <v>2728</v>
      </c>
      <c r="C2729" s="53">
        <v>33952.525600000001</v>
      </c>
    </row>
    <row r="2730" spans="1:3" x14ac:dyDescent="0.25">
      <c r="A2730" s="52">
        <f t="shared" si="42"/>
        <v>46189</v>
      </c>
      <c r="B2730" s="53">
        <v>2729</v>
      </c>
      <c r="C2730" s="53">
        <v>33955.4185</v>
      </c>
    </row>
    <row r="2731" spans="1:3" x14ac:dyDescent="0.25">
      <c r="A2731" s="52">
        <f t="shared" si="42"/>
        <v>46190</v>
      </c>
      <c r="B2731" s="53">
        <v>2730</v>
      </c>
      <c r="C2731" s="53">
        <v>33958.311699999998</v>
      </c>
    </row>
    <row r="2732" spans="1:3" x14ac:dyDescent="0.25">
      <c r="A2732" s="52">
        <f t="shared" si="42"/>
        <v>46191</v>
      </c>
      <c r="B2732" s="53">
        <v>2731</v>
      </c>
      <c r="C2732" s="53">
        <v>33961.205199999997</v>
      </c>
    </row>
    <row r="2733" spans="1:3" x14ac:dyDescent="0.25">
      <c r="A2733" s="52">
        <f t="shared" si="42"/>
        <v>46192</v>
      </c>
      <c r="B2733" s="53">
        <v>2732</v>
      </c>
      <c r="C2733" s="53">
        <v>33964.0988</v>
      </c>
    </row>
    <row r="2734" spans="1:3" x14ac:dyDescent="0.25">
      <c r="A2734" s="52">
        <f t="shared" si="42"/>
        <v>46193</v>
      </c>
      <c r="B2734" s="53">
        <v>2733</v>
      </c>
      <c r="C2734" s="53">
        <v>33966.9928</v>
      </c>
    </row>
    <row r="2735" spans="1:3" x14ac:dyDescent="0.25">
      <c r="A2735" s="52">
        <f t="shared" si="42"/>
        <v>46194</v>
      </c>
      <c r="B2735" s="53">
        <v>2734</v>
      </c>
      <c r="C2735" s="53">
        <v>33969.886899999998</v>
      </c>
    </row>
    <row r="2736" spans="1:3" x14ac:dyDescent="0.25">
      <c r="A2736" s="52">
        <f t="shared" si="42"/>
        <v>46195</v>
      </c>
      <c r="B2736" s="53">
        <v>2735</v>
      </c>
      <c r="C2736" s="53">
        <v>33972.7814</v>
      </c>
    </row>
    <row r="2737" spans="1:3" x14ac:dyDescent="0.25">
      <c r="A2737" s="52">
        <f t="shared" si="42"/>
        <v>46196</v>
      </c>
      <c r="B2737" s="53">
        <v>2736</v>
      </c>
      <c r="C2737" s="53">
        <v>33975.675999999999</v>
      </c>
    </row>
    <row r="2738" spans="1:3" x14ac:dyDescent="0.25">
      <c r="A2738" s="52">
        <f t="shared" si="42"/>
        <v>46197</v>
      </c>
      <c r="B2738" s="53">
        <v>2737</v>
      </c>
      <c r="C2738" s="53">
        <v>33978.570899999999</v>
      </c>
    </row>
    <row r="2739" spans="1:3" x14ac:dyDescent="0.25">
      <c r="A2739" s="52">
        <f t="shared" si="42"/>
        <v>46198</v>
      </c>
      <c r="B2739" s="53">
        <v>2738</v>
      </c>
      <c r="C2739" s="53">
        <v>33981.466099999998</v>
      </c>
    </row>
    <row r="2740" spans="1:3" x14ac:dyDescent="0.25">
      <c r="A2740" s="52">
        <f t="shared" si="42"/>
        <v>46199</v>
      </c>
      <c r="B2740" s="53">
        <v>2739</v>
      </c>
      <c r="C2740" s="53">
        <v>33984.361499999999</v>
      </c>
    </row>
    <row r="2741" spans="1:3" x14ac:dyDescent="0.25">
      <c r="A2741" s="52">
        <f t="shared" si="42"/>
        <v>46200</v>
      </c>
      <c r="B2741" s="53">
        <v>2740</v>
      </c>
      <c r="C2741" s="53">
        <v>33987.2572</v>
      </c>
    </row>
    <row r="2742" spans="1:3" x14ac:dyDescent="0.25">
      <c r="A2742" s="52">
        <f t="shared" si="42"/>
        <v>46201</v>
      </c>
      <c r="B2742" s="53">
        <v>2741</v>
      </c>
      <c r="C2742" s="53">
        <v>33990.153100000003</v>
      </c>
    </row>
    <row r="2743" spans="1:3" x14ac:dyDescent="0.25">
      <c r="A2743" s="52">
        <f t="shared" si="42"/>
        <v>46202</v>
      </c>
      <c r="B2743" s="53">
        <v>2742</v>
      </c>
      <c r="C2743" s="53">
        <v>33993.049200000001</v>
      </c>
    </row>
    <row r="2744" spans="1:3" x14ac:dyDescent="0.25">
      <c r="A2744" s="52">
        <f t="shared" si="42"/>
        <v>46203</v>
      </c>
      <c r="B2744" s="53">
        <v>2743</v>
      </c>
      <c r="C2744" s="53">
        <v>33995.945599999999</v>
      </c>
    </row>
    <row r="2745" spans="1:3" x14ac:dyDescent="0.25">
      <c r="A2745" s="52">
        <f t="shared" si="42"/>
        <v>46204</v>
      </c>
      <c r="B2745" s="53">
        <v>2744</v>
      </c>
      <c r="C2745" s="53">
        <v>33998.842199999999</v>
      </c>
    </row>
    <row r="2746" spans="1:3" x14ac:dyDescent="0.25">
      <c r="A2746" s="52">
        <f t="shared" si="42"/>
        <v>46205</v>
      </c>
      <c r="B2746" s="53">
        <v>2745</v>
      </c>
      <c r="C2746" s="53">
        <v>34001.739099999999</v>
      </c>
    </row>
    <row r="2747" spans="1:3" x14ac:dyDescent="0.25">
      <c r="A2747" s="52">
        <f t="shared" si="42"/>
        <v>46206</v>
      </c>
      <c r="B2747" s="53">
        <v>2746</v>
      </c>
      <c r="C2747" s="53">
        <v>34004.636299999998</v>
      </c>
    </row>
    <row r="2748" spans="1:3" x14ac:dyDescent="0.25">
      <c r="A2748" s="52">
        <f t="shared" si="42"/>
        <v>46207</v>
      </c>
      <c r="B2748" s="53">
        <v>2747</v>
      </c>
      <c r="C2748" s="53">
        <v>34007.533600000002</v>
      </c>
    </row>
    <row r="2749" spans="1:3" x14ac:dyDescent="0.25">
      <c r="A2749" s="52">
        <f t="shared" si="42"/>
        <v>46208</v>
      </c>
      <c r="B2749" s="53">
        <v>2748</v>
      </c>
      <c r="C2749" s="53">
        <v>34010.431299999997</v>
      </c>
    </row>
    <row r="2750" spans="1:3" x14ac:dyDescent="0.25">
      <c r="A2750" s="52">
        <f t="shared" si="42"/>
        <v>46209</v>
      </c>
      <c r="B2750" s="53">
        <v>2749</v>
      </c>
      <c r="C2750" s="53">
        <v>34013.329100000003</v>
      </c>
    </row>
    <row r="2751" spans="1:3" x14ac:dyDescent="0.25">
      <c r="A2751" s="52">
        <f t="shared" si="42"/>
        <v>46210</v>
      </c>
      <c r="B2751" s="53">
        <v>2750</v>
      </c>
      <c r="C2751" s="53">
        <v>34016.227299999999</v>
      </c>
    </row>
    <row r="2752" spans="1:3" x14ac:dyDescent="0.25">
      <c r="A2752" s="52">
        <f t="shared" si="42"/>
        <v>46211</v>
      </c>
      <c r="B2752" s="53">
        <v>2751</v>
      </c>
      <c r="C2752" s="53">
        <v>34019.125599999999</v>
      </c>
    </row>
    <row r="2753" spans="1:3" x14ac:dyDescent="0.25">
      <c r="A2753" s="52">
        <f t="shared" si="42"/>
        <v>46212</v>
      </c>
      <c r="B2753" s="53">
        <v>2752</v>
      </c>
      <c r="C2753" s="53">
        <v>34022.0242</v>
      </c>
    </row>
    <row r="2754" spans="1:3" x14ac:dyDescent="0.25">
      <c r="A2754" s="52">
        <f t="shared" ref="A2754:A2817" si="43">+$G$4+B2754</f>
        <v>46213</v>
      </c>
      <c r="B2754" s="53">
        <v>2753</v>
      </c>
      <c r="C2754" s="53">
        <v>34024.296499999997</v>
      </c>
    </row>
    <row r="2755" spans="1:3" x14ac:dyDescent="0.25">
      <c r="A2755" s="52">
        <f t="shared" si="43"/>
        <v>46214</v>
      </c>
      <c r="B2755" s="53">
        <v>2754</v>
      </c>
      <c r="C2755" s="53">
        <v>34026.568899999998</v>
      </c>
    </row>
    <row r="2756" spans="1:3" x14ac:dyDescent="0.25">
      <c r="A2756" s="52">
        <f t="shared" si="43"/>
        <v>46215</v>
      </c>
      <c r="B2756" s="53">
        <v>2755</v>
      </c>
      <c r="C2756" s="53">
        <v>34028.841500000002</v>
      </c>
    </row>
    <row r="2757" spans="1:3" x14ac:dyDescent="0.25">
      <c r="A2757" s="52">
        <f t="shared" si="43"/>
        <v>46216</v>
      </c>
      <c r="B2757" s="53">
        <v>2756</v>
      </c>
      <c r="C2757" s="53">
        <v>34031.114200000004</v>
      </c>
    </row>
    <row r="2758" spans="1:3" x14ac:dyDescent="0.25">
      <c r="A2758" s="52">
        <f t="shared" si="43"/>
        <v>46217</v>
      </c>
      <c r="B2758" s="53">
        <v>2757</v>
      </c>
      <c r="C2758" s="53">
        <v>34033.3871</v>
      </c>
    </row>
    <row r="2759" spans="1:3" x14ac:dyDescent="0.25">
      <c r="A2759" s="52">
        <f t="shared" si="43"/>
        <v>46218</v>
      </c>
      <c r="B2759" s="53">
        <v>2758</v>
      </c>
      <c r="C2759" s="53">
        <v>34035.660199999998</v>
      </c>
    </row>
    <row r="2760" spans="1:3" x14ac:dyDescent="0.25">
      <c r="A2760" s="52">
        <f t="shared" si="43"/>
        <v>46219</v>
      </c>
      <c r="B2760" s="53">
        <v>2759</v>
      </c>
      <c r="C2760" s="53">
        <v>34037.933299999997</v>
      </c>
    </row>
    <row r="2761" spans="1:3" x14ac:dyDescent="0.25">
      <c r="A2761" s="52">
        <f t="shared" si="43"/>
        <v>46220</v>
      </c>
      <c r="B2761" s="53">
        <v>2760</v>
      </c>
      <c r="C2761" s="53">
        <v>34040.206700000002</v>
      </c>
    </row>
    <row r="2762" spans="1:3" x14ac:dyDescent="0.25">
      <c r="A2762" s="52">
        <f t="shared" si="43"/>
        <v>46221</v>
      </c>
      <c r="B2762" s="53">
        <v>2761</v>
      </c>
      <c r="C2762" s="53">
        <v>34042.480199999998</v>
      </c>
    </row>
    <row r="2763" spans="1:3" x14ac:dyDescent="0.25">
      <c r="A2763" s="52">
        <f t="shared" si="43"/>
        <v>46222</v>
      </c>
      <c r="B2763" s="53">
        <v>2762</v>
      </c>
      <c r="C2763" s="53">
        <v>34044.753799999999</v>
      </c>
    </row>
    <row r="2764" spans="1:3" x14ac:dyDescent="0.25">
      <c r="A2764" s="52">
        <f t="shared" si="43"/>
        <v>46223</v>
      </c>
      <c r="B2764" s="53">
        <v>2763</v>
      </c>
      <c r="C2764" s="53">
        <v>34047.027600000001</v>
      </c>
    </row>
    <row r="2765" spans="1:3" x14ac:dyDescent="0.25">
      <c r="A2765" s="52">
        <f t="shared" si="43"/>
        <v>46224</v>
      </c>
      <c r="B2765" s="53">
        <v>2764</v>
      </c>
      <c r="C2765" s="53">
        <v>34049.301599999999</v>
      </c>
    </row>
    <row r="2766" spans="1:3" x14ac:dyDescent="0.25">
      <c r="A2766" s="52">
        <f t="shared" si="43"/>
        <v>46225</v>
      </c>
      <c r="B2766" s="53">
        <v>2765</v>
      </c>
      <c r="C2766" s="53">
        <v>34051.575700000001</v>
      </c>
    </row>
    <row r="2767" spans="1:3" x14ac:dyDescent="0.25">
      <c r="A2767" s="52">
        <f t="shared" si="43"/>
        <v>46226</v>
      </c>
      <c r="B2767" s="53">
        <v>2766</v>
      </c>
      <c r="C2767" s="53">
        <v>34053.849900000001</v>
      </c>
    </row>
    <row r="2768" spans="1:3" x14ac:dyDescent="0.25">
      <c r="A2768" s="52">
        <f t="shared" si="43"/>
        <v>46227</v>
      </c>
      <c r="B2768" s="53">
        <v>2767</v>
      </c>
      <c r="C2768" s="53">
        <v>34056.124300000003</v>
      </c>
    </row>
    <row r="2769" spans="1:3" x14ac:dyDescent="0.25">
      <c r="A2769" s="52">
        <f t="shared" si="43"/>
        <v>46228</v>
      </c>
      <c r="B2769" s="53">
        <v>2768</v>
      </c>
      <c r="C2769" s="53">
        <v>34058.3989</v>
      </c>
    </row>
    <row r="2770" spans="1:3" x14ac:dyDescent="0.25">
      <c r="A2770" s="52">
        <f t="shared" si="43"/>
        <v>46229</v>
      </c>
      <c r="B2770" s="53">
        <v>2769</v>
      </c>
      <c r="C2770" s="53">
        <v>34060.673600000002</v>
      </c>
    </row>
    <row r="2771" spans="1:3" x14ac:dyDescent="0.25">
      <c r="A2771" s="52">
        <f t="shared" si="43"/>
        <v>46230</v>
      </c>
      <c r="B2771" s="53">
        <v>2770</v>
      </c>
      <c r="C2771" s="53">
        <v>34062.948400000001</v>
      </c>
    </row>
    <row r="2772" spans="1:3" x14ac:dyDescent="0.25">
      <c r="A2772" s="52">
        <f t="shared" si="43"/>
        <v>46231</v>
      </c>
      <c r="B2772" s="53">
        <v>2771</v>
      </c>
      <c r="C2772" s="53">
        <v>34065.223400000003</v>
      </c>
    </row>
    <row r="2773" spans="1:3" x14ac:dyDescent="0.25">
      <c r="A2773" s="52">
        <f t="shared" si="43"/>
        <v>46232</v>
      </c>
      <c r="B2773" s="53">
        <v>2772</v>
      </c>
      <c r="C2773" s="53">
        <v>34067.498599999999</v>
      </c>
    </row>
    <row r="2774" spans="1:3" x14ac:dyDescent="0.25">
      <c r="A2774" s="52">
        <f t="shared" si="43"/>
        <v>46233</v>
      </c>
      <c r="B2774" s="53">
        <v>2773</v>
      </c>
      <c r="C2774" s="53">
        <v>34069.7739</v>
      </c>
    </row>
    <row r="2775" spans="1:3" x14ac:dyDescent="0.25">
      <c r="A2775" s="52">
        <f t="shared" si="43"/>
        <v>46234</v>
      </c>
      <c r="B2775" s="53">
        <v>2774</v>
      </c>
      <c r="C2775" s="53">
        <v>34072.049400000004</v>
      </c>
    </row>
    <row r="2776" spans="1:3" x14ac:dyDescent="0.25">
      <c r="A2776" s="52">
        <f t="shared" si="43"/>
        <v>46235</v>
      </c>
      <c r="B2776" s="53">
        <v>2775</v>
      </c>
      <c r="C2776" s="53">
        <v>34074.324999999997</v>
      </c>
    </row>
    <row r="2777" spans="1:3" x14ac:dyDescent="0.25">
      <c r="A2777" s="52">
        <f t="shared" si="43"/>
        <v>46236</v>
      </c>
      <c r="B2777" s="53">
        <v>2776</v>
      </c>
      <c r="C2777" s="53">
        <v>34076.600700000003</v>
      </c>
    </row>
    <row r="2778" spans="1:3" x14ac:dyDescent="0.25">
      <c r="A2778" s="52">
        <f t="shared" si="43"/>
        <v>46237</v>
      </c>
      <c r="B2778" s="53">
        <v>2777</v>
      </c>
      <c r="C2778" s="53">
        <v>34078.876700000001</v>
      </c>
    </row>
    <row r="2779" spans="1:3" x14ac:dyDescent="0.25">
      <c r="A2779" s="52">
        <f t="shared" si="43"/>
        <v>46238</v>
      </c>
      <c r="B2779" s="53">
        <v>2778</v>
      </c>
      <c r="C2779" s="53">
        <v>34081.152699999999</v>
      </c>
    </row>
    <row r="2780" spans="1:3" x14ac:dyDescent="0.25">
      <c r="A2780" s="52">
        <f t="shared" si="43"/>
        <v>46239</v>
      </c>
      <c r="B2780" s="53">
        <v>2779</v>
      </c>
      <c r="C2780" s="53">
        <v>34083.428999999996</v>
      </c>
    </row>
    <row r="2781" spans="1:3" x14ac:dyDescent="0.25">
      <c r="A2781" s="52">
        <f t="shared" si="43"/>
        <v>46240</v>
      </c>
      <c r="B2781" s="53">
        <v>2780</v>
      </c>
      <c r="C2781" s="53">
        <v>34085.705300000001</v>
      </c>
    </row>
    <row r="2782" spans="1:3" x14ac:dyDescent="0.25">
      <c r="A2782" s="52">
        <f t="shared" si="43"/>
        <v>46241</v>
      </c>
      <c r="B2782" s="53">
        <v>2781</v>
      </c>
      <c r="C2782" s="53">
        <v>34087.981899999999</v>
      </c>
    </row>
    <row r="2783" spans="1:3" x14ac:dyDescent="0.25">
      <c r="A2783" s="52">
        <f t="shared" si="43"/>
        <v>46242</v>
      </c>
      <c r="B2783" s="53">
        <v>2782</v>
      </c>
      <c r="C2783" s="53">
        <v>34090.258500000004</v>
      </c>
    </row>
    <row r="2784" spans="1:3" x14ac:dyDescent="0.25">
      <c r="A2784" s="52">
        <f t="shared" si="43"/>
        <v>46243</v>
      </c>
      <c r="B2784" s="53">
        <v>2783</v>
      </c>
      <c r="C2784" s="53">
        <v>34092.535400000001</v>
      </c>
    </row>
    <row r="2785" spans="1:3" x14ac:dyDescent="0.25">
      <c r="A2785" s="52">
        <f t="shared" si="43"/>
        <v>46244</v>
      </c>
      <c r="B2785" s="53">
        <v>2784</v>
      </c>
      <c r="C2785" s="53">
        <v>34095.621500000001</v>
      </c>
    </row>
    <row r="2786" spans="1:3" x14ac:dyDescent="0.25">
      <c r="A2786" s="52">
        <f t="shared" si="43"/>
        <v>46245</v>
      </c>
      <c r="B2786" s="53">
        <v>2785</v>
      </c>
      <c r="C2786" s="53">
        <v>34098.707900000001</v>
      </c>
    </row>
    <row r="2787" spans="1:3" x14ac:dyDescent="0.25">
      <c r="A2787" s="52">
        <f t="shared" si="43"/>
        <v>46246</v>
      </c>
      <c r="B2787" s="53">
        <v>2786</v>
      </c>
      <c r="C2787" s="53">
        <v>34101.794600000001</v>
      </c>
    </row>
    <row r="2788" spans="1:3" x14ac:dyDescent="0.25">
      <c r="A2788" s="52">
        <f t="shared" si="43"/>
        <v>46247</v>
      </c>
      <c r="B2788" s="53">
        <v>2787</v>
      </c>
      <c r="C2788" s="53">
        <v>34104.881500000003</v>
      </c>
    </row>
    <row r="2789" spans="1:3" x14ac:dyDescent="0.25">
      <c r="A2789" s="52">
        <f t="shared" si="43"/>
        <v>46248</v>
      </c>
      <c r="B2789" s="53">
        <v>2788</v>
      </c>
      <c r="C2789" s="53">
        <v>34107.968800000002</v>
      </c>
    </row>
    <row r="2790" spans="1:3" x14ac:dyDescent="0.25">
      <c r="A2790" s="52">
        <f t="shared" si="43"/>
        <v>46249</v>
      </c>
      <c r="B2790" s="53">
        <v>2789</v>
      </c>
      <c r="C2790" s="53">
        <v>34111.056299999997</v>
      </c>
    </row>
    <row r="2791" spans="1:3" x14ac:dyDescent="0.25">
      <c r="A2791" s="52">
        <f t="shared" si="43"/>
        <v>46250</v>
      </c>
      <c r="B2791" s="53">
        <v>2790</v>
      </c>
      <c r="C2791" s="53">
        <v>34114.144099999998</v>
      </c>
    </row>
    <row r="2792" spans="1:3" x14ac:dyDescent="0.25">
      <c r="A2792" s="52">
        <f t="shared" si="43"/>
        <v>46251</v>
      </c>
      <c r="B2792" s="53">
        <v>2791</v>
      </c>
      <c r="C2792" s="53">
        <v>34117.232100000001</v>
      </c>
    </row>
    <row r="2793" spans="1:3" x14ac:dyDescent="0.25">
      <c r="A2793" s="52">
        <f t="shared" si="43"/>
        <v>46252</v>
      </c>
      <c r="B2793" s="53">
        <v>2792</v>
      </c>
      <c r="C2793" s="53">
        <v>34120.320500000002</v>
      </c>
    </row>
    <row r="2794" spans="1:3" x14ac:dyDescent="0.25">
      <c r="A2794" s="52">
        <f t="shared" si="43"/>
        <v>46253</v>
      </c>
      <c r="B2794" s="53">
        <v>2793</v>
      </c>
      <c r="C2794" s="53">
        <v>34123.409099999997</v>
      </c>
    </row>
    <row r="2795" spans="1:3" x14ac:dyDescent="0.25">
      <c r="A2795" s="52">
        <f t="shared" si="43"/>
        <v>46254</v>
      </c>
      <c r="B2795" s="53">
        <v>2794</v>
      </c>
      <c r="C2795" s="53">
        <v>34126.498</v>
      </c>
    </row>
    <row r="2796" spans="1:3" x14ac:dyDescent="0.25">
      <c r="A2796" s="52">
        <f t="shared" si="43"/>
        <v>46255</v>
      </c>
      <c r="B2796" s="53">
        <v>2795</v>
      </c>
      <c r="C2796" s="53">
        <v>34129.587200000002</v>
      </c>
    </row>
    <row r="2797" spans="1:3" x14ac:dyDescent="0.25">
      <c r="A2797" s="52">
        <f t="shared" si="43"/>
        <v>46256</v>
      </c>
      <c r="B2797" s="53">
        <v>2796</v>
      </c>
      <c r="C2797" s="53">
        <v>34132.676700000004</v>
      </c>
    </row>
    <row r="2798" spans="1:3" x14ac:dyDescent="0.25">
      <c r="A2798" s="52">
        <f t="shared" si="43"/>
        <v>46257</v>
      </c>
      <c r="B2798" s="53">
        <v>2797</v>
      </c>
      <c r="C2798" s="53">
        <v>34135.7664</v>
      </c>
    </row>
    <row r="2799" spans="1:3" x14ac:dyDescent="0.25">
      <c r="A2799" s="52">
        <f t="shared" si="43"/>
        <v>46258</v>
      </c>
      <c r="B2799" s="53">
        <v>2798</v>
      </c>
      <c r="C2799" s="53">
        <v>34138.856500000002</v>
      </c>
    </row>
    <row r="2800" spans="1:3" x14ac:dyDescent="0.25">
      <c r="A2800" s="52">
        <f t="shared" si="43"/>
        <v>46259</v>
      </c>
      <c r="B2800" s="53">
        <v>2799</v>
      </c>
      <c r="C2800" s="53">
        <v>34141.946799999998</v>
      </c>
    </row>
    <row r="2801" spans="1:3" x14ac:dyDescent="0.25">
      <c r="A2801" s="52">
        <f t="shared" si="43"/>
        <v>46260</v>
      </c>
      <c r="B2801" s="53">
        <v>2800</v>
      </c>
      <c r="C2801" s="53">
        <v>34145.037400000001</v>
      </c>
    </row>
    <row r="2802" spans="1:3" x14ac:dyDescent="0.25">
      <c r="A2802" s="52">
        <f t="shared" si="43"/>
        <v>46261</v>
      </c>
      <c r="B2802" s="53">
        <v>2801</v>
      </c>
      <c r="C2802" s="53">
        <v>34148.128199999999</v>
      </c>
    </row>
    <row r="2803" spans="1:3" x14ac:dyDescent="0.25">
      <c r="A2803" s="52">
        <f t="shared" si="43"/>
        <v>46262</v>
      </c>
      <c r="B2803" s="53">
        <v>2802</v>
      </c>
      <c r="C2803" s="53">
        <v>34151.219400000002</v>
      </c>
    </row>
    <row r="2804" spans="1:3" x14ac:dyDescent="0.25">
      <c r="A2804" s="52">
        <f t="shared" si="43"/>
        <v>46263</v>
      </c>
      <c r="B2804" s="53">
        <v>2803</v>
      </c>
      <c r="C2804" s="53">
        <v>34154.310799999999</v>
      </c>
    </row>
    <row r="2805" spans="1:3" x14ac:dyDescent="0.25">
      <c r="A2805" s="52">
        <f t="shared" si="43"/>
        <v>46264</v>
      </c>
      <c r="B2805" s="53">
        <v>2804</v>
      </c>
      <c r="C2805" s="53">
        <v>34157.402499999997</v>
      </c>
    </row>
    <row r="2806" spans="1:3" x14ac:dyDescent="0.25">
      <c r="A2806" s="52">
        <f t="shared" si="43"/>
        <v>46265</v>
      </c>
      <c r="B2806" s="53">
        <v>2805</v>
      </c>
      <c r="C2806" s="53">
        <v>34160.494500000001</v>
      </c>
    </row>
    <row r="2807" spans="1:3" x14ac:dyDescent="0.25">
      <c r="A2807" s="52">
        <f t="shared" si="43"/>
        <v>46266</v>
      </c>
      <c r="B2807" s="53">
        <v>2806</v>
      </c>
      <c r="C2807" s="53">
        <v>34163.586799999997</v>
      </c>
    </row>
    <row r="2808" spans="1:3" x14ac:dyDescent="0.25">
      <c r="A2808" s="52">
        <f t="shared" si="43"/>
        <v>46267</v>
      </c>
      <c r="B2808" s="53">
        <v>2807</v>
      </c>
      <c r="C2808" s="53">
        <v>34166.679300000003</v>
      </c>
    </row>
    <row r="2809" spans="1:3" x14ac:dyDescent="0.25">
      <c r="A2809" s="52">
        <f t="shared" si="43"/>
        <v>46268</v>
      </c>
      <c r="B2809" s="53">
        <v>2808</v>
      </c>
      <c r="C2809" s="53">
        <v>34169.772199999999</v>
      </c>
    </row>
    <row r="2810" spans="1:3" x14ac:dyDescent="0.25">
      <c r="A2810" s="52">
        <f t="shared" si="43"/>
        <v>46269</v>
      </c>
      <c r="B2810" s="53">
        <v>2809</v>
      </c>
      <c r="C2810" s="53">
        <v>34172.865299999998</v>
      </c>
    </row>
    <row r="2811" spans="1:3" x14ac:dyDescent="0.25">
      <c r="A2811" s="52">
        <f t="shared" si="43"/>
        <v>46270</v>
      </c>
      <c r="B2811" s="53">
        <v>2810</v>
      </c>
      <c r="C2811" s="53">
        <v>34175.958700000003</v>
      </c>
    </row>
    <row r="2812" spans="1:3" x14ac:dyDescent="0.25">
      <c r="A2812" s="52">
        <f t="shared" si="43"/>
        <v>46271</v>
      </c>
      <c r="B2812" s="53">
        <v>2811</v>
      </c>
      <c r="C2812" s="53">
        <v>34179.052300000003</v>
      </c>
    </row>
    <row r="2813" spans="1:3" x14ac:dyDescent="0.25">
      <c r="A2813" s="52">
        <f t="shared" si="43"/>
        <v>46272</v>
      </c>
      <c r="B2813" s="53">
        <v>2812</v>
      </c>
      <c r="C2813" s="53">
        <v>34182.1463</v>
      </c>
    </row>
    <row r="2814" spans="1:3" x14ac:dyDescent="0.25">
      <c r="A2814" s="52">
        <f t="shared" si="43"/>
        <v>46273</v>
      </c>
      <c r="B2814" s="53">
        <v>2813</v>
      </c>
      <c r="C2814" s="53">
        <v>34185.2405</v>
      </c>
    </row>
    <row r="2815" spans="1:3" x14ac:dyDescent="0.25">
      <c r="A2815" s="52">
        <f t="shared" si="43"/>
        <v>46274</v>
      </c>
      <c r="B2815" s="53">
        <v>2814</v>
      </c>
      <c r="C2815" s="53">
        <v>34188.334999999999</v>
      </c>
    </row>
    <row r="2816" spans="1:3" x14ac:dyDescent="0.25">
      <c r="A2816" s="52">
        <f t="shared" si="43"/>
        <v>46275</v>
      </c>
      <c r="B2816" s="53">
        <v>2815</v>
      </c>
      <c r="C2816" s="53">
        <v>34191.023500000003</v>
      </c>
    </row>
    <row r="2817" spans="1:3" x14ac:dyDescent="0.25">
      <c r="A2817" s="52">
        <f t="shared" si="43"/>
        <v>46276</v>
      </c>
      <c r="B2817" s="53">
        <v>2816</v>
      </c>
      <c r="C2817" s="53">
        <v>34193.712200000002</v>
      </c>
    </row>
    <row r="2818" spans="1:3" x14ac:dyDescent="0.25">
      <c r="A2818" s="52">
        <f t="shared" ref="A2818:A2881" si="44">+$G$4+B2818</f>
        <v>46277</v>
      </c>
      <c r="B2818" s="53">
        <v>2817</v>
      </c>
      <c r="C2818" s="53">
        <v>34196.4012</v>
      </c>
    </row>
    <row r="2819" spans="1:3" x14ac:dyDescent="0.25">
      <c r="A2819" s="52">
        <f t="shared" si="44"/>
        <v>46278</v>
      </c>
      <c r="B2819" s="53">
        <v>2818</v>
      </c>
      <c r="C2819" s="53">
        <v>34199.090300000003</v>
      </c>
    </row>
    <row r="2820" spans="1:3" x14ac:dyDescent="0.25">
      <c r="A2820" s="52">
        <f t="shared" si="44"/>
        <v>46279</v>
      </c>
      <c r="B2820" s="53">
        <v>2819</v>
      </c>
      <c r="C2820" s="53">
        <v>34201.779600000002</v>
      </c>
    </row>
    <row r="2821" spans="1:3" x14ac:dyDescent="0.25">
      <c r="A2821" s="52">
        <f t="shared" si="44"/>
        <v>46280</v>
      </c>
      <c r="B2821" s="53">
        <v>2820</v>
      </c>
      <c r="C2821" s="53">
        <v>34204.4692</v>
      </c>
    </row>
    <row r="2822" spans="1:3" x14ac:dyDescent="0.25">
      <c r="A2822" s="52">
        <f t="shared" si="44"/>
        <v>46281</v>
      </c>
      <c r="B2822" s="53">
        <v>2821</v>
      </c>
      <c r="C2822" s="53">
        <v>34207.159</v>
      </c>
    </row>
    <row r="2823" spans="1:3" x14ac:dyDescent="0.25">
      <c r="A2823" s="52">
        <f t="shared" si="44"/>
        <v>46282</v>
      </c>
      <c r="B2823" s="53">
        <v>2822</v>
      </c>
      <c r="C2823" s="53">
        <v>34209.849000000002</v>
      </c>
    </row>
    <row r="2824" spans="1:3" x14ac:dyDescent="0.25">
      <c r="A2824" s="52">
        <f t="shared" si="44"/>
        <v>46283</v>
      </c>
      <c r="B2824" s="53">
        <v>2823</v>
      </c>
      <c r="C2824" s="53">
        <v>34212.539100000002</v>
      </c>
    </row>
    <row r="2825" spans="1:3" x14ac:dyDescent="0.25">
      <c r="A2825" s="52">
        <f t="shared" si="44"/>
        <v>46284</v>
      </c>
      <c r="B2825" s="53">
        <v>2824</v>
      </c>
      <c r="C2825" s="53">
        <v>34215.229599999999</v>
      </c>
    </row>
    <row r="2826" spans="1:3" x14ac:dyDescent="0.25">
      <c r="A2826" s="52">
        <f t="shared" si="44"/>
        <v>46285</v>
      </c>
      <c r="B2826" s="53">
        <v>2825</v>
      </c>
      <c r="C2826" s="53">
        <v>34217.9202</v>
      </c>
    </row>
    <row r="2827" spans="1:3" x14ac:dyDescent="0.25">
      <c r="A2827" s="52">
        <f t="shared" si="44"/>
        <v>46286</v>
      </c>
      <c r="B2827" s="53">
        <v>2826</v>
      </c>
      <c r="C2827" s="53">
        <v>34220.610999999997</v>
      </c>
    </row>
    <row r="2828" spans="1:3" x14ac:dyDescent="0.25">
      <c r="A2828" s="52">
        <f t="shared" si="44"/>
        <v>46287</v>
      </c>
      <c r="B2828" s="53">
        <v>2827</v>
      </c>
      <c r="C2828" s="53">
        <v>34223.302000000003</v>
      </c>
    </row>
    <row r="2829" spans="1:3" x14ac:dyDescent="0.25">
      <c r="A2829" s="52">
        <f t="shared" si="44"/>
        <v>46288</v>
      </c>
      <c r="B2829" s="53">
        <v>2828</v>
      </c>
      <c r="C2829" s="53">
        <v>34225.993300000002</v>
      </c>
    </row>
    <row r="2830" spans="1:3" x14ac:dyDescent="0.25">
      <c r="A2830" s="52">
        <f t="shared" si="44"/>
        <v>46289</v>
      </c>
      <c r="B2830" s="53">
        <v>2829</v>
      </c>
      <c r="C2830" s="53">
        <v>34228.684800000003</v>
      </c>
    </row>
    <row r="2831" spans="1:3" x14ac:dyDescent="0.25">
      <c r="A2831" s="52">
        <f t="shared" si="44"/>
        <v>46290</v>
      </c>
      <c r="B2831" s="53">
        <v>2830</v>
      </c>
      <c r="C2831" s="53">
        <v>34231.376400000001</v>
      </c>
    </row>
    <row r="2832" spans="1:3" x14ac:dyDescent="0.25">
      <c r="A2832" s="52">
        <f t="shared" si="44"/>
        <v>46291</v>
      </c>
      <c r="B2832" s="53">
        <v>2831</v>
      </c>
      <c r="C2832" s="53">
        <v>34234.068299999999</v>
      </c>
    </row>
    <row r="2833" spans="1:3" x14ac:dyDescent="0.25">
      <c r="A2833" s="52">
        <f t="shared" si="44"/>
        <v>46292</v>
      </c>
      <c r="B2833" s="53">
        <v>2832</v>
      </c>
      <c r="C2833" s="53">
        <v>34236.760399999999</v>
      </c>
    </row>
    <row r="2834" spans="1:3" x14ac:dyDescent="0.25">
      <c r="A2834" s="52">
        <f t="shared" si="44"/>
        <v>46293</v>
      </c>
      <c r="B2834" s="53">
        <v>2833</v>
      </c>
      <c r="C2834" s="53">
        <v>34239.452700000002</v>
      </c>
    </row>
    <row r="2835" spans="1:3" x14ac:dyDescent="0.25">
      <c r="A2835" s="52">
        <f t="shared" si="44"/>
        <v>46294</v>
      </c>
      <c r="B2835" s="53">
        <v>2834</v>
      </c>
      <c r="C2835" s="53">
        <v>34242.145199999999</v>
      </c>
    </row>
    <row r="2836" spans="1:3" x14ac:dyDescent="0.25">
      <c r="A2836" s="52">
        <f t="shared" si="44"/>
        <v>46295</v>
      </c>
      <c r="B2836" s="53">
        <v>2835</v>
      </c>
      <c r="C2836" s="53">
        <v>34244.838000000003</v>
      </c>
    </row>
    <row r="2837" spans="1:3" x14ac:dyDescent="0.25">
      <c r="A2837" s="52">
        <f t="shared" si="44"/>
        <v>46296</v>
      </c>
      <c r="B2837" s="53">
        <v>2836</v>
      </c>
      <c r="C2837" s="53">
        <v>34247.530899999998</v>
      </c>
    </row>
    <row r="2838" spans="1:3" x14ac:dyDescent="0.25">
      <c r="A2838" s="52">
        <f t="shared" si="44"/>
        <v>46297</v>
      </c>
      <c r="B2838" s="53">
        <v>2837</v>
      </c>
      <c r="C2838" s="53">
        <v>34250.224099999999</v>
      </c>
    </row>
    <row r="2839" spans="1:3" x14ac:dyDescent="0.25">
      <c r="A2839" s="52">
        <f t="shared" si="44"/>
        <v>46298</v>
      </c>
      <c r="B2839" s="53">
        <v>2838</v>
      </c>
      <c r="C2839" s="53">
        <v>34252.917500000003</v>
      </c>
    </row>
    <row r="2840" spans="1:3" x14ac:dyDescent="0.25">
      <c r="A2840" s="52">
        <f t="shared" si="44"/>
        <v>46299</v>
      </c>
      <c r="B2840" s="53">
        <v>2839</v>
      </c>
      <c r="C2840" s="53">
        <v>34255.610999999997</v>
      </c>
    </row>
    <row r="2841" spans="1:3" x14ac:dyDescent="0.25">
      <c r="A2841" s="52">
        <f t="shared" si="44"/>
        <v>46300</v>
      </c>
      <c r="B2841" s="53">
        <v>2840</v>
      </c>
      <c r="C2841" s="53">
        <v>34258.304799999998</v>
      </c>
    </row>
    <row r="2842" spans="1:3" x14ac:dyDescent="0.25">
      <c r="A2842" s="52">
        <f t="shared" si="44"/>
        <v>46301</v>
      </c>
      <c r="B2842" s="53">
        <v>2841</v>
      </c>
      <c r="C2842" s="53">
        <v>34260.998800000001</v>
      </c>
    </row>
    <row r="2843" spans="1:3" x14ac:dyDescent="0.25">
      <c r="A2843" s="52">
        <f t="shared" si="44"/>
        <v>46302</v>
      </c>
      <c r="B2843" s="53">
        <v>2842</v>
      </c>
      <c r="C2843" s="53">
        <v>34263.692999999999</v>
      </c>
    </row>
    <row r="2844" spans="1:3" x14ac:dyDescent="0.25">
      <c r="A2844" s="52">
        <f t="shared" si="44"/>
        <v>46303</v>
      </c>
      <c r="B2844" s="53">
        <v>2843</v>
      </c>
      <c r="C2844" s="53">
        <v>34266.387499999997</v>
      </c>
    </row>
    <row r="2845" spans="1:3" x14ac:dyDescent="0.25">
      <c r="A2845" s="52">
        <f t="shared" si="44"/>
        <v>46304</v>
      </c>
      <c r="B2845" s="53">
        <v>2844</v>
      </c>
      <c r="C2845" s="53">
        <v>34269.0821</v>
      </c>
    </row>
    <row r="2846" spans="1:3" x14ac:dyDescent="0.25">
      <c r="A2846" s="52">
        <f t="shared" si="44"/>
        <v>46305</v>
      </c>
      <c r="B2846" s="53">
        <v>2845</v>
      </c>
      <c r="C2846" s="53">
        <v>34273.03</v>
      </c>
    </row>
    <row r="2847" spans="1:3" x14ac:dyDescent="0.25">
      <c r="A2847" s="52">
        <f t="shared" si="44"/>
        <v>46306</v>
      </c>
      <c r="B2847" s="53">
        <v>2846</v>
      </c>
      <c r="C2847" s="53">
        <v>34276.978300000002</v>
      </c>
    </row>
    <row r="2848" spans="1:3" x14ac:dyDescent="0.25">
      <c r="A2848" s="52">
        <f t="shared" si="44"/>
        <v>46307</v>
      </c>
      <c r="B2848" s="53">
        <v>2847</v>
      </c>
      <c r="C2848" s="53">
        <v>34280.927100000001</v>
      </c>
    </row>
    <row r="2849" spans="1:3" x14ac:dyDescent="0.25">
      <c r="A2849" s="52">
        <f t="shared" si="44"/>
        <v>46308</v>
      </c>
      <c r="B2849" s="53">
        <v>2848</v>
      </c>
      <c r="C2849" s="53">
        <v>34284.876400000001</v>
      </c>
    </row>
    <row r="2850" spans="1:3" x14ac:dyDescent="0.25">
      <c r="A2850" s="52">
        <f t="shared" si="44"/>
        <v>46309</v>
      </c>
      <c r="B2850" s="53">
        <v>2849</v>
      </c>
      <c r="C2850" s="53">
        <v>34288.826099999998</v>
      </c>
    </row>
    <row r="2851" spans="1:3" x14ac:dyDescent="0.25">
      <c r="A2851" s="52">
        <f t="shared" si="44"/>
        <v>46310</v>
      </c>
      <c r="B2851" s="53">
        <v>2850</v>
      </c>
      <c r="C2851" s="53">
        <v>34292.7762</v>
      </c>
    </row>
    <row r="2852" spans="1:3" x14ac:dyDescent="0.25">
      <c r="A2852" s="52">
        <f t="shared" si="44"/>
        <v>46311</v>
      </c>
      <c r="B2852" s="53">
        <v>2851</v>
      </c>
      <c r="C2852" s="53">
        <v>34296.726799999997</v>
      </c>
    </row>
    <row r="2853" spans="1:3" x14ac:dyDescent="0.25">
      <c r="A2853" s="52">
        <f t="shared" si="44"/>
        <v>46312</v>
      </c>
      <c r="B2853" s="53">
        <v>2852</v>
      </c>
      <c r="C2853" s="53">
        <v>34300.677900000002</v>
      </c>
    </row>
    <row r="2854" spans="1:3" x14ac:dyDescent="0.25">
      <c r="A2854" s="52">
        <f t="shared" si="44"/>
        <v>46313</v>
      </c>
      <c r="B2854" s="53">
        <v>2853</v>
      </c>
      <c r="C2854" s="53">
        <v>34304.629399999998</v>
      </c>
    </row>
    <row r="2855" spans="1:3" x14ac:dyDescent="0.25">
      <c r="A2855" s="52">
        <f t="shared" si="44"/>
        <v>46314</v>
      </c>
      <c r="B2855" s="53">
        <v>2854</v>
      </c>
      <c r="C2855" s="53">
        <v>34308.581400000003</v>
      </c>
    </row>
    <row r="2856" spans="1:3" x14ac:dyDescent="0.25">
      <c r="A2856" s="52">
        <f t="shared" si="44"/>
        <v>46315</v>
      </c>
      <c r="B2856" s="53">
        <v>2855</v>
      </c>
      <c r="C2856" s="53">
        <v>34312.533799999997</v>
      </c>
    </row>
    <row r="2857" spans="1:3" x14ac:dyDescent="0.25">
      <c r="A2857" s="52">
        <f t="shared" si="44"/>
        <v>46316</v>
      </c>
      <c r="B2857" s="53">
        <v>2856</v>
      </c>
      <c r="C2857" s="53">
        <v>34316.486700000001</v>
      </c>
    </row>
    <row r="2858" spans="1:3" x14ac:dyDescent="0.25">
      <c r="A2858" s="52">
        <f t="shared" si="44"/>
        <v>46317</v>
      </c>
      <c r="B2858" s="53">
        <v>2857</v>
      </c>
      <c r="C2858" s="53">
        <v>34320.44</v>
      </c>
    </row>
    <row r="2859" spans="1:3" x14ac:dyDescent="0.25">
      <c r="A2859" s="52">
        <f t="shared" si="44"/>
        <v>46318</v>
      </c>
      <c r="B2859" s="53">
        <v>2858</v>
      </c>
      <c r="C2859" s="53">
        <v>34324.393799999998</v>
      </c>
    </row>
    <row r="2860" spans="1:3" x14ac:dyDescent="0.25">
      <c r="A2860" s="52">
        <f t="shared" si="44"/>
        <v>46319</v>
      </c>
      <c r="B2860" s="53">
        <v>2859</v>
      </c>
      <c r="C2860" s="53">
        <v>34328.348100000003</v>
      </c>
    </row>
    <row r="2861" spans="1:3" x14ac:dyDescent="0.25">
      <c r="A2861" s="52">
        <f t="shared" si="44"/>
        <v>46320</v>
      </c>
      <c r="B2861" s="53">
        <v>2860</v>
      </c>
      <c r="C2861" s="53">
        <v>34332.302799999998</v>
      </c>
    </row>
    <row r="2862" spans="1:3" x14ac:dyDescent="0.25">
      <c r="A2862" s="52">
        <f t="shared" si="44"/>
        <v>46321</v>
      </c>
      <c r="B2862" s="53">
        <v>2861</v>
      </c>
      <c r="C2862" s="53">
        <v>34336.258000000002</v>
      </c>
    </row>
    <row r="2863" spans="1:3" x14ac:dyDescent="0.25">
      <c r="A2863" s="52">
        <f t="shared" si="44"/>
        <v>46322</v>
      </c>
      <c r="B2863" s="53">
        <v>2862</v>
      </c>
      <c r="C2863" s="53">
        <v>34340.213600000003</v>
      </c>
    </row>
    <row r="2864" spans="1:3" x14ac:dyDescent="0.25">
      <c r="A2864" s="52">
        <f t="shared" si="44"/>
        <v>46323</v>
      </c>
      <c r="B2864" s="53">
        <v>2863</v>
      </c>
      <c r="C2864" s="53">
        <v>34344.169699999999</v>
      </c>
    </row>
    <row r="2865" spans="1:3" x14ac:dyDescent="0.25">
      <c r="A2865" s="52">
        <f t="shared" si="44"/>
        <v>46324</v>
      </c>
      <c r="B2865" s="53">
        <v>2864</v>
      </c>
      <c r="C2865" s="53">
        <v>34348.126199999999</v>
      </c>
    </row>
    <row r="2866" spans="1:3" x14ac:dyDescent="0.25">
      <c r="A2866" s="52">
        <f t="shared" si="44"/>
        <v>46325</v>
      </c>
      <c r="B2866" s="53">
        <v>2865</v>
      </c>
      <c r="C2866" s="53">
        <v>34352.083200000001</v>
      </c>
    </row>
    <row r="2867" spans="1:3" x14ac:dyDescent="0.25">
      <c r="A2867" s="52">
        <f t="shared" si="44"/>
        <v>46326</v>
      </c>
      <c r="B2867" s="53">
        <v>2866</v>
      </c>
      <c r="C2867" s="53">
        <v>34356.0406</v>
      </c>
    </row>
    <row r="2868" spans="1:3" x14ac:dyDescent="0.25">
      <c r="A2868" s="52">
        <f t="shared" si="44"/>
        <v>46327</v>
      </c>
      <c r="B2868" s="53">
        <v>2867</v>
      </c>
      <c r="C2868" s="53">
        <v>34359.998500000002</v>
      </c>
    </row>
    <row r="2869" spans="1:3" x14ac:dyDescent="0.25">
      <c r="A2869" s="52">
        <f t="shared" si="44"/>
        <v>46328</v>
      </c>
      <c r="B2869" s="53">
        <v>2868</v>
      </c>
      <c r="C2869" s="53">
        <v>34363.956899999997</v>
      </c>
    </row>
    <row r="2870" spans="1:3" x14ac:dyDescent="0.25">
      <c r="A2870" s="52">
        <f t="shared" si="44"/>
        <v>46329</v>
      </c>
      <c r="B2870" s="53">
        <v>2869</v>
      </c>
      <c r="C2870" s="53">
        <v>34367.915699999998</v>
      </c>
    </row>
    <row r="2871" spans="1:3" x14ac:dyDescent="0.25">
      <c r="A2871" s="52">
        <f t="shared" si="44"/>
        <v>46330</v>
      </c>
      <c r="B2871" s="53">
        <v>2870</v>
      </c>
      <c r="C2871" s="53">
        <v>34371.874900000003</v>
      </c>
    </row>
    <row r="2872" spans="1:3" x14ac:dyDescent="0.25">
      <c r="A2872" s="52">
        <f t="shared" si="44"/>
        <v>46331</v>
      </c>
      <c r="B2872" s="53">
        <v>2871</v>
      </c>
      <c r="C2872" s="53">
        <v>34375.834699999999</v>
      </c>
    </row>
    <row r="2873" spans="1:3" x14ac:dyDescent="0.25">
      <c r="A2873" s="52">
        <f t="shared" si="44"/>
        <v>46332</v>
      </c>
      <c r="B2873" s="53">
        <v>2872</v>
      </c>
      <c r="C2873" s="53">
        <v>34379.794800000003</v>
      </c>
    </row>
    <row r="2874" spans="1:3" x14ac:dyDescent="0.25">
      <c r="A2874" s="52">
        <f t="shared" si="44"/>
        <v>46333</v>
      </c>
      <c r="B2874" s="53">
        <v>2873</v>
      </c>
      <c r="C2874" s="53">
        <v>34383.755499999999</v>
      </c>
    </row>
    <row r="2875" spans="1:3" x14ac:dyDescent="0.25">
      <c r="A2875" s="52">
        <f t="shared" si="44"/>
        <v>46334</v>
      </c>
      <c r="B2875" s="53">
        <v>2874</v>
      </c>
      <c r="C2875" s="53">
        <v>34387.7166</v>
      </c>
    </row>
    <row r="2876" spans="1:3" x14ac:dyDescent="0.25">
      <c r="A2876" s="52">
        <f t="shared" si="44"/>
        <v>46335</v>
      </c>
      <c r="B2876" s="53">
        <v>2875</v>
      </c>
      <c r="C2876" s="53">
        <v>34391.678099999997</v>
      </c>
    </row>
    <row r="2877" spans="1:3" x14ac:dyDescent="0.25">
      <c r="A2877" s="52">
        <f t="shared" si="44"/>
        <v>46336</v>
      </c>
      <c r="B2877" s="53">
        <v>2876</v>
      </c>
      <c r="C2877" s="53">
        <v>34395.7408</v>
      </c>
    </row>
    <row r="2878" spans="1:3" x14ac:dyDescent="0.25">
      <c r="A2878" s="52">
        <f t="shared" si="44"/>
        <v>46337</v>
      </c>
      <c r="B2878" s="53">
        <v>2877</v>
      </c>
      <c r="C2878" s="53">
        <v>34399.803999999996</v>
      </c>
    </row>
    <row r="2879" spans="1:3" x14ac:dyDescent="0.25">
      <c r="A2879" s="52">
        <f t="shared" si="44"/>
        <v>46338</v>
      </c>
      <c r="B2879" s="53">
        <v>2878</v>
      </c>
      <c r="C2879" s="53">
        <v>34403.867700000003</v>
      </c>
    </row>
    <row r="2880" spans="1:3" x14ac:dyDescent="0.25">
      <c r="A2880" s="52">
        <f t="shared" si="44"/>
        <v>46339</v>
      </c>
      <c r="B2880" s="53">
        <v>2879</v>
      </c>
      <c r="C2880" s="53">
        <v>34407.931799999998</v>
      </c>
    </row>
    <row r="2881" spans="1:3" x14ac:dyDescent="0.25">
      <c r="A2881" s="52">
        <f t="shared" si="44"/>
        <v>46340</v>
      </c>
      <c r="B2881" s="53">
        <v>2880</v>
      </c>
      <c r="C2881" s="53">
        <v>34411.996500000001</v>
      </c>
    </row>
    <row r="2882" spans="1:3" x14ac:dyDescent="0.25">
      <c r="A2882" s="52">
        <f t="shared" ref="A2882:A2945" si="45">+$G$4+B2882</f>
        <v>46341</v>
      </c>
      <c r="B2882" s="53">
        <v>2881</v>
      </c>
      <c r="C2882" s="53">
        <v>34416.061600000001</v>
      </c>
    </row>
    <row r="2883" spans="1:3" x14ac:dyDescent="0.25">
      <c r="A2883" s="52">
        <f t="shared" si="45"/>
        <v>46342</v>
      </c>
      <c r="B2883" s="53">
        <v>2882</v>
      </c>
      <c r="C2883" s="53">
        <v>34420.127200000003</v>
      </c>
    </row>
    <row r="2884" spans="1:3" x14ac:dyDescent="0.25">
      <c r="A2884" s="52">
        <f t="shared" si="45"/>
        <v>46343</v>
      </c>
      <c r="B2884" s="53">
        <v>2883</v>
      </c>
      <c r="C2884" s="53">
        <v>34424.193299999999</v>
      </c>
    </row>
    <row r="2885" spans="1:3" x14ac:dyDescent="0.25">
      <c r="A2885" s="52">
        <f t="shared" si="45"/>
        <v>46344</v>
      </c>
      <c r="B2885" s="53">
        <v>2884</v>
      </c>
      <c r="C2885" s="53">
        <v>34428.2598</v>
      </c>
    </row>
    <row r="2886" spans="1:3" x14ac:dyDescent="0.25">
      <c r="A2886" s="52">
        <f t="shared" si="45"/>
        <v>46345</v>
      </c>
      <c r="B2886" s="53">
        <v>2885</v>
      </c>
      <c r="C2886" s="53">
        <v>34432.326800000003</v>
      </c>
    </row>
    <row r="2887" spans="1:3" x14ac:dyDescent="0.25">
      <c r="A2887" s="52">
        <f t="shared" si="45"/>
        <v>46346</v>
      </c>
      <c r="B2887" s="53">
        <v>2886</v>
      </c>
      <c r="C2887" s="53">
        <v>34436.394399999997</v>
      </c>
    </row>
    <row r="2888" spans="1:3" x14ac:dyDescent="0.25">
      <c r="A2888" s="52">
        <f t="shared" si="45"/>
        <v>46347</v>
      </c>
      <c r="B2888" s="53">
        <v>2887</v>
      </c>
      <c r="C2888" s="53">
        <v>34440.462399999997</v>
      </c>
    </row>
    <row r="2889" spans="1:3" x14ac:dyDescent="0.25">
      <c r="A2889" s="52">
        <f t="shared" si="45"/>
        <v>46348</v>
      </c>
      <c r="B2889" s="53">
        <v>2888</v>
      </c>
      <c r="C2889" s="53">
        <v>34444.5308</v>
      </c>
    </row>
    <row r="2890" spans="1:3" x14ac:dyDescent="0.25">
      <c r="A2890" s="52">
        <f t="shared" si="45"/>
        <v>46349</v>
      </c>
      <c r="B2890" s="53">
        <v>2889</v>
      </c>
      <c r="C2890" s="53">
        <v>34448.599800000004</v>
      </c>
    </row>
    <row r="2891" spans="1:3" x14ac:dyDescent="0.25">
      <c r="A2891" s="52">
        <f t="shared" si="45"/>
        <v>46350</v>
      </c>
      <c r="B2891" s="53">
        <v>2890</v>
      </c>
      <c r="C2891" s="53">
        <v>34452.669199999997</v>
      </c>
    </row>
    <row r="2892" spans="1:3" x14ac:dyDescent="0.25">
      <c r="A2892" s="52">
        <f t="shared" si="45"/>
        <v>46351</v>
      </c>
      <c r="B2892" s="53">
        <v>2891</v>
      </c>
      <c r="C2892" s="53">
        <v>34456.739099999999</v>
      </c>
    </row>
    <row r="2893" spans="1:3" x14ac:dyDescent="0.25">
      <c r="A2893" s="52">
        <f t="shared" si="45"/>
        <v>46352</v>
      </c>
      <c r="B2893" s="53">
        <v>2892</v>
      </c>
      <c r="C2893" s="53">
        <v>34460.809500000003</v>
      </c>
    </row>
    <row r="2894" spans="1:3" x14ac:dyDescent="0.25">
      <c r="A2894" s="52">
        <f t="shared" si="45"/>
        <v>46353</v>
      </c>
      <c r="B2894" s="53">
        <v>2893</v>
      </c>
      <c r="C2894" s="53">
        <v>34464.880400000002</v>
      </c>
    </row>
    <row r="2895" spans="1:3" x14ac:dyDescent="0.25">
      <c r="A2895" s="52">
        <f t="shared" si="45"/>
        <v>46354</v>
      </c>
      <c r="B2895" s="53">
        <v>2894</v>
      </c>
      <c r="C2895" s="53">
        <v>34468.951800000003</v>
      </c>
    </row>
    <row r="2896" spans="1:3" x14ac:dyDescent="0.25">
      <c r="A2896" s="52">
        <f t="shared" si="45"/>
        <v>46355</v>
      </c>
      <c r="B2896" s="53">
        <v>2895</v>
      </c>
      <c r="C2896" s="53">
        <v>34473.0236</v>
      </c>
    </row>
    <row r="2897" spans="1:3" x14ac:dyDescent="0.25">
      <c r="A2897" s="52">
        <f t="shared" si="45"/>
        <v>46356</v>
      </c>
      <c r="B2897" s="53">
        <v>2896</v>
      </c>
      <c r="C2897" s="53">
        <v>34477.0959</v>
      </c>
    </row>
    <row r="2898" spans="1:3" x14ac:dyDescent="0.25">
      <c r="A2898" s="52">
        <f t="shared" si="45"/>
        <v>46357</v>
      </c>
      <c r="B2898" s="53">
        <v>2897</v>
      </c>
      <c r="C2898" s="53">
        <v>34481.168700000002</v>
      </c>
    </row>
    <row r="2899" spans="1:3" x14ac:dyDescent="0.25">
      <c r="A2899" s="52">
        <f t="shared" si="45"/>
        <v>46358</v>
      </c>
      <c r="B2899" s="53">
        <v>2898</v>
      </c>
      <c r="C2899" s="53">
        <v>34485.241999999998</v>
      </c>
    </row>
    <row r="2900" spans="1:3" x14ac:dyDescent="0.25">
      <c r="A2900" s="52">
        <f t="shared" si="45"/>
        <v>46359</v>
      </c>
      <c r="B2900" s="53">
        <v>2899</v>
      </c>
      <c r="C2900" s="53">
        <v>34489.315799999997</v>
      </c>
    </row>
    <row r="2901" spans="1:3" x14ac:dyDescent="0.25">
      <c r="A2901" s="52">
        <f t="shared" si="45"/>
        <v>46360</v>
      </c>
      <c r="B2901" s="53">
        <v>2900</v>
      </c>
      <c r="C2901" s="53">
        <v>34493.39</v>
      </c>
    </row>
    <row r="2902" spans="1:3" x14ac:dyDescent="0.25">
      <c r="A2902" s="52">
        <f t="shared" si="45"/>
        <v>46361</v>
      </c>
      <c r="B2902" s="53">
        <v>2901</v>
      </c>
      <c r="C2902" s="53">
        <v>34497.464800000002</v>
      </c>
    </row>
    <row r="2903" spans="1:3" x14ac:dyDescent="0.25">
      <c r="A2903" s="52">
        <f t="shared" si="45"/>
        <v>46362</v>
      </c>
      <c r="B2903" s="53">
        <v>2902</v>
      </c>
      <c r="C2903" s="53">
        <v>34501.54</v>
      </c>
    </row>
    <row r="2904" spans="1:3" x14ac:dyDescent="0.25">
      <c r="A2904" s="52">
        <f t="shared" si="45"/>
        <v>46363</v>
      </c>
      <c r="B2904" s="53">
        <v>2903</v>
      </c>
      <c r="C2904" s="53">
        <v>34505.615700000002</v>
      </c>
    </row>
    <row r="2905" spans="1:3" x14ac:dyDescent="0.25">
      <c r="A2905" s="52">
        <f t="shared" si="45"/>
        <v>46364</v>
      </c>
      <c r="B2905" s="53">
        <v>2904</v>
      </c>
      <c r="C2905" s="53">
        <v>34509.691800000001</v>
      </c>
    </row>
    <row r="2906" spans="1:3" x14ac:dyDescent="0.25">
      <c r="A2906" s="52">
        <f t="shared" si="45"/>
        <v>46365</v>
      </c>
      <c r="B2906" s="53">
        <v>2905</v>
      </c>
      <c r="C2906" s="53">
        <v>34513.768499999998</v>
      </c>
    </row>
    <row r="2907" spans="1:3" x14ac:dyDescent="0.25">
      <c r="A2907" s="52">
        <f t="shared" si="45"/>
        <v>46366</v>
      </c>
      <c r="B2907" s="53">
        <v>2906</v>
      </c>
      <c r="C2907" s="53">
        <v>34514.627099999998</v>
      </c>
    </row>
    <row r="2908" spans="1:3" x14ac:dyDescent="0.25">
      <c r="A2908" s="52">
        <f t="shared" si="45"/>
        <v>46367</v>
      </c>
      <c r="B2908" s="53">
        <v>2907</v>
      </c>
      <c r="C2908" s="53">
        <v>34515.485699999997</v>
      </c>
    </row>
    <row r="2909" spans="1:3" x14ac:dyDescent="0.25">
      <c r="A2909" s="52">
        <f t="shared" si="45"/>
        <v>46368</v>
      </c>
      <c r="B2909" s="53">
        <v>2908</v>
      </c>
      <c r="C2909" s="53">
        <v>34516.344299999997</v>
      </c>
    </row>
    <row r="2910" spans="1:3" x14ac:dyDescent="0.25">
      <c r="A2910" s="52">
        <f t="shared" si="45"/>
        <v>46369</v>
      </c>
      <c r="B2910" s="53">
        <v>2909</v>
      </c>
      <c r="C2910" s="53">
        <v>34517.203000000001</v>
      </c>
    </row>
    <row r="2911" spans="1:3" x14ac:dyDescent="0.25">
      <c r="A2911" s="52">
        <f t="shared" si="45"/>
        <v>46370</v>
      </c>
      <c r="B2911" s="53">
        <v>2910</v>
      </c>
      <c r="C2911" s="53">
        <v>34518.061699999998</v>
      </c>
    </row>
    <row r="2912" spans="1:3" x14ac:dyDescent="0.25">
      <c r="A2912" s="52">
        <f t="shared" si="45"/>
        <v>46371</v>
      </c>
      <c r="B2912" s="53">
        <v>2911</v>
      </c>
      <c r="C2912" s="53">
        <v>34518.920400000003</v>
      </c>
    </row>
    <row r="2913" spans="1:3" x14ac:dyDescent="0.25">
      <c r="A2913" s="52">
        <f t="shared" si="45"/>
        <v>46372</v>
      </c>
      <c r="B2913" s="53">
        <v>2912</v>
      </c>
      <c r="C2913" s="53">
        <v>34519.7791</v>
      </c>
    </row>
    <row r="2914" spans="1:3" x14ac:dyDescent="0.25">
      <c r="A2914" s="52">
        <f t="shared" si="45"/>
        <v>46373</v>
      </c>
      <c r="B2914" s="53">
        <v>2913</v>
      </c>
      <c r="C2914" s="53">
        <v>34520.637799999997</v>
      </c>
    </row>
    <row r="2915" spans="1:3" x14ac:dyDescent="0.25">
      <c r="A2915" s="52">
        <f t="shared" si="45"/>
        <v>46374</v>
      </c>
      <c r="B2915" s="53">
        <v>2914</v>
      </c>
      <c r="C2915" s="53">
        <v>34521.496599999999</v>
      </c>
    </row>
    <row r="2916" spans="1:3" x14ac:dyDescent="0.25">
      <c r="A2916" s="52">
        <f t="shared" si="45"/>
        <v>46375</v>
      </c>
      <c r="B2916" s="53">
        <v>2915</v>
      </c>
      <c r="C2916" s="53">
        <v>34522.3554</v>
      </c>
    </row>
    <row r="2917" spans="1:3" x14ac:dyDescent="0.25">
      <c r="A2917" s="52">
        <f t="shared" si="45"/>
        <v>46376</v>
      </c>
      <c r="B2917" s="53">
        <v>2916</v>
      </c>
      <c r="C2917" s="53">
        <v>34523.214200000002</v>
      </c>
    </row>
    <row r="2918" spans="1:3" x14ac:dyDescent="0.25">
      <c r="A2918" s="52">
        <f t="shared" si="45"/>
        <v>46377</v>
      </c>
      <c r="B2918" s="53">
        <v>2917</v>
      </c>
      <c r="C2918" s="53">
        <v>34524.072999999997</v>
      </c>
    </row>
    <row r="2919" spans="1:3" x14ac:dyDescent="0.25">
      <c r="A2919" s="52">
        <f t="shared" si="45"/>
        <v>46378</v>
      </c>
      <c r="B2919" s="53">
        <v>2918</v>
      </c>
      <c r="C2919" s="53">
        <v>34524.931900000003</v>
      </c>
    </row>
    <row r="2920" spans="1:3" x14ac:dyDescent="0.25">
      <c r="A2920" s="52">
        <f t="shared" si="45"/>
        <v>46379</v>
      </c>
      <c r="B2920" s="53">
        <v>2919</v>
      </c>
      <c r="C2920" s="53">
        <v>34525.790800000002</v>
      </c>
    </row>
    <row r="2921" spans="1:3" x14ac:dyDescent="0.25">
      <c r="A2921" s="52">
        <f t="shared" si="45"/>
        <v>46380</v>
      </c>
      <c r="B2921" s="53">
        <v>2920</v>
      </c>
      <c r="C2921" s="53">
        <v>34526.649700000002</v>
      </c>
    </row>
    <row r="2922" spans="1:3" x14ac:dyDescent="0.25">
      <c r="A2922" s="52">
        <f t="shared" si="45"/>
        <v>46381</v>
      </c>
      <c r="B2922" s="53">
        <v>2921</v>
      </c>
      <c r="C2922" s="53">
        <v>34527.508600000001</v>
      </c>
    </row>
    <row r="2923" spans="1:3" x14ac:dyDescent="0.25">
      <c r="A2923" s="52">
        <f t="shared" si="45"/>
        <v>46382</v>
      </c>
      <c r="B2923" s="53">
        <v>2922</v>
      </c>
      <c r="C2923" s="53">
        <v>34528.3675</v>
      </c>
    </row>
    <row r="2924" spans="1:3" x14ac:dyDescent="0.25">
      <c r="A2924" s="52">
        <f t="shared" si="45"/>
        <v>46383</v>
      </c>
      <c r="B2924" s="53">
        <v>2923</v>
      </c>
      <c r="C2924" s="53">
        <v>34529.226499999997</v>
      </c>
    </row>
    <row r="2925" spans="1:3" x14ac:dyDescent="0.25">
      <c r="A2925" s="52">
        <f t="shared" si="45"/>
        <v>46384</v>
      </c>
      <c r="B2925" s="53">
        <v>2924</v>
      </c>
      <c r="C2925" s="53">
        <v>34530.085400000004</v>
      </c>
    </row>
    <row r="2926" spans="1:3" x14ac:dyDescent="0.25">
      <c r="A2926" s="52">
        <f t="shared" si="45"/>
        <v>46385</v>
      </c>
      <c r="B2926" s="53">
        <v>2925</v>
      </c>
      <c r="C2926" s="53">
        <v>34530.9444</v>
      </c>
    </row>
    <row r="2927" spans="1:3" x14ac:dyDescent="0.25">
      <c r="A2927" s="52">
        <f t="shared" si="45"/>
        <v>46386</v>
      </c>
      <c r="B2927" s="53">
        <v>2926</v>
      </c>
      <c r="C2927" s="53">
        <v>34531.803500000002</v>
      </c>
    </row>
    <row r="2928" spans="1:3" x14ac:dyDescent="0.25">
      <c r="A2928" s="52">
        <f t="shared" si="45"/>
        <v>46387</v>
      </c>
      <c r="B2928" s="53">
        <v>2927</v>
      </c>
      <c r="C2928" s="53">
        <v>34532.662499999999</v>
      </c>
    </row>
    <row r="2929" spans="1:3" x14ac:dyDescent="0.25">
      <c r="A2929" s="52">
        <f t="shared" si="45"/>
        <v>46388</v>
      </c>
      <c r="B2929" s="53">
        <v>2928</v>
      </c>
      <c r="C2929" s="53">
        <v>34533.5216</v>
      </c>
    </row>
    <row r="2930" spans="1:3" x14ac:dyDescent="0.25">
      <c r="A2930" s="52">
        <f t="shared" si="45"/>
        <v>46389</v>
      </c>
      <c r="B2930" s="53">
        <v>2929</v>
      </c>
      <c r="C2930" s="53">
        <v>34534.380700000002</v>
      </c>
    </row>
    <row r="2931" spans="1:3" x14ac:dyDescent="0.25">
      <c r="A2931" s="52">
        <f t="shared" si="45"/>
        <v>46390</v>
      </c>
      <c r="B2931" s="53">
        <v>2930</v>
      </c>
      <c r="C2931" s="53">
        <v>34535.239800000003</v>
      </c>
    </row>
    <row r="2932" spans="1:3" x14ac:dyDescent="0.25">
      <c r="A2932" s="52">
        <f t="shared" si="45"/>
        <v>46391</v>
      </c>
      <c r="B2932" s="53">
        <v>2931</v>
      </c>
      <c r="C2932" s="53">
        <v>34536.098899999997</v>
      </c>
    </row>
    <row r="2933" spans="1:3" x14ac:dyDescent="0.25">
      <c r="A2933" s="52">
        <f t="shared" si="45"/>
        <v>46392</v>
      </c>
      <c r="B2933" s="53">
        <v>2932</v>
      </c>
      <c r="C2933" s="53">
        <v>34536.958100000003</v>
      </c>
    </row>
    <row r="2934" spans="1:3" x14ac:dyDescent="0.25">
      <c r="A2934" s="52">
        <f t="shared" si="45"/>
        <v>46393</v>
      </c>
      <c r="B2934" s="53">
        <v>2933</v>
      </c>
      <c r="C2934" s="53">
        <v>34537.817199999998</v>
      </c>
    </row>
    <row r="2935" spans="1:3" x14ac:dyDescent="0.25">
      <c r="A2935" s="52">
        <f t="shared" si="45"/>
        <v>46394</v>
      </c>
      <c r="B2935" s="53">
        <v>2934</v>
      </c>
      <c r="C2935" s="53">
        <v>34538.676399999997</v>
      </c>
    </row>
    <row r="2936" spans="1:3" x14ac:dyDescent="0.25">
      <c r="A2936" s="52">
        <f t="shared" si="45"/>
        <v>46395</v>
      </c>
      <c r="B2936" s="53">
        <v>2935</v>
      </c>
      <c r="C2936" s="53">
        <v>34539.535600000003</v>
      </c>
    </row>
    <row r="2937" spans="1:3" x14ac:dyDescent="0.25">
      <c r="A2937" s="52">
        <f t="shared" si="45"/>
        <v>46396</v>
      </c>
      <c r="B2937" s="53">
        <v>2936</v>
      </c>
      <c r="C2937" s="53">
        <v>34540.394899999999</v>
      </c>
    </row>
    <row r="2938" spans="1:3" x14ac:dyDescent="0.25">
      <c r="A2938" s="52">
        <f t="shared" si="45"/>
        <v>46397</v>
      </c>
      <c r="B2938" s="53">
        <v>2937</v>
      </c>
      <c r="C2938" s="53">
        <v>34541.303</v>
      </c>
    </row>
    <row r="2939" spans="1:3" x14ac:dyDescent="0.25">
      <c r="A2939" s="52">
        <f t="shared" si="45"/>
        <v>46398</v>
      </c>
      <c r="B2939" s="53">
        <v>2938</v>
      </c>
      <c r="C2939" s="53">
        <v>34542.211199999998</v>
      </c>
    </row>
    <row r="2940" spans="1:3" x14ac:dyDescent="0.25">
      <c r="A2940" s="52">
        <f t="shared" si="45"/>
        <v>46399</v>
      </c>
      <c r="B2940" s="53">
        <v>2939</v>
      </c>
      <c r="C2940" s="53">
        <v>34543.119400000003</v>
      </c>
    </row>
    <row r="2941" spans="1:3" x14ac:dyDescent="0.25">
      <c r="A2941" s="52">
        <f t="shared" si="45"/>
        <v>46400</v>
      </c>
      <c r="B2941" s="53">
        <v>2940</v>
      </c>
      <c r="C2941" s="53">
        <v>34544.027600000001</v>
      </c>
    </row>
    <row r="2942" spans="1:3" x14ac:dyDescent="0.25">
      <c r="A2942" s="52">
        <f t="shared" si="45"/>
        <v>46401</v>
      </c>
      <c r="B2942" s="53">
        <v>2941</v>
      </c>
      <c r="C2942" s="53">
        <v>34544.935899999997</v>
      </c>
    </row>
    <row r="2943" spans="1:3" x14ac:dyDescent="0.25">
      <c r="A2943" s="52">
        <f t="shared" si="45"/>
        <v>46402</v>
      </c>
      <c r="B2943" s="53">
        <v>2942</v>
      </c>
      <c r="C2943" s="53">
        <v>34545.8442</v>
      </c>
    </row>
    <row r="2944" spans="1:3" x14ac:dyDescent="0.25">
      <c r="A2944" s="52">
        <f t="shared" si="45"/>
        <v>46403</v>
      </c>
      <c r="B2944" s="53">
        <v>2943</v>
      </c>
      <c r="C2944" s="53">
        <v>34546.752500000002</v>
      </c>
    </row>
    <row r="2945" spans="1:3" x14ac:dyDescent="0.25">
      <c r="A2945" s="52">
        <f t="shared" si="45"/>
        <v>46404</v>
      </c>
      <c r="B2945" s="53">
        <v>2944</v>
      </c>
      <c r="C2945" s="53">
        <v>34547.660799999998</v>
      </c>
    </row>
    <row r="2946" spans="1:3" x14ac:dyDescent="0.25">
      <c r="A2946" s="52">
        <f t="shared" ref="A2946:A3009" si="46">+$G$4+B2946</f>
        <v>46405</v>
      </c>
      <c r="B2946" s="53">
        <v>2945</v>
      </c>
      <c r="C2946" s="53">
        <v>34548.569100000001</v>
      </c>
    </row>
    <row r="2947" spans="1:3" x14ac:dyDescent="0.25">
      <c r="A2947" s="52">
        <f t="shared" si="46"/>
        <v>46406</v>
      </c>
      <c r="B2947" s="53">
        <v>2946</v>
      </c>
      <c r="C2947" s="53">
        <v>34549.477500000001</v>
      </c>
    </row>
    <row r="2948" spans="1:3" x14ac:dyDescent="0.25">
      <c r="A2948" s="52">
        <f t="shared" si="46"/>
        <v>46407</v>
      </c>
      <c r="B2948" s="53">
        <v>2947</v>
      </c>
      <c r="C2948" s="53">
        <v>34550.385900000001</v>
      </c>
    </row>
    <row r="2949" spans="1:3" x14ac:dyDescent="0.25">
      <c r="A2949" s="52">
        <f t="shared" si="46"/>
        <v>46408</v>
      </c>
      <c r="B2949" s="53">
        <v>2948</v>
      </c>
      <c r="C2949" s="53">
        <v>34551.294300000001</v>
      </c>
    </row>
    <row r="2950" spans="1:3" x14ac:dyDescent="0.25">
      <c r="A2950" s="52">
        <f t="shared" si="46"/>
        <v>46409</v>
      </c>
      <c r="B2950" s="53">
        <v>2949</v>
      </c>
      <c r="C2950" s="53">
        <v>34552.202799999999</v>
      </c>
    </row>
    <row r="2951" spans="1:3" x14ac:dyDescent="0.25">
      <c r="A2951" s="52">
        <f t="shared" si="46"/>
        <v>46410</v>
      </c>
      <c r="B2951" s="53">
        <v>2950</v>
      </c>
      <c r="C2951" s="53">
        <v>34553.111199999999</v>
      </c>
    </row>
    <row r="2952" spans="1:3" x14ac:dyDescent="0.25">
      <c r="A2952" s="52">
        <f t="shared" si="46"/>
        <v>46411</v>
      </c>
      <c r="B2952" s="53">
        <v>2951</v>
      </c>
      <c r="C2952" s="53">
        <v>34554.019699999997</v>
      </c>
    </row>
    <row r="2953" spans="1:3" x14ac:dyDescent="0.25">
      <c r="A2953" s="52">
        <f t="shared" si="46"/>
        <v>46412</v>
      </c>
      <c r="B2953" s="53">
        <v>2952</v>
      </c>
      <c r="C2953" s="53">
        <v>34554.928200000002</v>
      </c>
    </row>
    <row r="2954" spans="1:3" x14ac:dyDescent="0.25">
      <c r="A2954" s="52">
        <f t="shared" si="46"/>
        <v>46413</v>
      </c>
      <c r="B2954" s="53">
        <v>2953</v>
      </c>
      <c r="C2954" s="53">
        <v>34555.836799999997</v>
      </c>
    </row>
    <row r="2955" spans="1:3" x14ac:dyDescent="0.25">
      <c r="A2955" s="52">
        <f t="shared" si="46"/>
        <v>46414</v>
      </c>
      <c r="B2955" s="53">
        <v>2954</v>
      </c>
      <c r="C2955" s="53">
        <v>34556.745300000002</v>
      </c>
    </row>
    <row r="2956" spans="1:3" x14ac:dyDescent="0.25">
      <c r="A2956" s="52">
        <f t="shared" si="46"/>
        <v>46415</v>
      </c>
      <c r="B2956" s="53">
        <v>2955</v>
      </c>
      <c r="C2956" s="53">
        <v>34557.653899999998</v>
      </c>
    </row>
    <row r="2957" spans="1:3" x14ac:dyDescent="0.25">
      <c r="A2957" s="52">
        <f t="shared" si="46"/>
        <v>46416</v>
      </c>
      <c r="B2957" s="53">
        <v>2956</v>
      </c>
      <c r="C2957" s="53">
        <v>34558.5625</v>
      </c>
    </row>
    <row r="2958" spans="1:3" x14ac:dyDescent="0.25">
      <c r="A2958" s="52">
        <f t="shared" si="46"/>
        <v>46417</v>
      </c>
      <c r="B2958" s="53">
        <v>2957</v>
      </c>
      <c r="C2958" s="53">
        <v>34559.4712</v>
      </c>
    </row>
    <row r="2959" spans="1:3" x14ac:dyDescent="0.25">
      <c r="A2959" s="52">
        <f t="shared" si="46"/>
        <v>46418</v>
      </c>
      <c r="B2959" s="53">
        <v>2958</v>
      </c>
      <c r="C2959" s="53">
        <v>34560.379800000002</v>
      </c>
    </row>
    <row r="2960" spans="1:3" x14ac:dyDescent="0.25">
      <c r="A2960" s="52">
        <f t="shared" si="46"/>
        <v>46419</v>
      </c>
      <c r="B2960" s="53">
        <v>2959</v>
      </c>
      <c r="C2960" s="53">
        <v>34561.288500000002</v>
      </c>
    </row>
    <row r="2961" spans="1:3" x14ac:dyDescent="0.25">
      <c r="A2961" s="52">
        <f t="shared" si="46"/>
        <v>46420</v>
      </c>
      <c r="B2961" s="53">
        <v>2960</v>
      </c>
      <c r="C2961" s="53">
        <v>34562.197200000002</v>
      </c>
    </row>
    <row r="2962" spans="1:3" x14ac:dyDescent="0.25">
      <c r="A2962" s="52">
        <f t="shared" si="46"/>
        <v>46421</v>
      </c>
      <c r="B2962" s="53">
        <v>2961</v>
      </c>
      <c r="C2962" s="53">
        <v>34563.105900000002</v>
      </c>
    </row>
    <row r="2963" spans="1:3" x14ac:dyDescent="0.25">
      <c r="A2963" s="52">
        <f t="shared" si="46"/>
        <v>46422</v>
      </c>
      <c r="B2963" s="53">
        <v>2962</v>
      </c>
      <c r="C2963" s="53">
        <v>34564.0147</v>
      </c>
    </row>
    <row r="2964" spans="1:3" x14ac:dyDescent="0.25">
      <c r="A2964" s="52">
        <f t="shared" si="46"/>
        <v>46423</v>
      </c>
      <c r="B2964" s="53">
        <v>2963</v>
      </c>
      <c r="C2964" s="53">
        <v>34564.923499999997</v>
      </c>
    </row>
    <row r="2965" spans="1:3" x14ac:dyDescent="0.25">
      <c r="A2965" s="52">
        <f t="shared" si="46"/>
        <v>46424</v>
      </c>
      <c r="B2965" s="53">
        <v>2964</v>
      </c>
      <c r="C2965" s="53">
        <v>34565.832300000002</v>
      </c>
    </row>
    <row r="2966" spans="1:3" x14ac:dyDescent="0.25">
      <c r="A2966" s="52">
        <f t="shared" si="46"/>
        <v>46425</v>
      </c>
      <c r="B2966" s="53">
        <v>2965</v>
      </c>
      <c r="C2966" s="53">
        <v>34566.741099999999</v>
      </c>
    </row>
    <row r="2967" spans="1:3" x14ac:dyDescent="0.25">
      <c r="A2967" s="52">
        <f t="shared" si="46"/>
        <v>46426</v>
      </c>
      <c r="B2967" s="53">
        <v>2966</v>
      </c>
      <c r="C2967" s="53">
        <v>34567.649899999997</v>
      </c>
    </row>
    <row r="2968" spans="1:3" x14ac:dyDescent="0.25">
      <c r="A2968" s="52">
        <f t="shared" si="46"/>
        <v>46427</v>
      </c>
      <c r="B2968" s="53">
        <v>2967</v>
      </c>
      <c r="C2968" s="53">
        <v>34568.558799999999</v>
      </c>
    </row>
    <row r="2969" spans="1:3" x14ac:dyDescent="0.25">
      <c r="A2969" s="52">
        <f t="shared" si="46"/>
        <v>46428</v>
      </c>
      <c r="B2969" s="53">
        <v>2968</v>
      </c>
      <c r="C2969" s="53">
        <v>34571.953800000003</v>
      </c>
    </row>
    <row r="2970" spans="1:3" x14ac:dyDescent="0.25">
      <c r="A2970" s="52">
        <f t="shared" si="46"/>
        <v>46429</v>
      </c>
      <c r="B2970" s="53">
        <v>2969</v>
      </c>
      <c r="C2970" s="53">
        <v>34575.349099999999</v>
      </c>
    </row>
    <row r="2971" spans="1:3" x14ac:dyDescent="0.25">
      <c r="A2971" s="52">
        <f t="shared" si="46"/>
        <v>46430</v>
      </c>
      <c r="B2971" s="53">
        <v>2970</v>
      </c>
      <c r="C2971" s="53">
        <v>34578.744700000003</v>
      </c>
    </row>
    <row r="2972" spans="1:3" x14ac:dyDescent="0.25">
      <c r="A2972" s="52">
        <f t="shared" si="46"/>
        <v>46431</v>
      </c>
      <c r="B2972" s="53">
        <v>2971</v>
      </c>
      <c r="C2972" s="53">
        <v>34582.140700000004</v>
      </c>
    </row>
    <row r="2973" spans="1:3" x14ac:dyDescent="0.25">
      <c r="A2973" s="52">
        <f t="shared" si="46"/>
        <v>46432</v>
      </c>
      <c r="B2973" s="53">
        <v>2972</v>
      </c>
      <c r="C2973" s="53">
        <v>34585.536999999997</v>
      </c>
    </row>
    <row r="2974" spans="1:3" x14ac:dyDescent="0.25">
      <c r="A2974" s="52">
        <f t="shared" si="46"/>
        <v>46433</v>
      </c>
      <c r="B2974" s="53">
        <v>2973</v>
      </c>
      <c r="C2974" s="53">
        <v>34588.933599999997</v>
      </c>
    </row>
    <row r="2975" spans="1:3" x14ac:dyDescent="0.25">
      <c r="A2975" s="52">
        <f t="shared" si="46"/>
        <v>46434</v>
      </c>
      <c r="B2975" s="53">
        <v>2974</v>
      </c>
      <c r="C2975" s="53">
        <v>34592.330600000001</v>
      </c>
    </row>
    <row r="2976" spans="1:3" x14ac:dyDescent="0.25">
      <c r="A2976" s="52">
        <f t="shared" si="46"/>
        <v>46435</v>
      </c>
      <c r="B2976" s="53">
        <v>2975</v>
      </c>
      <c r="C2976" s="53">
        <v>34595.727899999998</v>
      </c>
    </row>
    <row r="2977" spans="1:3" x14ac:dyDescent="0.25">
      <c r="A2977" s="52">
        <f t="shared" si="46"/>
        <v>46436</v>
      </c>
      <c r="B2977" s="53">
        <v>2976</v>
      </c>
      <c r="C2977" s="53">
        <v>34599.125500000002</v>
      </c>
    </row>
    <row r="2978" spans="1:3" x14ac:dyDescent="0.25">
      <c r="A2978" s="52">
        <f t="shared" si="46"/>
        <v>46437</v>
      </c>
      <c r="B2978" s="53">
        <v>2977</v>
      </c>
      <c r="C2978" s="53">
        <v>34602.523500000003</v>
      </c>
    </row>
    <row r="2979" spans="1:3" x14ac:dyDescent="0.25">
      <c r="A2979" s="52">
        <f t="shared" si="46"/>
        <v>46438</v>
      </c>
      <c r="B2979" s="53">
        <v>2978</v>
      </c>
      <c r="C2979" s="53">
        <v>34605.921799999996</v>
      </c>
    </row>
    <row r="2980" spans="1:3" x14ac:dyDescent="0.25">
      <c r="A2980" s="52">
        <f t="shared" si="46"/>
        <v>46439</v>
      </c>
      <c r="B2980" s="53">
        <v>2979</v>
      </c>
      <c r="C2980" s="53">
        <v>34609.320399999997</v>
      </c>
    </row>
    <row r="2981" spans="1:3" x14ac:dyDescent="0.25">
      <c r="A2981" s="52">
        <f t="shared" si="46"/>
        <v>46440</v>
      </c>
      <c r="B2981" s="53">
        <v>2980</v>
      </c>
      <c r="C2981" s="53">
        <v>34612.719400000002</v>
      </c>
    </row>
    <row r="2982" spans="1:3" x14ac:dyDescent="0.25">
      <c r="A2982" s="52">
        <f t="shared" si="46"/>
        <v>46441</v>
      </c>
      <c r="B2982" s="53">
        <v>2981</v>
      </c>
      <c r="C2982" s="53">
        <v>34616.118699999999</v>
      </c>
    </row>
    <row r="2983" spans="1:3" x14ac:dyDescent="0.25">
      <c r="A2983" s="52">
        <f t="shared" si="46"/>
        <v>46442</v>
      </c>
      <c r="B2983" s="53">
        <v>2982</v>
      </c>
      <c r="C2983" s="53">
        <v>34619.518400000001</v>
      </c>
    </row>
    <row r="2984" spans="1:3" x14ac:dyDescent="0.25">
      <c r="A2984" s="52">
        <f t="shared" si="46"/>
        <v>46443</v>
      </c>
      <c r="B2984" s="53">
        <v>2983</v>
      </c>
      <c r="C2984" s="53">
        <v>34622.918299999998</v>
      </c>
    </row>
    <row r="2985" spans="1:3" x14ac:dyDescent="0.25">
      <c r="A2985" s="52">
        <f t="shared" si="46"/>
        <v>46444</v>
      </c>
      <c r="B2985" s="53">
        <v>2984</v>
      </c>
      <c r="C2985" s="53">
        <v>34626.318599999999</v>
      </c>
    </row>
    <row r="2986" spans="1:3" x14ac:dyDescent="0.25">
      <c r="A2986" s="52">
        <f t="shared" si="46"/>
        <v>46445</v>
      </c>
      <c r="B2986" s="53">
        <v>2985</v>
      </c>
      <c r="C2986" s="53">
        <v>34629.719299999997</v>
      </c>
    </row>
    <row r="2987" spans="1:3" x14ac:dyDescent="0.25">
      <c r="A2987" s="52">
        <f t="shared" si="46"/>
        <v>46446</v>
      </c>
      <c r="B2987" s="53">
        <v>2986</v>
      </c>
      <c r="C2987" s="53">
        <v>34633.120300000002</v>
      </c>
    </row>
    <row r="2988" spans="1:3" x14ac:dyDescent="0.25">
      <c r="A2988" s="52">
        <f t="shared" si="46"/>
        <v>46447</v>
      </c>
      <c r="B2988" s="53">
        <v>2987</v>
      </c>
      <c r="C2988" s="53">
        <v>34636.5216</v>
      </c>
    </row>
    <row r="2989" spans="1:3" x14ac:dyDescent="0.25">
      <c r="A2989" s="52">
        <f t="shared" si="46"/>
        <v>46448</v>
      </c>
      <c r="B2989" s="53">
        <v>2988</v>
      </c>
      <c r="C2989" s="53">
        <v>34639.923199999997</v>
      </c>
    </row>
    <row r="2990" spans="1:3" x14ac:dyDescent="0.25">
      <c r="A2990" s="52">
        <f t="shared" si="46"/>
        <v>46449</v>
      </c>
      <c r="B2990" s="53">
        <v>2989</v>
      </c>
      <c r="C2990" s="53">
        <v>34643.325199999999</v>
      </c>
    </row>
    <row r="2991" spans="1:3" x14ac:dyDescent="0.25">
      <c r="A2991" s="52">
        <f t="shared" si="46"/>
        <v>46450</v>
      </c>
      <c r="B2991" s="53">
        <v>2990</v>
      </c>
      <c r="C2991" s="53">
        <v>34646.727500000001</v>
      </c>
    </row>
    <row r="2992" spans="1:3" x14ac:dyDescent="0.25">
      <c r="A2992" s="52">
        <f t="shared" si="46"/>
        <v>46451</v>
      </c>
      <c r="B2992" s="53">
        <v>2991</v>
      </c>
      <c r="C2992" s="53">
        <v>34650.1302</v>
      </c>
    </row>
    <row r="2993" spans="1:3" x14ac:dyDescent="0.25">
      <c r="A2993" s="52">
        <f t="shared" si="46"/>
        <v>46452</v>
      </c>
      <c r="B2993" s="53">
        <v>2992</v>
      </c>
      <c r="C2993" s="53">
        <v>34653.533100000001</v>
      </c>
    </row>
    <row r="2994" spans="1:3" x14ac:dyDescent="0.25">
      <c r="A2994" s="52">
        <f t="shared" si="46"/>
        <v>46453</v>
      </c>
      <c r="B2994" s="53">
        <v>2993</v>
      </c>
      <c r="C2994" s="53">
        <v>34656.936399999999</v>
      </c>
    </row>
    <row r="2995" spans="1:3" x14ac:dyDescent="0.25">
      <c r="A2995" s="52">
        <f t="shared" si="46"/>
        <v>46454</v>
      </c>
      <c r="B2995" s="53">
        <v>2994</v>
      </c>
      <c r="C2995" s="53">
        <v>34660.340100000001</v>
      </c>
    </row>
    <row r="2996" spans="1:3" x14ac:dyDescent="0.25">
      <c r="A2996" s="52">
        <f t="shared" si="46"/>
        <v>46455</v>
      </c>
      <c r="B2996" s="53">
        <v>2995</v>
      </c>
      <c r="C2996" s="53">
        <v>34663.744100000004</v>
      </c>
    </row>
    <row r="2997" spans="1:3" x14ac:dyDescent="0.25">
      <c r="A2997" s="52">
        <f t="shared" si="46"/>
        <v>46456</v>
      </c>
      <c r="B2997" s="53">
        <v>2996</v>
      </c>
      <c r="C2997" s="53">
        <v>34666.183100000002</v>
      </c>
    </row>
    <row r="2998" spans="1:3" x14ac:dyDescent="0.25">
      <c r="A2998" s="52">
        <f t="shared" si="46"/>
        <v>46457</v>
      </c>
      <c r="B2998" s="53">
        <v>2997</v>
      </c>
      <c r="C2998" s="53">
        <v>34668.622199999998</v>
      </c>
    </row>
    <row r="2999" spans="1:3" x14ac:dyDescent="0.25">
      <c r="A2999" s="52">
        <f t="shared" si="46"/>
        <v>46458</v>
      </c>
      <c r="B2999" s="53">
        <v>2998</v>
      </c>
      <c r="C2999" s="53">
        <v>34671.061500000003</v>
      </c>
    </row>
    <row r="3000" spans="1:3" x14ac:dyDescent="0.25">
      <c r="A3000" s="52">
        <f t="shared" si="46"/>
        <v>46459</v>
      </c>
      <c r="B3000" s="53">
        <v>2999</v>
      </c>
      <c r="C3000" s="53">
        <v>34673.500999999997</v>
      </c>
    </row>
    <row r="3001" spans="1:3" x14ac:dyDescent="0.25">
      <c r="A3001" s="52">
        <f t="shared" si="46"/>
        <v>46460</v>
      </c>
      <c r="B3001" s="53">
        <v>3000</v>
      </c>
      <c r="C3001" s="53">
        <v>34675.940600000002</v>
      </c>
    </row>
    <row r="3002" spans="1:3" x14ac:dyDescent="0.25">
      <c r="A3002" s="52">
        <f t="shared" si="46"/>
        <v>46461</v>
      </c>
      <c r="B3002" s="53">
        <v>3001</v>
      </c>
      <c r="C3002" s="53">
        <v>34678.380499999999</v>
      </c>
    </row>
    <row r="3003" spans="1:3" x14ac:dyDescent="0.25">
      <c r="A3003" s="52">
        <f t="shared" si="46"/>
        <v>46462</v>
      </c>
      <c r="B3003" s="53">
        <v>3002</v>
      </c>
      <c r="C3003" s="53">
        <v>34680.820500000002</v>
      </c>
    </row>
    <row r="3004" spans="1:3" x14ac:dyDescent="0.25">
      <c r="A3004" s="52">
        <f t="shared" si="46"/>
        <v>46463</v>
      </c>
      <c r="B3004" s="53">
        <v>3003</v>
      </c>
      <c r="C3004" s="53">
        <v>34683.260699999999</v>
      </c>
    </row>
    <row r="3005" spans="1:3" x14ac:dyDescent="0.25">
      <c r="A3005" s="52">
        <f t="shared" si="46"/>
        <v>46464</v>
      </c>
      <c r="B3005" s="53">
        <v>3004</v>
      </c>
      <c r="C3005" s="53">
        <v>34685.701000000001</v>
      </c>
    </row>
    <row r="3006" spans="1:3" x14ac:dyDescent="0.25">
      <c r="A3006" s="52">
        <f t="shared" si="46"/>
        <v>46465</v>
      </c>
      <c r="B3006" s="53">
        <v>3005</v>
      </c>
      <c r="C3006" s="53">
        <v>34688.141499999998</v>
      </c>
    </row>
    <row r="3007" spans="1:3" x14ac:dyDescent="0.25">
      <c r="A3007" s="52">
        <f t="shared" si="46"/>
        <v>46466</v>
      </c>
      <c r="B3007" s="53">
        <v>3006</v>
      </c>
      <c r="C3007" s="53">
        <v>34690.582199999997</v>
      </c>
    </row>
    <row r="3008" spans="1:3" x14ac:dyDescent="0.25">
      <c r="A3008" s="52">
        <f t="shared" si="46"/>
        <v>46467</v>
      </c>
      <c r="B3008" s="53">
        <v>3007</v>
      </c>
      <c r="C3008" s="53">
        <v>34693.023099999999</v>
      </c>
    </row>
    <row r="3009" spans="1:3" x14ac:dyDescent="0.25">
      <c r="A3009" s="52">
        <f t="shared" si="46"/>
        <v>46468</v>
      </c>
      <c r="B3009" s="53">
        <v>3008</v>
      </c>
      <c r="C3009" s="53">
        <v>34695.464099999997</v>
      </c>
    </row>
    <row r="3010" spans="1:3" x14ac:dyDescent="0.25">
      <c r="A3010" s="52">
        <f t="shared" ref="A3010:A3073" si="47">+$G$4+B3010</f>
        <v>46469</v>
      </c>
      <c r="B3010" s="53">
        <v>3009</v>
      </c>
      <c r="C3010" s="53">
        <v>34697.905299999999</v>
      </c>
    </row>
    <row r="3011" spans="1:3" x14ac:dyDescent="0.25">
      <c r="A3011" s="52">
        <f t="shared" si="47"/>
        <v>46470</v>
      </c>
      <c r="B3011" s="53">
        <v>3010</v>
      </c>
      <c r="C3011" s="53">
        <v>34700.346700000002</v>
      </c>
    </row>
    <row r="3012" spans="1:3" x14ac:dyDescent="0.25">
      <c r="A3012" s="52">
        <f t="shared" si="47"/>
        <v>46471</v>
      </c>
      <c r="B3012" s="53">
        <v>3011</v>
      </c>
      <c r="C3012" s="53">
        <v>34702.788200000003</v>
      </c>
    </row>
    <row r="3013" spans="1:3" x14ac:dyDescent="0.25">
      <c r="A3013" s="52">
        <f t="shared" si="47"/>
        <v>46472</v>
      </c>
      <c r="B3013" s="53">
        <v>3012</v>
      </c>
      <c r="C3013" s="53">
        <v>34705.229899999998</v>
      </c>
    </row>
    <row r="3014" spans="1:3" x14ac:dyDescent="0.25">
      <c r="A3014" s="52">
        <f t="shared" si="47"/>
        <v>46473</v>
      </c>
      <c r="B3014" s="53">
        <v>3013</v>
      </c>
      <c r="C3014" s="53">
        <v>34707.671799999996</v>
      </c>
    </row>
    <row r="3015" spans="1:3" x14ac:dyDescent="0.25">
      <c r="A3015" s="52">
        <f t="shared" si="47"/>
        <v>46474</v>
      </c>
      <c r="B3015" s="53">
        <v>3014</v>
      </c>
      <c r="C3015" s="53">
        <v>34710.113899999997</v>
      </c>
    </row>
    <row r="3016" spans="1:3" x14ac:dyDescent="0.25">
      <c r="A3016" s="52">
        <f t="shared" si="47"/>
        <v>46475</v>
      </c>
      <c r="B3016" s="53">
        <v>3015</v>
      </c>
      <c r="C3016" s="53">
        <v>34712.556100000002</v>
      </c>
    </row>
    <row r="3017" spans="1:3" x14ac:dyDescent="0.25">
      <c r="A3017" s="52">
        <f t="shared" si="47"/>
        <v>46476</v>
      </c>
      <c r="B3017" s="53">
        <v>3016</v>
      </c>
      <c r="C3017" s="53">
        <v>34714.998500000002</v>
      </c>
    </row>
    <row r="3018" spans="1:3" x14ac:dyDescent="0.25">
      <c r="A3018" s="52">
        <f t="shared" si="47"/>
        <v>46477</v>
      </c>
      <c r="B3018" s="53">
        <v>3017</v>
      </c>
      <c r="C3018" s="53">
        <v>34717.441099999996</v>
      </c>
    </row>
    <row r="3019" spans="1:3" x14ac:dyDescent="0.25">
      <c r="A3019" s="52">
        <f t="shared" si="47"/>
        <v>46478</v>
      </c>
      <c r="B3019" s="53">
        <v>3018</v>
      </c>
      <c r="C3019" s="53">
        <v>34719.883800000003</v>
      </c>
    </row>
    <row r="3020" spans="1:3" x14ac:dyDescent="0.25">
      <c r="A3020" s="52">
        <f t="shared" si="47"/>
        <v>46479</v>
      </c>
      <c r="B3020" s="53">
        <v>3019</v>
      </c>
      <c r="C3020" s="53">
        <v>34722.326800000003</v>
      </c>
    </row>
    <row r="3021" spans="1:3" x14ac:dyDescent="0.25">
      <c r="A3021" s="52">
        <f t="shared" si="47"/>
        <v>46480</v>
      </c>
      <c r="B3021" s="53">
        <v>3020</v>
      </c>
      <c r="C3021" s="53">
        <v>34724.769899999999</v>
      </c>
    </row>
    <row r="3022" spans="1:3" x14ac:dyDescent="0.25">
      <c r="A3022" s="52">
        <f t="shared" si="47"/>
        <v>46481</v>
      </c>
      <c r="B3022" s="53">
        <v>3021</v>
      </c>
      <c r="C3022" s="53">
        <v>34727.213100000001</v>
      </c>
    </row>
    <row r="3023" spans="1:3" x14ac:dyDescent="0.25">
      <c r="A3023" s="52">
        <f t="shared" si="47"/>
        <v>46482</v>
      </c>
      <c r="B3023" s="53">
        <v>3022</v>
      </c>
      <c r="C3023" s="53">
        <v>34729.656600000002</v>
      </c>
    </row>
    <row r="3024" spans="1:3" x14ac:dyDescent="0.25">
      <c r="A3024" s="52">
        <f t="shared" si="47"/>
        <v>46483</v>
      </c>
      <c r="B3024" s="53">
        <v>3023</v>
      </c>
      <c r="C3024" s="53">
        <v>34732.100200000001</v>
      </c>
    </row>
    <row r="3025" spans="1:3" x14ac:dyDescent="0.25">
      <c r="A3025" s="52">
        <f t="shared" si="47"/>
        <v>46484</v>
      </c>
      <c r="B3025" s="53">
        <v>3024</v>
      </c>
      <c r="C3025" s="53">
        <v>34734.543899999997</v>
      </c>
    </row>
    <row r="3026" spans="1:3" x14ac:dyDescent="0.25">
      <c r="A3026" s="52">
        <f t="shared" si="47"/>
        <v>46485</v>
      </c>
      <c r="B3026" s="53">
        <v>3025</v>
      </c>
      <c r="C3026" s="53">
        <v>34736.9879</v>
      </c>
    </row>
    <row r="3027" spans="1:3" x14ac:dyDescent="0.25">
      <c r="A3027" s="52">
        <f t="shared" si="47"/>
        <v>46486</v>
      </c>
      <c r="B3027" s="53">
        <v>3026</v>
      </c>
      <c r="C3027" s="53">
        <v>34739.432000000001</v>
      </c>
    </row>
    <row r="3028" spans="1:3" x14ac:dyDescent="0.25">
      <c r="A3028" s="52">
        <f t="shared" si="47"/>
        <v>46487</v>
      </c>
      <c r="B3028" s="53">
        <v>3027</v>
      </c>
      <c r="C3028" s="53">
        <v>34742.909500000002</v>
      </c>
    </row>
    <row r="3029" spans="1:3" x14ac:dyDescent="0.25">
      <c r="A3029" s="52">
        <f t="shared" si="47"/>
        <v>46488</v>
      </c>
      <c r="B3029" s="53">
        <v>3028</v>
      </c>
      <c r="C3029" s="53">
        <v>34746.387300000002</v>
      </c>
    </row>
    <row r="3030" spans="1:3" x14ac:dyDescent="0.25">
      <c r="A3030" s="52">
        <f t="shared" si="47"/>
        <v>46489</v>
      </c>
      <c r="B3030" s="53">
        <v>3029</v>
      </c>
      <c r="C3030" s="53">
        <v>34749.8655</v>
      </c>
    </row>
    <row r="3031" spans="1:3" x14ac:dyDescent="0.25">
      <c r="A3031" s="52">
        <f t="shared" si="47"/>
        <v>46490</v>
      </c>
      <c r="B3031" s="53">
        <v>3030</v>
      </c>
      <c r="C3031" s="53">
        <v>34753.343999999997</v>
      </c>
    </row>
    <row r="3032" spans="1:3" x14ac:dyDescent="0.25">
      <c r="A3032" s="52">
        <f t="shared" si="47"/>
        <v>46491</v>
      </c>
      <c r="B3032" s="53">
        <v>3031</v>
      </c>
      <c r="C3032" s="53">
        <v>34756.822899999999</v>
      </c>
    </row>
    <row r="3033" spans="1:3" x14ac:dyDescent="0.25">
      <c r="A3033" s="52">
        <f t="shared" si="47"/>
        <v>46492</v>
      </c>
      <c r="B3033" s="53">
        <v>3032</v>
      </c>
      <c r="C3033" s="53">
        <v>34760.302100000001</v>
      </c>
    </row>
    <row r="3034" spans="1:3" x14ac:dyDescent="0.25">
      <c r="A3034" s="52">
        <f t="shared" si="47"/>
        <v>46493</v>
      </c>
      <c r="B3034" s="53">
        <v>3033</v>
      </c>
      <c r="C3034" s="53">
        <v>34763.7817</v>
      </c>
    </row>
    <row r="3035" spans="1:3" x14ac:dyDescent="0.25">
      <c r="A3035" s="52">
        <f t="shared" si="47"/>
        <v>46494</v>
      </c>
      <c r="B3035" s="53">
        <v>3034</v>
      </c>
      <c r="C3035" s="53">
        <v>34767.261599999998</v>
      </c>
    </row>
    <row r="3036" spans="1:3" x14ac:dyDescent="0.25">
      <c r="A3036" s="52">
        <f t="shared" si="47"/>
        <v>46495</v>
      </c>
      <c r="B3036" s="53">
        <v>3035</v>
      </c>
      <c r="C3036" s="53">
        <v>34770.741900000001</v>
      </c>
    </row>
    <row r="3037" spans="1:3" x14ac:dyDescent="0.25">
      <c r="A3037" s="52">
        <f t="shared" si="47"/>
        <v>46496</v>
      </c>
      <c r="B3037" s="53">
        <v>3036</v>
      </c>
      <c r="C3037" s="53">
        <v>34774.222500000003</v>
      </c>
    </row>
    <row r="3038" spans="1:3" x14ac:dyDescent="0.25">
      <c r="A3038" s="52">
        <f t="shared" si="47"/>
        <v>46497</v>
      </c>
      <c r="B3038" s="53">
        <v>3037</v>
      </c>
      <c r="C3038" s="53">
        <v>34777.703399999999</v>
      </c>
    </row>
    <row r="3039" spans="1:3" x14ac:dyDescent="0.25">
      <c r="A3039" s="52">
        <f t="shared" si="47"/>
        <v>46498</v>
      </c>
      <c r="B3039" s="53">
        <v>3038</v>
      </c>
      <c r="C3039" s="53">
        <v>34781.184699999998</v>
      </c>
    </row>
    <row r="3040" spans="1:3" x14ac:dyDescent="0.25">
      <c r="A3040" s="52">
        <f t="shared" si="47"/>
        <v>46499</v>
      </c>
      <c r="B3040" s="53">
        <v>3039</v>
      </c>
      <c r="C3040" s="53">
        <v>34784.666400000002</v>
      </c>
    </row>
    <row r="3041" spans="1:3" x14ac:dyDescent="0.25">
      <c r="A3041" s="52">
        <f t="shared" si="47"/>
        <v>46500</v>
      </c>
      <c r="B3041" s="53">
        <v>3040</v>
      </c>
      <c r="C3041" s="53">
        <v>34788.148399999998</v>
      </c>
    </row>
    <row r="3042" spans="1:3" x14ac:dyDescent="0.25">
      <c r="A3042" s="52">
        <f t="shared" si="47"/>
        <v>46501</v>
      </c>
      <c r="B3042" s="53">
        <v>3041</v>
      </c>
      <c r="C3042" s="53">
        <v>34791.630700000002</v>
      </c>
    </row>
    <row r="3043" spans="1:3" x14ac:dyDescent="0.25">
      <c r="A3043" s="52">
        <f t="shared" si="47"/>
        <v>46502</v>
      </c>
      <c r="B3043" s="53">
        <v>3042</v>
      </c>
      <c r="C3043" s="53">
        <v>34795.113499999999</v>
      </c>
    </row>
    <row r="3044" spans="1:3" x14ac:dyDescent="0.25">
      <c r="A3044" s="52">
        <f t="shared" si="47"/>
        <v>46503</v>
      </c>
      <c r="B3044" s="53">
        <v>3043</v>
      </c>
      <c r="C3044" s="53">
        <v>34798.5965</v>
      </c>
    </row>
    <row r="3045" spans="1:3" x14ac:dyDescent="0.25">
      <c r="A3045" s="52">
        <f t="shared" si="47"/>
        <v>46504</v>
      </c>
      <c r="B3045" s="53">
        <v>3044</v>
      </c>
      <c r="C3045" s="53">
        <v>34802.079899999997</v>
      </c>
    </row>
    <row r="3046" spans="1:3" x14ac:dyDescent="0.25">
      <c r="A3046" s="52">
        <f t="shared" si="47"/>
        <v>46505</v>
      </c>
      <c r="B3046" s="53">
        <v>3045</v>
      </c>
      <c r="C3046" s="53">
        <v>34805.563699999999</v>
      </c>
    </row>
    <row r="3047" spans="1:3" x14ac:dyDescent="0.25">
      <c r="A3047" s="52">
        <f t="shared" si="47"/>
        <v>46506</v>
      </c>
      <c r="B3047" s="53">
        <v>3046</v>
      </c>
      <c r="C3047" s="53">
        <v>34809.047700000003</v>
      </c>
    </row>
    <row r="3048" spans="1:3" x14ac:dyDescent="0.25">
      <c r="A3048" s="52">
        <f t="shared" si="47"/>
        <v>46507</v>
      </c>
      <c r="B3048" s="53">
        <v>3047</v>
      </c>
      <c r="C3048" s="53">
        <v>34812.532200000001</v>
      </c>
    </row>
    <row r="3049" spans="1:3" x14ac:dyDescent="0.25">
      <c r="A3049" s="52">
        <f t="shared" si="47"/>
        <v>46508</v>
      </c>
      <c r="B3049" s="53">
        <v>3048</v>
      </c>
      <c r="C3049" s="53">
        <v>34816.017</v>
      </c>
    </row>
    <row r="3050" spans="1:3" x14ac:dyDescent="0.25">
      <c r="A3050" s="52">
        <f t="shared" si="47"/>
        <v>46509</v>
      </c>
      <c r="B3050" s="53">
        <v>3049</v>
      </c>
      <c r="C3050" s="53">
        <v>34819.502099999998</v>
      </c>
    </row>
    <row r="3051" spans="1:3" x14ac:dyDescent="0.25">
      <c r="A3051" s="52">
        <f t="shared" si="47"/>
        <v>46510</v>
      </c>
      <c r="B3051" s="53">
        <v>3050</v>
      </c>
      <c r="C3051" s="53">
        <v>34822.9876</v>
      </c>
    </row>
    <row r="3052" spans="1:3" x14ac:dyDescent="0.25">
      <c r="A3052" s="52">
        <f t="shared" si="47"/>
        <v>46511</v>
      </c>
      <c r="B3052" s="53">
        <v>3051</v>
      </c>
      <c r="C3052" s="53">
        <v>34826.4735</v>
      </c>
    </row>
    <row r="3053" spans="1:3" x14ac:dyDescent="0.25">
      <c r="A3053" s="52">
        <f t="shared" si="47"/>
        <v>46512</v>
      </c>
      <c r="B3053" s="53">
        <v>3052</v>
      </c>
      <c r="C3053" s="53">
        <v>34829.959699999999</v>
      </c>
    </row>
    <row r="3054" spans="1:3" x14ac:dyDescent="0.25">
      <c r="A3054" s="52">
        <f t="shared" si="47"/>
        <v>46513</v>
      </c>
      <c r="B3054" s="53">
        <v>3053</v>
      </c>
      <c r="C3054" s="53">
        <v>34833.446199999998</v>
      </c>
    </row>
    <row r="3055" spans="1:3" x14ac:dyDescent="0.25">
      <c r="A3055" s="52">
        <f t="shared" si="47"/>
        <v>46514</v>
      </c>
      <c r="B3055" s="53">
        <v>3054</v>
      </c>
      <c r="C3055" s="53">
        <v>34836.933100000002</v>
      </c>
    </row>
    <row r="3056" spans="1:3" x14ac:dyDescent="0.25">
      <c r="A3056" s="52">
        <f t="shared" si="47"/>
        <v>46515</v>
      </c>
      <c r="B3056" s="53">
        <v>3055</v>
      </c>
      <c r="C3056" s="53">
        <v>34840.420299999998</v>
      </c>
    </row>
    <row r="3057" spans="1:3" x14ac:dyDescent="0.25">
      <c r="A3057" s="52">
        <f t="shared" si="47"/>
        <v>46516</v>
      </c>
      <c r="B3057" s="53">
        <v>3056</v>
      </c>
      <c r="C3057" s="53">
        <v>34843.907899999998</v>
      </c>
    </row>
    <row r="3058" spans="1:3" x14ac:dyDescent="0.25">
      <c r="A3058" s="52">
        <f t="shared" si="47"/>
        <v>46517</v>
      </c>
      <c r="B3058" s="53">
        <v>3057</v>
      </c>
      <c r="C3058" s="53">
        <v>34846.7111</v>
      </c>
    </row>
    <row r="3059" spans="1:3" x14ac:dyDescent="0.25">
      <c r="A3059" s="52">
        <f t="shared" si="47"/>
        <v>46518</v>
      </c>
      <c r="B3059" s="53">
        <v>3058</v>
      </c>
      <c r="C3059" s="53">
        <v>34849.514600000002</v>
      </c>
    </row>
    <row r="3060" spans="1:3" x14ac:dyDescent="0.25">
      <c r="A3060" s="52">
        <f t="shared" si="47"/>
        <v>46519</v>
      </c>
      <c r="B3060" s="53">
        <v>3059</v>
      </c>
      <c r="C3060" s="53">
        <v>34852.318200000002</v>
      </c>
    </row>
    <row r="3061" spans="1:3" x14ac:dyDescent="0.25">
      <c r="A3061" s="52">
        <f t="shared" si="47"/>
        <v>46520</v>
      </c>
      <c r="B3061" s="53">
        <v>3060</v>
      </c>
      <c r="C3061" s="53">
        <v>34855.122100000001</v>
      </c>
    </row>
    <row r="3062" spans="1:3" x14ac:dyDescent="0.25">
      <c r="A3062" s="52">
        <f t="shared" si="47"/>
        <v>46521</v>
      </c>
      <c r="B3062" s="53">
        <v>3061</v>
      </c>
      <c r="C3062" s="53">
        <v>34857.926200000002</v>
      </c>
    </row>
    <row r="3063" spans="1:3" x14ac:dyDescent="0.25">
      <c r="A3063" s="52">
        <f t="shared" si="47"/>
        <v>46522</v>
      </c>
      <c r="B3063" s="53">
        <v>3062</v>
      </c>
      <c r="C3063" s="53">
        <v>34860.730600000003</v>
      </c>
    </row>
    <row r="3064" spans="1:3" x14ac:dyDescent="0.25">
      <c r="A3064" s="52">
        <f t="shared" si="47"/>
        <v>46523</v>
      </c>
      <c r="B3064" s="53">
        <v>3063</v>
      </c>
      <c r="C3064" s="53">
        <v>34863.535100000001</v>
      </c>
    </row>
    <row r="3065" spans="1:3" x14ac:dyDescent="0.25">
      <c r="A3065" s="52">
        <f t="shared" si="47"/>
        <v>46524</v>
      </c>
      <c r="B3065" s="53">
        <v>3064</v>
      </c>
      <c r="C3065" s="53">
        <v>34866.339899999999</v>
      </c>
    </row>
    <row r="3066" spans="1:3" x14ac:dyDescent="0.25">
      <c r="A3066" s="52">
        <f t="shared" si="47"/>
        <v>46525</v>
      </c>
      <c r="B3066" s="53">
        <v>3065</v>
      </c>
      <c r="C3066" s="53">
        <v>34869.144899999999</v>
      </c>
    </row>
    <row r="3067" spans="1:3" x14ac:dyDescent="0.25">
      <c r="A3067" s="52">
        <f t="shared" si="47"/>
        <v>46526</v>
      </c>
      <c r="B3067" s="53">
        <v>3066</v>
      </c>
      <c r="C3067" s="53">
        <v>34871.950199999999</v>
      </c>
    </row>
    <row r="3068" spans="1:3" x14ac:dyDescent="0.25">
      <c r="A3068" s="52">
        <f t="shared" si="47"/>
        <v>46527</v>
      </c>
      <c r="B3068" s="53">
        <v>3067</v>
      </c>
      <c r="C3068" s="53">
        <v>34874.755599999997</v>
      </c>
    </row>
    <row r="3069" spans="1:3" x14ac:dyDescent="0.25">
      <c r="A3069" s="52">
        <f t="shared" si="47"/>
        <v>46528</v>
      </c>
      <c r="B3069" s="53">
        <v>3068</v>
      </c>
      <c r="C3069" s="53">
        <v>34877.561300000001</v>
      </c>
    </row>
    <row r="3070" spans="1:3" x14ac:dyDescent="0.25">
      <c r="A3070" s="52">
        <f t="shared" si="47"/>
        <v>46529</v>
      </c>
      <c r="B3070" s="53">
        <v>3069</v>
      </c>
      <c r="C3070" s="53">
        <v>34880.367200000001</v>
      </c>
    </row>
    <row r="3071" spans="1:3" x14ac:dyDescent="0.25">
      <c r="A3071" s="52">
        <f t="shared" si="47"/>
        <v>46530</v>
      </c>
      <c r="B3071" s="53">
        <v>3070</v>
      </c>
      <c r="C3071" s="53">
        <v>34883.1734</v>
      </c>
    </row>
    <row r="3072" spans="1:3" x14ac:dyDescent="0.25">
      <c r="A3072" s="52">
        <f t="shared" si="47"/>
        <v>46531</v>
      </c>
      <c r="B3072" s="53">
        <v>3071</v>
      </c>
      <c r="C3072" s="53">
        <v>34885.979800000001</v>
      </c>
    </row>
    <row r="3073" spans="1:3" x14ac:dyDescent="0.25">
      <c r="A3073" s="52">
        <f t="shared" si="47"/>
        <v>46532</v>
      </c>
      <c r="B3073" s="53">
        <v>3072</v>
      </c>
      <c r="C3073" s="53">
        <v>34888.786399999997</v>
      </c>
    </row>
    <row r="3074" spans="1:3" x14ac:dyDescent="0.25">
      <c r="A3074" s="52">
        <f t="shared" ref="A3074:A3137" si="48">+$G$4+B3074</f>
        <v>46533</v>
      </c>
      <c r="B3074" s="53">
        <v>3073</v>
      </c>
      <c r="C3074" s="53">
        <v>34891.593200000003</v>
      </c>
    </row>
    <row r="3075" spans="1:3" x14ac:dyDescent="0.25">
      <c r="A3075" s="52">
        <f t="shared" si="48"/>
        <v>46534</v>
      </c>
      <c r="B3075" s="53">
        <v>3074</v>
      </c>
      <c r="C3075" s="53">
        <v>34894.400199999996</v>
      </c>
    </row>
    <row r="3076" spans="1:3" x14ac:dyDescent="0.25">
      <c r="A3076" s="52">
        <f t="shared" si="48"/>
        <v>46535</v>
      </c>
      <c r="B3076" s="53">
        <v>3075</v>
      </c>
      <c r="C3076" s="53">
        <v>34897.207499999997</v>
      </c>
    </row>
    <row r="3077" spans="1:3" x14ac:dyDescent="0.25">
      <c r="A3077" s="52">
        <f t="shared" si="48"/>
        <v>46536</v>
      </c>
      <c r="B3077" s="53">
        <v>3076</v>
      </c>
      <c r="C3077" s="53">
        <v>34900.014999999999</v>
      </c>
    </row>
    <row r="3078" spans="1:3" x14ac:dyDescent="0.25">
      <c r="A3078" s="52">
        <f t="shared" si="48"/>
        <v>46537</v>
      </c>
      <c r="B3078" s="53">
        <v>3077</v>
      </c>
      <c r="C3078" s="53">
        <v>34902.822699999997</v>
      </c>
    </row>
    <row r="3079" spans="1:3" x14ac:dyDescent="0.25">
      <c r="A3079" s="52">
        <f t="shared" si="48"/>
        <v>46538</v>
      </c>
      <c r="B3079" s="53">
        <v>3078</v>
      </c>
      <c r="C3079" s="53">
        <v>34905.630700000002</v>
      </c>
    </row>
    <row r="3080" spans="1:3" x14ac:dyDescent="0.25">
      <c r="A3080" s="52">
        <f t="shared" si="48"/>
        <v>46539</v>
      </c>
      <c r="B3080" s="53">
        <v>3079</v>
      </c>
      <c r="C3080" s="53">
        <v>34908.438800000004</v>
      </c>
    </row>
    <row r="3081" spans="1:3" x14ac:dyDescent="0.25">
      <c r="A3081" s="52">
        <f t="shared" si="48"/>
        <v>46540</v>
      </c>
      <c r="B3081" s="53">
        <v>3080</v>
      </c>
      <c r="C3081" s="53">
        <v>34911.247199999998</v>
      </c>
    </row>
    <row r="3082" spans="1:3" x14ac:dyDescent="0.25">
      <c r="A3082" s="52">
        <f t="shared" si="48"/>
        <v>46541</v>
      </c>
      <c r="B3082" s="53">
        <v>3081</v>
      </c>
      <c r="C3082" s="53">
        <v>34914.055899999999</v>
      </c>
    </row>
    <row r="3083" spans="1:3" x14ac:dyDescent="0.25">
      <c r="A3083" s="52">
        <f t="shared" si="48"/>
        <v>46542</v>
      </c>
      <c r="B3083" s="53">
        <v>3082</v>
      </c>
      <c r="C3083" s="53">
        <v>34916.864699999998</v>
      </c>
    </row>
    <row r="3084" spans="1:3" x14ac:dyDescent="0.25">
      <c r="A3084" s="52">
        <f t="shared" si="48"/>
        <v>46543</v>
      </c>
      <c r="B3084" s="53">
        <v>3083</v>
      </c>
      <c r="C3084" s="53">
        <v>34919.673799999997</v>
      </c>
    </row>
    <row r="3085" spans="1:3" x14ac:dyDescent="0.25">
      <c r="A3085" s="52">
        <f t="shared" si="48"/>
        <v>46544</v>
      </c>
      <c r="B3085" s="53">
        <v>3084</v>
      </c>
      <c r="C3085" s="53">
        <v>34922.483099999998</v>
      </c>
    </row>
    <row r="3086" spans="1:3" x14ac:dyDescent="0.25">
      <c r="A3086" s="52">
        <f t="shared" si="48"/>
        <v>46545</v>
      </c>
      <c r="B3086" s="53">
        <v>3085</v>
      </c>
      <c r="C3086" s="53">
        <v>34925.292600000001</v>
      </c>
    </row>
    <row r="3087" spans="1:3" x14ac:dyDescent="0.25">
      <c r="A3087" s="52">
        <f t="shared" si="48"/>
        <v>46546</v>
      </c>
      <c r="B3087" s="53">
        <v>3086</v>
      </c>
      <c r="C3087" s="53">
        <v>34928.102400000003</v>
      </c>
    </row>
    <row r="3088" spans="1:3" x14ac:dyDescent="0.25">
      <c r="A3088" s="52">
        <f t="shared" si="48"/>
        <v>46547</v>
      </c>
      <c r="B3088" s="53">
        <v>3087</v>
      </c>
      <c r="C3088" s="53">
        <v>34930.912400000001</v>
      </c>
    </row>
    <row r="3089" spans="1:3" x14ac:dyDescent="0.25">
      <c r="A3089" s="52">
        <f t="shared" si="48"/>
        <v>46548</v>
      </c>
      <c r="B3089" s="53">
        <v>3088</v>
      </c>
      <c r="C3089" s="53">
        <v>34933.718500000003</v>
      </c>
    </row>
    <row r="3090" spans="1:3" x14ac:dyDescent="0.25">
      <c r="A3090" s="52">
        <f t="shared" si="48"/>
        <v>46549</v>
      </c>
      <c r="B3090" s="53">
        <v>3089</v>
      </c>
      <c r="C3090" s="53">
        <v>34936.524799999999</v>
      </c>
    </row>
    <row r="3091" spans="1:3" x14ac:dyDescent="0.25">
      <c r="A3091" s="52">
        <f t="shared" si="48"/>
        <v>46550</v>
      </c>
      <c r="B3091" s="53">
        <v>3090</v>
      </c>
      <c r="C3091" s="53">
        <v>34939.331299999998</v>
      </c>
    </row>
    <row r="3092" spans="1:3" x14ac:dyDescent="0.25">
      <c r="A3092" s="52">
        <f t="shared" si="48"/>
        <v>46551</v>
      </c>
      <c r="B3092" s="53">
        <v>3091</v>
      </c>
      <c r="C3092" s="53">
        <v>34942.138099999996</v>
      </c>
    </row>
    <row r="3093" spans="1:3" x14ac:dyDescent="0.25">
      <c r="A3093" s="52">
        <f t="shared" si="48"/>
        <v>46552</v>
      </c>
      <c r="B3093" s="53">
        <v>3092</v>
      </c>
      <c r="C3093" s="53">
        <v>34944.945099999997</v>
      </c>
    </row>
    <row r="3094" spans="1:3" x14ac:dyDescent="0.25">
      <c r="A3094" s="52">
        <f t="shared" si="48"/>
        <v>46553</v>
      </c>
      <c r="B3094" s="53">
        <v>3093</v>
      </c>
      <c r="C3094" s="53">
        <v>34947.7523</v>
      </c>
    </row>
    <row r="3095" spans="1:3" x14ac:dyDescent="0.25">
      <c r="A3095" s="52">
        <f t="shared" si="48"/>
        <v>46554</v>
      </c>
      <c r="B3095" s="53">
        <v>3094</v>
      </c>
      <c r="C3095" s="53">
        <v>34950.559699999998</v>
      </c>
    </row>
    <row r="3096" spans="1:3" x14ac:dyDescent="0.25">
      <c r="A3096" s="52">
        <f t="shared" si="48"/>
        <v>46555</v>
      </c>
      <c r="B3096" s="53">
        <v>3095</v>
      </c>
      <c r="C3096" s="53">
        <v>34953.367400000003</v>
      </c>
    </row>
    <row r="3097" spans="1:3" x14ac:dyDescent="0.25">
      <c r="A3097" s="52">
        <f t="shared" si="48"/>
        <v>46556</v>
      </c>
      <c r="B3097" s="53">
        <v>3096</v>
      </c>
      <c r="C3097" s="53">
        <v>34956.175300000003</v>
      </c>
    </row>
    <row r="3098" spans="1:3" x14ac:dyDescent="0.25">
      <c r="A3098" s="52">
        <f t="shared" si="48"/>
        <v>46557</v>
      </c>
      <c r="B3098" s="53">
        <v>3097</v>
      </c>
      <c r="C3098" s="53">
        <v>34958.983399999997</v>
      </c>
    </row>
    <row r="3099" spans="1:3" x14ac:dyDescent="0.25">
      <c r="A3099" s="52">
        <f t="shared" si="48"/>
        <v>46558</v>
      </c>
      <c r="B3099" s="53">
        <v>3098</v>
      </c>
      <c r="C3099" s="53">
        <v>34961.791700000002</v>
      </c>
    </row>
    <row r="3100" spans="1:3" x14ac:dyDescent="0.25">
      <c r="A3100" s="52">
        <f t="shared" si="48"/>
        <v>46559</v>
      </c>
      <c r="B3100" s="53">
        <v>3099</v>
      </c>
      <c r="C3100" s="53">
        <v>34964.600299999998</v>
      </c>
    </row>
    <row r="3101" spans="1:3" x14ac:dyDescent="0.25">
      <c r="A3101" s="52">
        <f t="shared" si="48"/>
        <v>46560</v>
      </c>
      <c r="B3101" s="53">
        <v>3100</v>
      </c>
      <c r="C3101" s="53">
        <v>34967.409099999997</v>
      </c>
    </row>
    <row r="3102" spans="1:3" x14ac:dyDescent="0.25">
      <c r="A3102" s="52">
        <f t="shared" si="48"/>
        <v>46561</v>
      </c>
      <c r="B3102" s="53">
        <v>3101</v>
      </c>
      <c r="C3102" s="53">
        <v>34970.218099999998</v>
      </c>
    </row>
    <row r="3103" spans="1:3" x14ac:dyDescent="0.25">
      <c r="A3103" s="52">
        <f t="shared" si="48"/>
        <v>46562</v>
      </c>
      <c r="B3103" s="53">
        <v>3102</v>
      </c>
      <c r="C3103" s="53">
        <v>34973.027300000002</v>
      </c>
    </row>
    <row r="3104" spans="1:3" x14ac:dyDescent="0.25">
      <c r="A3104" s="52">
        <f t="shared" si="48"/>
        <v>46563</v>
      </c>
      <c r="B3104" s="53">
        <v>3103</v>
      </c>
      <c r="C3104" s="53">
        <v>34975.836799999997</v>
      </c>
    </row>
    <row r="3105" spans="1:3" x14ac:dyDescent="0.25">
      <c r="A3105" s="52">
        <f t="shared" si="48"/>
        <v>46564</v>
      </c>
      <c r="B3105" s="53">
        <v>3104</v>
      </c>
      <c r="C3105" s="53">
        <v>34978.646500000003</v>
      </c>
    </row>
    <row r="3106" spans="1:3" x14ac:dyDescent="0.25">
      <c r="A3106" s="52">
        <f t="shared" si="48"/>
        <v>46565</v>
      </c>
      <c r="B3106" s="53">
        <v>3105</v>
      </c>
      <c r="C3106" s="53">
        <v>34981.456400000003</v>
      </c>
    </row>
    <row r="3107" spans="1:3" x14ac:dyDescent="0.25">
      <c r="A3107" s="52">
        <f t="shared" si="48"/>
        <v>46566</v>
      </c>
      <c r="B3107" s="53">
        <v>3106</v>
      </c>
      <c r="C3107" s="53">
        <v>34984.266600000003</v>
      </c>
    </row>
    <row r="3108" spans="1:3" x14ac:dyDescent="0.25">
      <c r="A3108" s="52">
        <f t="shared" si="48"/>
        <v>46567</v>
      </c>
      <c r="B3108" s="53">
        <v>3107</v>
      </c>
      <c r="C3108" s="53">
        <v>34987.0769</v>
      </c>
    </row>
    <row r="3109" spans="1:3" x14ac:dyDescent="0.25">
      <c r="A3109" s="52">
        <f t="shared" si="48"/>
        <v>46568</v>
      </c>
      <c r="B3109" s="53">
        <v>3108</v>
      </c>
      <c r="C3109" s="53">
        <v>34989.887499999997</v>
      </c>
    </row>
    <row r="3110" spans="1:3" x14ac:dyDescent="0.25">
      <c r="A3110" s="52">
        <f t="shared" si="48"/>
        <v>46569</v>
      </c>
      <c r="B3110" s="53">
        <v>3109</v>
      </c>
      <c r="C3110" s="53">
        <v>34992.698400000001</v>
      </c>
    </row>
    <row r="3111" spans="1:3" x14ac:dyDescent="0.25">
      <c r="A3111" s="52">
        <f t="shared" si="48"/>
        <v>46570</v>
      </c>
      <c r="B3111" s="53">
        <v>3110</v>
      </c>
      <c r="C3111" s="53">
        <v>34995.509400000003</v>
      </c>
    </row>
    <row r="3112" spans="1:3" x14ac:dyDescent="0.25">
      <c r="A3112" s="52">
        <f t="shared" si="48"/>
        <v>46571</v>
      </c>
      <c r="B3112" s="53">
        <v>3111</v>
      </c>
      <c r="C3112" s="53">
        <v>34998.320699999997</v>
      </c>
    </row>
    <row r="3113" spans="1:3" x14ac:dyDescent="0.25">
      <c r="A3113" s="52">
        <f t="shared" si="48"/>
        <v>46572</v>
      </c>
      <c r="B3113" s="53">
        <v>3112</v>
      </c>
      <c r="C3113" s="53">
        <v>35001.1322</v>
      </c>
    </row>
    <row r="3114" spans="1:3" x14ac:dyDescent="0.25">
      <c r="A3114" s="52">
        <f t="shared" si="48"/>
        <v>46573</v>
      </c>
      <c r="B3114" s="53">
        <v>3113</v>
      </c>
      <c r="C3114" s="53">
        <v>35003.943899999998</v>
      </c>
    </row>
    <row r="3115" spans="1:3" x14ac:dyDescent="0.25">
      <c r="A3115" s="52">
        <f t="shared" si="48"/>
        <v>46574</v>
      </c>
      <c r="B3115" s="53">
        <v>3114</v>
      </c>
      <c r="C3115" s="53">
        <v>35006.755899999996</v>
      </c>
    </row>
    <row r="3116" spans="1:3" x14ac:dyDescent="0.25">
      <c r="A3116" s="52">
        <f t="shared" si="48"/>
        <v>46575</v>
      </c>
      <c r="B3116" s="53">
        <v>3115</v>
      </c>
      <c r="C3116" s="53">
        <v>35009.568099999997</v>
      </c>
    </row>
    <row r="3117" spans="1:3" x14ac:dyDescent="0.25">
      <c r="A3117" s="52">
        <f t="shared" si="48"/>
        <v>46576</v>
      </c>
      <c r="B3117" s="53">
        <v>3116</v>
      </c>
      <c r="C3117" s="53">
        <v>35012.380499999999</v>
      </c>
    </row>
    <row r="3118" spans="1:3" x14ac:dyDescent="0.25">
      <c r="A3118" s="52">
        <f t="shared" si="48"/>
        <v>46577</v>
      </c>
      <c r="B3118" s="53">
        <v>3117</v>
      </c>
      <c r="C3118" s="53">
        <v>35015.193099999997</v>
      </c>
    </row>
    <row r="3119" spans="1:3" x14ac:dyDescent="0.25">
      <c r="A3119" s="52">
        <f t="shared" si="48"/>
        <v>46578</v>
      </c>
      <c r="B3119" s="53">
        <v>3118</v>
      </c>
      <c r="C3119" s="53">
        <v>35017.398200000003</v>
      </c>
    </row>
    <row r="3120" spans="1:3" x14ac:dyDescent="0.25">
      <c r="A3120" s="52">
        <f t="shared" si="48"/>
        <v>46579</v>
      </c>
      <c r="B3120" s="53">
        <v>3119</v>
      </c>
      <c r="C3120" s="53">
        <v>35019.603499999997</v>
      </c>
    </row>
    <row r="3121" spans="1:3" x14ac:dyDescent="0.25">
      <c r="A3121" s="52">
        <f t="shared" si="48"/>
        <v>46580</v>
      </c>
      <c r="B3121" s="53">
        <v>3120</v>
      </c>
      <c r="C3121" s="53">
        <v>35021.809000000001</v>
      </c>
    </row>
    <row r="3122" spans="1:3" x14ac:dyDescent="0.25">
      <c r="A3122" s="52">
        <f t="shared" si="48"/>
        <v>46581</v>
      </c>
      <c r="B3122" s="53">
        <v>3121</v>
      </c>
      <c r="C3122" s="53">
        <v>35024.014499999997</v>
      </c>
    </row>
    <row r="3123" spans="1:3" x14ac:dyDescent="0.25">
      <c r="A3123" s="52">
        <f t="shared" si="48"/>
        <v>46582</v>
      </c>
      <c r="B3123" s="53">
        <v>3122</v>
      </c>
      <c r="C3123" s="53">
        <v>35026.220200000003</v>
      </c>
    </row>
    <row r="3124" spans="1:3" x14ac:dyDescent="0.25">
      <c r="A3124" s="52">
        <f t="shared" si="48"/>
        <v>46583</v>
      </c>
      <c r="B3124" s="53">
        <v>3123</v>
      </c>
      <c r="C3124" s="53">
        <v>35028.426099999997</v>
      </c>
    </row>
    <row r="3125" spans="1:3" x14ac:dyDescent="0.25">
      <c r="A3125" s="52">
        <f t="shared" si="48"/>
        <v>46584</v>
      </c>
      <c r="B3125" s="53">
        <v>3124</v>
      </c>
      <c r="C3125" s="53">
        <v>35030.632100000003</v>
      </c>
    </row>
    <row r="3126" spans="1:3" x14ac:dyDescent="0.25">
      <c r="A3126" s="52">
        <f t="shared" si="48"/>
        <v>46585</v>
      </c>
      <c r="B3126" s="53">
        <v>3125</v>
      </c>
      <c r="C3126" s="53">
        <v>35032.838199999998</v>
      </c>
    </row>
    <row r="3127" spans="1:3" x14ac:dyDescent="0.25">
      <c r="A3127" s="52">
        <f t="shared" si="48"/>
        <v>46586</v>
      </c>
      <c r="B3127" s="53">
        <v>3126</v>
      </c>
      <c r="C3127" s="53">
        <v>35035.044500000004</v>
      </c>
    </row>
    <row r="3128" spans="1:3" x14ac:dyDescent="0.25">
      <c r="A3128" s="52">
        <f t="shared" si="48"/>
        <v>46587</v>
      </c>
      <c r="B3128" s="53">
        <v>3127</v>
      </c>
      <c r="C3128" s="53">
        <v>35037.250899999999</v>
      </c>
    </row>
    <row r="3129" spans="1:3" x14ac:dyDescent="0.25">
      <c r="A3129" s="52">
        <f t="shared" si="48"/>
        <v>46588</v>
      </c>
      <c r="B3129" s="53">
        <v>3128</v>
      </c>
      <c r="C3129" s="53">
        <v>35039.457399999999</v>
      </c>
    </row>
    <row r="3130" spans="1:3" x14ac:dyDescent="0.25">
      <c r="A3130" s="52">
        <f t="shared" si="48"/>
        <v>46589</v>
      </c>
      <c r="B3130" s="53">
        <v>3129</v>
      </c>
      <c r="C3130" s="53">
        <v>35041.664100000002</v>
      </c>
    </row>
    <row r="3131" spans="1:3" x14ac:dyDescent="0.25">
      <c r="A3131" s="52">
        <f t="shared" si="48"/>
        <v>46590</v>
      </c>
      <c r="B3131" s="53">
        <v>3130</v>
      </c>
      <c r="C3131" s="53">
        <v>35043.870900000002</v>
      </c>
    </row>
    <row r="3132" spans="1:3" x14ac:dyDescent="0.25">
      <c r="A3132" s="52">
        <f t="shared" si="48"/>
        <v>46591</v>
      </c>
      <c r="B3132" s="53">
        <v>3131</v>
      </c>
      <c r="C3132" s="53">
        <v>35046.077899999997</v>
      </c>
    </row>
    <row r="3133" spans="1:3" x14ac:dyDescent="0.25">
      <c r="A3133" s="52">
        <f t="shared" si="48"/>
        <v>46592</v>
      </c>
      <c r="B3133" s="53">
        <v>3132</v>
      </c>
      <c r="C3133" s="53">
        <v>35048.285000000003</v>
      </c>
    </row>
    <row r="3134" spans="1:3" x14ac:dyDescent="0.25">
      <c r="A3134" s="52">
        <f t="shared" si="48"/>
        <v>46593</v>
      </c>
      <c r="B3134" s="53">
        <v>3133</v>
      </c>
      <c r="C3134" s="53">
        <v>35050.492200000001</v>
      </c>
    </row>
    <row r="3135" spans="1:3" x14ac:dyDescent="0.25">
      <c r="A3135" s="52">
        <f t="shared" si="48"/>
        <v>46594</v>
      </c>
      <c r="B3135" s="53">
        <v>3134</v>
      </c>
      <c r="C3135" s="53">
        <v>35052.6996</v>
      </c>
    </row>
    <row r="3136" spans="1:3" x14ac:dyDescent="0.25">
      <c r="A3136" s="52">
        <f t="shared" si="48"/>
        <v>46595</v>
      </c>
      <c r="B3136" s="53">
        <v>3135</v>
      </c>
      <c r="C3136" s="53">
        <v>35054.907099999997</v>
      </c>
    </row>
    <row r="3137" spans="1:3" x14ac:dyDescent="0.25">
      <c r="A3137" s="52">
        <f t="shared" si="48"/>
        <v>46596</v>
      </c>
      <c r="B3137" s="53">
        <v>3136</v>
      </c>
      <c r="C3137" s="53">
        <v>35057.114699999998</v>
      </c>
    </row>
    <row r="3138" spans="1:3" x14ac:dyDescent="0.25">
      <c r="A3138" s="52">
        <f t="shared" ref="A3138:A3201" si="49">+$G$4+B3138</f>
        <v>46597</v>
      </c>
      <c r="B3138" s="53">
        <v>3137</v>
      </c>
      <c r="C3138" s="53">
        <v>35059.322500000002</v>
      </c>
    </row>
    <row r="3139" spans="1:3" x14ac:dyDescent="0.25">
      <c r="A3139" s="52">
        <f t="shared" si="49"/>
        <v>46598</v>
      </c>
      <c r="B3139" s="53">
        <v>3138</v>
      </c>
      <c r="C3139" s="53">
        <v>35061.530500000001</v>
      </c>
    </row>
    <row r="3140" spans="1:3" x14ac:dyDescent="0.25">
      <c r="A3140" s="52">
        <f t="shared" si="49"/>
        <v>46599</v>
      </c>
      <c r="B3140" s="53">
        <v>3139</v>
      </c>
      <c r="C3140" s="53">
        <v>35063.738499999999</v>
      </c>
    </row>
    <row r="3141" spans="1:3" x14ac:dyDescent="0.25">
      <c r="A3141" s="52">
        <f t="shared" si="49"/>
        <v>46600</v>
      </c>
      <c r="B3141" s="53">
        <v>3140</v>
      </c>
      <c r="C3141" s="53">
        <v>35065.9467</v>
      </c>
    </row>
    <row r="3142" spans="1:3" x14ac:dyDescent="0.25">
      <c r="A3142" s="52">
        <f t="shared" si="49"/>
        <v>46601</v>
      </c>
      <c r="B3142" s="53">
        <v>3141</v>
      </c>
      <c r="C3142" s="53">
        <v>35068.155100000004</v>
      </c>
    </row>
    <row r="3143" spans="1:3" x14ac:dyDescent="0.25">
      <c r="A3143" s="52">
        <f t="shared" si="49"/>
        <v>46602</v>
      </c>
      <c r="B3143" s="53">
        <v>3142</v>
      </c>
      <c r="C3143" s="53">
        <v>35070.363599999997</v>
      </c>
    </row>
    <row r="3144" spans="1:3" x14ac:dyDescent="0.25">
      <c r="A3144" s="52">
        <f t="shared" si="49"/>
        <v>46603</v>
      </c>
      <c r="B3144" s="53">
        <v>3143</v>
      </c>
      <c r="C3144" s="53">
        <v>35072.572200000002</v>
      </c>
    </row>
    <row r="3145" spans="1:3" x14ac:dyDescent="0.25">
      <c r="A3145" s="52">
        <f t="shared" si="49"/>
        <v>46604</v>
      </c>
      <c r="B3145" s="53">
        <v>3144</v>
      </c>
      <c r="C3145" s="53">
        <v>35074.781000000003</v>
      </c>
    </row>
    <row r="3146" spans="1:3" x14ac:dyDescent="0.25">
      <c r="A3146" s="52">
        <f t="shared" si="49"/>
        <v>46605</v>
      </c>
      <c r="B3146" s="53">
        <v>3145</v>
      </c>
      <c r="C3146" s="53">
        <v>35076.9899</v>
      </c>
    </row>
    <row r="3147" spans="1:3" x14ac:dyDescent="0.25">
      <c r="A3147" s="52">
        <f t="shared" si="49"/>
        <v>46606</v>
      </c>
      <c r="B3147" s="53">
        <v>3146</v>
      </c>
      <c r="C3147" s="53">
        <v>35079.198900000003</v>
      </c>
    </row>
    <row r="3148" spans="1:3" x14ac:dyDescent="0.25">
      <c r="A3148" s="52">
        <f t="shared" si="49"/>
        <v>46607</v>
      </c>
      <c r="B3148" s="53">
        <v>3147</v>
      </c>
      <c r="C3148" s="53">
        <v>35081.408100000001</v>
      </c>
    </row>
    <row r="3149" spans="1:3" x14ac:dyDescent="0.25">
      <c r="A3149" s="52">
        <f t="shared" si="49"/>
        <v>46608</v>
      </c>
      <c r="B3149" s="53">
        <v>3148</v>
      </c>
      <c r="C3149" s="53">
        <v>35083.617400000003</v>
      </c>
    </row>
    <row r="3150" spans="1:3" x14ac:dyDescent="0.25">
      <c r="A3150" s="52">
        <f t="shared" si="49"/>
        <v>46609</v>
      </c>
      <c r="B3150" s="53">
        <v>3149</v>
      </c>
      <c r="C3150" s="53">
        <v>35086.612399999998</v>
      </c>
    </row>
    <row r="3151" spans="1:3" x14ac:dyDescent="0.25">
      <c r="A3151" s="52">
        <f t="shared" si="49"/>
        <v>46610</v>
      </c>
      <c r="B3151" s="53">
        <v>3150</v>
      </c>
      <c r="C3151" s="53">
        <v>35089.6077</v>
      </c>
    </row>
    <row r="3152" spans="1:3" x14ac:dyDescent="0.25">
      <c r="A3152" s="52">
        <f t="shared" si="49"/>
        <v>46611</v>
      </c>
      <c r="B3152" s="53">
        <v>3151</v>
      </c>
      <c r="C3152" s="53">
        <v>35092.603199999998</v>
      </c>
    </row>
    <row r="3153" spans="1:3" x14ac:dyDescent="0.25">
      <c r="A3153" s="52">
        <f t="shared" si="49"/>
        <v>46612</v>
      </c>
      <c r="B3153" s="53">
        <v>3152</v>
      </c>
      <c r="C3153" s="53">
        <v>35095.599000000002</v>
      </c>
    </row>
    <row r="3154" spans="1:3" x14ac:dyDescent="0.25">
      <c r="A3154" s="52">
        <f t="shared" si="49"/>
        <v>46613</v>
      </c>
      <c r="B3154" s="53">
        <v>3153</v>
      </c>
      <c r="C3154" s="53">
        <v>35098.595000000001</v>
      </c>
    </row>
    <row r="3155" spans="1:3" x14ac:dyDescent="0.25">
      <c r="A3155" s="52">
        <f t="shared" si="49"/>
        <v>46614</v>
      </c>
      <c r="B3155" s="53">
        <v>3154</v>
      </c>
      <c r="C3155" s="53">
        <v>35101.5913</v>
      </c>
    </row>
    <row r="3156" spans="1:3" x14ac:dyDescent="0.25">
      <c r="A3156" s="52">
        <f t="shared" si="49"/>
        <v>46615</v>
      </c>
      <c r="B3156" s="53">
        <v>3155</v>
      </c>
      <c r="C3156" s="53">
        <v>35104.587899999999</v>
      </c>
    </row>
    <row r="3157" spans="1:3" x14ac:dyDescent="0.25">
      <c r="A3157" s="52">
        <f t="shared" si="49"/>
        <v>46616</v>
      </c>
      <c r="B3157" s="53">
        <v>3156</v>
      </c>
      <c r="C3157" s="53">
        <v>35107.584699999999</v>
      </c>
    </row>
    <row r="3158" spans="1:3" x14ac:dyDescent="0.25">
      <c r="A3158" s="52">
        <f t="shared" si="49"/>
        <v>46617</v>
      </c>
      <c r="B3158" s="53">
        <v>3157</v>
      </c>
      <c r="C3158" s="53">
        <v>35110.581700000002</v>
      </c>
    </row>
    <row r="3159" spans="1:3" x14ac:dyDescent="0.25">
      <c r="A3159" s="52">
        <f t="shared" si="49"/>
        <v>46618</v>
      </c>
      <c r="B3159" s="53">
        <v>3158</v>
      </c>
      <c r="C3159" s="53">
        <v>35113.579100000003</v>
      </c>
    </row>
    <row r="3160" spans="1:3" x14ac:dyDescent="0.25">
      <c r="A3160" s="52">
        <f t="shared" si="49"/>
        <v>46619</v>
      </c>
      <c r="B3160" s="53">
        <v>3159</v>
      </c>
      <c r="C3160" s="53">
        <v>35116.5766</v>
      </c>
    </row>
    <row r="3161" spans="1:3" x14ac:dyDescent="0.25">
      <c r="A3161" s="52">
        <f t="shared" si="49"/>
        <v>46620</v>
      </c>
      <c r="B3161" s="53">
        <v>3160</v>
      </c>
      <c r="C3161" s="53">
        <v>35119.574500000002</v>
      </c>
    </row>
    <row r="3162" spans="1:3" x14ac:dyDescent="0.25">
      <c r="A3162" s="52">
        <f t="shared" si="49"/>
        <v>46621</v>
      </c>
      <c r="B3162" s="53">
        <v>3161</v>
      </c>
      <c r="C3162" s="53">
        <v>35122.572500000002</v>
      </c>
    </row>
    <row r="3163" spans="1:3" x14ac:dyDescent="0.25">
      <c r="A3163" s="52">
        <f t="shared" si="49"/>
        <v>46622</v>
      </c>
      <c r="B3163" s="53">
        <v>3162</v>
      </c>
      <c r="C3163" s="53">
        <v>35125.570899999999</v>
      </c>
    </row>
    <row r="3164" spans="1:3" x14ac:dyDescent="0.25">
      <c r="A3164" s="52">
        <f t="shared" si="49"/>
        <v>46623</v>
      </c>
      <c r="B3164" s="53">
        <v>3163</v>
      </c>
      <c r="C3164" s="53">
        <v>35128.569499999998</v>
      </c>
    </row>
    <row r="3165" spans="1:3" x14ac:dyDescent="0.25">
      <c r="A3165" s="52">
        <f t="shared" si="49"/>
        <v>46624</v>
      </c>
      <c r="B3165" s="53">
        <v>3164</v>
      </c>
      <c r="C3165" s="53">
        <v>35131.568299999999</v>
      </c>
    </row>
    <row r="3166" spans="1:3" x14ac:dyDescent="0.25">
      <c r="A3166" s="52">
        <f t="shared" si="49"/>
        <v>46625</v>
      </c>
      <c r="B3166" s="53">
        <v>3165</v>
      </c>
      <c r="C3166" s="53">
        <v>35134.5674</v>
      </c>
    </row>
    <row r="3167" spans="1:3" x14ac:dyDescent="0.25">
      <c r="A3167" s="52">
        <f t="shared" si="49"/>
        <v>46626</v>
      </c>
      <c r="B3167" s="53">
        <v>3166</v>
      </c>
      <c r="C3167" s="53">
        <v>35137.566800000001</v>
      </c>
    </row>
    <row r="3168" spans="1:3" x14ac:dyDescent="0.25">
      <c r="A3168" s="52">
        <f t="shared" si="49"/>
        <v>46627</v>
      </c>
      <c r="B3168" s="53">
        <v>3167</v>
      </c>
      <c r="C3168" s="53">
        <v>35140.566400000003</v>
      </c>
    </row>
    <row r="3169" spans="1:3" x14ac:dyDescent="0.25">
      <c r="A3169" s="52">
        <f t="shared" si="49"/>
        <v>46628</v>
      </c>
      <c r="B3169" s="53">
        <v>3168</v>
      </c>
      <c r="C3169" s="53">
        <v>35143.566299999999</v>
      </c>
    </row>
    <row r="3170" spans="1:3" x14ac:dyDescent="0.25">
      <c r="A3170" s="52">
        <f t="shared" si="49"/>
        <v>46629</v>
      </c>
      <c r="B3170" s="53">
        <v>3169</v>
      </c>
      <c r="C3170" s="53">
        <v>35146.566400000003</v>
      </c>
    </row>
    <row r="3171" spans="1:3" x14ac:dyDescent="0.25">
      <c r="A3171" s="52">
        <f t="shared" si="49"/>
        <v>46630</v>
      </c>
      <c r="B3171" s="53">
        <v>3170</v>
      </c>
      <c r="C3171" s="53">
        <v>35149.566800000001</v>
      </c>
    </row>
    <row r="3172" spans="1:3" x14ac:dyDescent="0.25">
      <c r="A3172" s="52">
        <f t="shared" si="49"/>
        <v>46631</v>
      </c>
      <c r="B3172" s="53">
        <v>3171</v>
      </c>
      <c r="C3172" s="53">
        <v>35152.567499999997</v>
      </c>
    </row>
    <row r="3173" spans="1:3" x14ac:dyDescent="0.25">
      <c r="A3173" s="52">
        <f t="shared" si="49"/>
        <v>46632</v>
      </c>
      <c r="B3173" s="53">
        <v>3172</v>
      </c>
      <c r="C3173" s="53">
        <v>35155.568399999996</v>
      </c>
    </row>
    <row r="3174" spans="1:3" x14ac:dyDescent="0.25">
      <c r="A3174" s="52">
        <f t="shared" si="49"/>
        <v>46633</v>
      </c>
      <c r="B3174" s="53">
        <v>3173</v>
      </c>
      <c r="C3174" s="53">
        <v>35158.569499999998</v>
      </c>
    </row>
    <row r="3175" spans="1:3" x14ac:dyDescent="0.25">
      <c r="A3175" s="52">
        <f t="shared" si="49"/>
        <v>46634</v>
      </c>
      <c r="B3175" s="53">
        <v>3174</v>
      </c>
      <c r="C3175" s="53">
        <v>35161.570899999999</v>
      </c>
    </row>
    <row r="3176" spans="1:3" x14ac:dyDescent="0.25">
      <c r="A3176" s="52">
        <f t="shared" si="49"/>
        <v>46635</v>
      </c>
      <c r="B3176" s="53">
        <v>3175</v>
      </c>
      <c r="C3176" s="53">
        <v>35164.5726</v>
      </c>
    </row>
    <row r="3177" spans="1:3" x14ac:dyDescent="0.25">
      <c r="A3177" s="52">
        <f t="shared" si="49"/>
        <v>46636</v>
      </c>
      <c r="B3177" s="53">
        <v>3176</v>
      </c>
      <c r="C3177" s="53">
        <v>35167.574500000002</v>
      </c>
    </row>
    <row r="3178" spans="1:3" x14ac:dyDescent="0.25">
      <c r="A3178" s="52">
        <f t="shared" si="49"/>
        <v>46637</v>
      </c>
      <c r="B3178" s="53">
        <v>3177</v>
      </c>
      <c r="C3178" s="53">
        <v>35170.576699999998</v>
      </c>
    </row>
    <row r="3179" spans="1:3" x14ac:dyDescent="0.25">
      <c r="A3179" s="52">
        <f t="shared" si="49"/>
        <v>46638</v>
      </c>
      <c r="B3179" s="53">
        <v>3178</v>
      </c>
      <c r="C3179" s="53">
        <v>35173.579100000003</v>
      </c>
    </row>
    <row r="3180" spans="1:3" x14ac:dyDescent="0.25">
      <c r="A3180" s="52">
        <f t="shared" si="49"/>
        <v>46639</v>
      </c>
      <c r="B3180" s="53">
        <v>3179</v>
      </c>
      <c r="C3180" s="53">
        <v>35176.5818</v>
      </c>
    </row>
    <row r="3181" spans="1:3" x14ac:dyDescent="0.25">
      <c r="A3181" s="52">
        <f t="shared" si="49"/>
        <v>46640</v>
      </c>
      <c r="B3181" s="53">
        <v>3180</v>
      </c>
      <c r="C3181" s="53">
        <v>35179.190900000001</v>
      </c>
    </row>
    <row r="3182" spans="1:3" x14ac:dyDescent="0.25">
      <c r="A3182" s="52">
        <f t="shared" si="49"/>
        <v>46641</v>
      </c>
      <c r="B3182" s="53">
        <v>3181</v>
      </c>
      <c r="C3182" s="53">
        <v>35181.800199999998</v>
      </c>
    </row>
    <row r="3183" spans="1:3" x14ac:dyDescent="0.25">
      <c r="A3183" s="52">
        <f t="shared" si="49"/>
        <v>46642</v>
      </c>
      <c r="B3183" s="53">
        <v>3182</v>
      </c>
      <c r="C3183" s="53">
        <v>35184.409699999997</v>
      </c>
    </row>
    <row r="3184" spans="1:3" x14ac:dyDescent="0.25">
      <c r="A3184" s="52">
        <f t="shared" si="49"/>
        <v>46643</v>
      </c>
      <c r="B3184" s="53">
        <v>3183</v>
      </c>
      <c r="C3184" s="53">
        <v>35187.019399999997</v>
      </c>
    </row>
    <row r="3185" spans="1:3" x14ac:dyDescent="0.25">
      <c r="A3185" s="52">
        <f t="shared" si="49"/>
        <v>46644</v>
      </c>
      <c r="B3185" s="53">
        <v>3184</v>
      </c>
      <c r="C3185" s="53">
        <v>35189.629300000001</v>
      </c>
    </row>
    <row r="3186" spans="1:3" x14ac:dyDescent="0.25">
      <c r="A3186" s="52">
        <f t="shared" si="49"/>
        <v>46645</v>
      </c>
      <c r="B3186" s="53">
        <v>3185</v>
      </c>
      <c r="C3186" s="53">
        <v>35192.239399999999</v>
      </c>
    </row>
    <row r="3187" spans="1:3" x14ac:dyDescent="0.25">
      <c r="A3187" s="52">
        <f t="shared" si="49"/>
        <v>46646</v>
      </c>
      <c r="B3187" s="53">
        <v>3186</v>
      </c>
      <c r="C3187" s="53">
        <v>35194.849600000001</v>
      </c>
    </row>
    <row r="3188" spans="1:3" x14ac:dyDescent="0.25">
      <c r="A3188" s="52">
        <f t="shared" si="49"/>
        <v>46647</v>
      </c>
      <c r="B3188" s="53">
        <v>3187</v>
      </c>
      <c r="C3188" s="53">
        <v>35197.460099999997</v>
      </c>
    </row>
    <row r="3189" spans="1:3" x14ac:dyDescent="0.25">
      <c r="A3189" s="52">
        <f t="shared" si="49"/>
        <v>46648</v>
      </c>
      <c r="B3189" s="53">
        <v>3188</v>
      </c>
      <c r="C3189" s="53">
        <v>35200.070699999997</v>
      </c>
    </row>
    <row r="3190" spans="1:3" x14ac:dyDescent="0.25">
      <c r="A3190" s="52">
        <f t="shared" si="49"/>
        <v>46649</v>
      </c>
      <c r="B3190" s="53">
        <v>3189</v>
      </c>
      <c r="C3190" s="53">
        <v>35202.681600000004</v>
      </c>
    </row>
    <row r="3191" spans="1:3" x14ac:dyDescent="0.25">
      <c r="A3191" s="52">
        <f t="shared" si="49"/>
        <v>46650</v>
      </c>
      <c r="B3191" s="53">
        <v>3190</v>
      </c>
      <c r="C3191" s="53">
        <v>35205.292600000001</v>
      </c>
    </row>
    <row r="3192" spans="1:3" x14ac:dyDescent="0.25">
      <c r="A3192" s="52">
        <f t="shared" si="49"/>
        <v>46651</v>
      </c>
      <c r="B3192" s="53">
        <v>3191</v>
      </c>
      <c r="C3192" s="53">
        <v>35207.9038</v>
      </c>
    </row>
    <row r="3193" spans="1:3" x14ac:dyDescent="0.25">
      <c r="A3193" s="52">
        <f t="shared" si="49"/>
        <v>46652</v>
      </c>
      <c r="B3193" s="53">
        <v>3192</v>
      </c>
      <c r="C3193" s="53">
        <v>35210.515299999999</v>
      </c>
    </row>
    <row r="3194" spans="1:3" x14ac:dyDescent="0.25">
      <c r="A3194" s="52">
        <f t="shared" si="49"/>
        <v>46653</v>
      </c>
      <c r="B3194" s="53">
        <v>3193</v>
      </c>
      <c r="C3194" s="53">
        <v>35213.126900000003</v>
      </c>
    </row>
    <row r="3195" spans="1:3" x14ac:dyDescent="0.25">
      <c r="A3195" s="52">
        <f t="shared" si="49"/>
        <v>46654</v>
      </c>
      <c r="B3195" s="53">
        <v>3194</v>
      </c>
      <c r="C3195" s="53">
        <v>35215.738700000002</v>
      </c>
    </row>
    <row r="3196" spans="1:3" x14ac:dyDescent="0.25">
      <c r="A3196" s="52">
        <f t="shared" si="49"/>
        <v>46655</v>
      </c>
      <c r="B3196" s="53">
        <v>3195</v>
      </c>
      <c r="C3196" s="53">
        <v>35218.350700000003</v>
      </c>
    </row>
    <row r="3197" spans="1:3" x14ac:dyDescent="0.25">
      <c r="A3197" s="52">
        <f t="shared" si="49"/>
        <v>46656</v>
      </c>
      <c r="B3197" s="53">
        <v>3196</v>
      </c>
      <c r="C3197" s="53">
        <v>35220.962899999999</v>
      </c>
    </row>
    <row r="3198" spans="1:3" x14ac:dyDescent="0.25">
      <c r="A3198" s="52">
        <f t="shared" si="49"/>
        <v>46657</v>
      </c>
      <c r="B3198" s="53">
        <v>3197</v>
      </c>
      <c r="C3198" s="53">
        <v>35223.575299999997</v>
      </c>
    </row>
    <row r="3199" spans="1:3" x14ac:dyDescent="0.25">
      <c r="A3199" s="52">
        <f t="shared" si="49"/>
        <v>46658</v>
      </c>
      <c r="B3199" s="53">
        <v>3198</v>
      </c>
      <c r="C3199" s="53">
        <v>35226.187899999997</v>
      </c>
    </row>
    <row r="3200" spans="1:3" x14ac:dyDescent="0.25">
      <c r="A3200" s="52">
        <f t="shared" si="49"/>
        <v>46659</v>
      </c>
      <c r="B3200" s="53">
        <v>3199</v>
      </c>
      <c r="C3200" s="53">
        <v>35228.8007</v>
      </c>
    </row>
    <row r="3201" spans="1:3" x14ac:dyDescent="0.25">
      <c r="A3201" s="52">
        <f t="shared" si="49"/>
        <v>46660</v>
      </c>
      <c r="B3201" s="53">
        <v>3200</v>
      </c>
      <c r="C3201" s="53">
        <v>35231.413699999997</v>
      </c>
    </row>
    <row r="3202" spans="1:3" x14ac:dyDescent="0.25">
      <c r="A3202" s="52">
        <f t="shared" ref="A3202:A3265" si="50">+$G$4+B3202</f>
        <v>46661</v>
      </c>
      <c r="B3202" s="53">
        <v>3201</v>
      </c>
      <c r="C3202" s="53">
        <v>35234.0268</v>
      </c>
    </row>
    <row r="3203" spans="1:3" x14ac:dyDescent="0.25">
      <c r="A3203" s="52">
        <f t="shared" si="50"/>
        <v>46662</v>
      </c>
      <c r="B3203" s="53">
        <v>3202</v>
      </c>
      <c r="C3203" s="53">
        <v>35236.640200000002</v>
      </c>
    </row>
    <row r="3204" spans="1:3" x14ac:dyDescent="0.25">
      <c r="A3204" s="52">
        <f t="shared" si="50"/>
        <v>46663</v>
      </c>
      <c r="B3204" s="53">
        <v>3203</v>
      </c>
      <c r="C3204" s="53">
        <v>35239.253799999999</v>
      </c>
    </row>
    <row r="3205" spans="1:3" x14ac:dyDescent="0.25">
      <c r="A3205" s="52">
        <f t="shared" si="50"/>
        <v>46664</v>
      </c>
      <c r="B3205" s="53">
        <v>3204</v>
      </c>
      <c r="C3205" s="53">
        <v>35241.8675</v>
      </c>
    </row>
    <row r="3206" spans="1:3" x14ac:dyDescent="0.25">
      <c r="A3206" s="52">
        <f t="shared" si="50"/>
        <v>46665</v>
      </c>
      <c r="B3206" s="53">
        <v>3205</v>
      </c>
      <c r="C3206" s="53">
        <v>35244.481500000002</v>
      </c>
    </row>
    <row r="3207" spans="1:3" x14ac:dyDescent="0.25">
      <c r="A3207" s="52">
        <f t="shared" si="50"/>
        <v>46666</v>
      </c>
      <c r="B3207" s="53">
        <v>3206</v>
      </c>
      <c r="C3207" s="53">
        <v>35247.095600000001</v>
      </c>
    </row>
    <row r="3208" spans="1:3" x14ac:dyDescent="0.25">
      <c r="A3208" s="52">
        <f t="shared" si="50"/>
        <v>46667</v>
      </c>
      <c r="B3208" s="53">
        <v>3207</v>
      </c>
      <c r="C3208" s="53">
        <v>35249.709900000002</v>
      </c>
    </row>
    <row r="3209" spans="1:3" x14ac:dyDescent="0.25">
      <c r="A3209" s="52">
        <f t="shared" si="50"/>
        <v>46668</v>
      </c>
      <c r="B3209" s="53">
        <v>3208</v>
      </c>
      <c r="C3209" s="53">
        <v>35252.324500000002</v>
      </c>
    </row>
    <row r="3210" spans="1:3" x14ac:dyDescent="0.25">
      <c r="A3210" s="52">
        <f t="shared" si="50"/>
        <v>46669</v>
      </c>
      <c r="B3210" s="53">
        <v>3209</v>
      </c>
      <c r="C3210" s="53">
        <v>35254.939200000001</v>
      </c>
    </row>
    <row r="3211" spans="1:3" x14ac:dyDescent="0.25">
      <c r="A3211" s="52">
        <f t="shared" si="50"/>
        <v>46670</v>
      </c>
      <c r="B3211" s="53">
        <v>3210</v>
      </c>
      <c r="C3211" s="53">
        <v>35258.770600000003</v>
      </c>
    </row>
    <row r="3212" spans="1:3" x14ac:dyDescent="0.25">
      <c r="A3212" s="52">
        <f t="shared" si="50"/>
        <v>46671</v>
      </c>
      <c r="B3212" s="53">
        <v>3211</v>
      </c>
      <c r="C3212" s="53">
        <v>35262.602400000003</v>
      </c>
    </row>
    <row r="3213" spans="1:3" x14ac:dyDescent="0.25">
      <c r="A3213" s="52">
        <f t="shared" si="50"/>
        <v>46672</v>
      </c>
      <c r="B3213" s="53">
        <v>3212</v>
      </c>
      <c r="C3213" s="53">
        <v>35266.434699999998</v>
      </c>
    </row>
    <row r="3214" spans="1:3" x14ac:dyDescent="0.25">
      <c r="A3214" s="52">
        <f t="shared" si="50"/>
        <v>46673</v>
      </c>
      <c r="B3214" s="53">
        <v>3213</v>
      </c>
      <c r="C3214" s="53">
        <v>35270.2673</v>
      </c>
    </row>
    <row r="3215" spans="1:3" x14ac:dyDescent="0.25">
      <c r="A3215" s="52">
        <f t="shared" si="50"/>
        <v>46674</v>
      </c>
      <c r="B3215" s="53">
        <v>3214</v>
      </c>
      <c r="C3215" s="53">
        <v>35274.100400000003</v>
      </c>
    </row>
    <row r="3216" spans="1:3" x14ac:dyDescent="0.25">
      <c r="A3216" s="52">
        <f t="shared" si="50"/>
        <v>46675</v>
      </c>
      <c r="B3216" s="53">
        <v>3215</v>
      </c>
      <c r="C3216" s="53">
        <v>35277.933900000004</v>
      </c>
    </row>
    <row r="3217" spans="1:3" x14ac:dyDescent="0.25">
      <c r="A3217" s="52">
        <f t="shared" si="50"/>
        <v>46676</v>
      </c>
      <c r="B3217" s="53">
        <v>3216</v>
      </c>
      <c r="C3217" s="53">
        <v>35281.767800000001</v>
      </c>
    </row>
    <row r="3218" spans="1:3" x14ac:dyDescent="0.25">
      <c r="A3218" s="52">
        <f t="shared" si="50"/>
        <v>46677</v>
      </c>
      <c r="B3218" s="53">
        <v>3217</v>
      </c>
      <c r="C3218" s="53">
        <v>35285.602200000001</v>
      </c>
    </row>
    <row r="3219" spans="1:3" x14ac:dyDescent="0.25">
      <c r="A3219" s="52">
        <f t="shared" si="50"/>
        <v>46678</v>
      </c>
      <c r="B3219" s="53">
        <v>3218</v>
      </c>
      <c r="C3219" s="53">
        <v>35289.436900000001</v>
      </c>
    </row>
    <row r="3220" spans="1:3" x14ac:dyDescent="0.25">
      <c r="A3220" s="52">
        <f t="shared" si="50"/>
        <v>46679</v>
      </c>
      <c r="B3220" s="53">
        <v>3219</v>
      </c>
      <c r="C3220" s="53">
        <v>35293.272100000002</v>
      </c>
    </row>
    <row r="3221" spans="1:3" x14ac:dyDescent="0.25">
      <c r="A3221" s="52">
        <f t="shared" si="50"/>
        <v>46680</v>
      </c>
      <c r="B3221" s="53">
        <v>3220</v>
      </c>
      <c r="C3221" s="53">
        <v>35297.1077</v>
      </c>
    </row>
    <row r="3222" spans="1:3" x14ac:dyDescent="0.25">
      <c r="A3222" s="52">
        <f t="shared" si="50"/>
        <v>46681</v>
      </c>
      <c r="B3222" s="53">
        <v>3221</v>
      </c>
      <c r="C3222" s="53">
        <v>35300.943700000003</v>
      </c>
    </row>
    <row r="3223" spans="1:3" x14ac:dyDescent="0.25">
      <c r="A3223" s="52">
        <f t="shared" si="50"/>
        <v>46682</v>
      </c>
      <c r="B3223" s="53">
        <v>3222</v>
      </c>
      <c r="C3223" s="53">
        <v>35304.780100000004</v>
      </c>
    </row>
    <row r="3224" spans="1:3" x14ac:dyDescent="0.25">
      <c r="A3224" s="52">
        <f t="shared" si="50"/>
        <v>46683</v>
      </c>
      <c r="B3224" s="53">
        <v>3223</v>
      </c>
      <c r="C3224" s="53">
        <v>35308.616900000001</v>
      </c>
    </row>
    <row r="3225" spans="1:3" x14ac:dyDescent="0.25">
      <c r="A3225" s="52">
        <f t="shared" si="50"/>
        <v>46684</v>
      </c>
      <c r="B3225" s="53">
        <v>3224</v>
      </c>
      <c r="C3225" s="53">
        <v>35312.4542</v>
      </c>
    </row>
    <row r="3226" spans="1:3" x14ac:dyDescent="0.25">
      <c r="A3226" s="52">
        <f t="shared" si="50"/>
        <v>46685</v>
      </c>
      <c r="B3226" s="53">
        <v>3225</v>
      </c>
      <c r="C3226" s="53">
        <v>35316.291799999999</v>
      </c>
    </row>
    <row r="3227" spans="1:3" x14ac:dyDescent="0.25">
      <c r="A3227" s="52">
        <f t="shared" si="50"/>
        <v>46686</v>
      </c>
      <c r="B3227" s="53">
        <v>3226</v>
      </c>
      <c r="C3227" s="53">
        <v>35320.1299</v>
      </c>
    </row>
    <row r="3228" spans="1:3" x14ac:dyDescent="0.25">
      <c r="A3228" s="52">
        <f t="shared" si="50"/>
        <v>46687</v>
      </c>
      <c r="B3228" s="53">
        <v>3227</v>
      </c>
      <c r="C3228" s="53">
        <v>35323.968399999998</v>
      </c>
    </row>
    <row r="3229" spans="1:3" x14ac:dyDescent="0.25">
      <c r="A3229" s="52">
        <f t="shared" si="50"/>
        <v>46688</v>
      </c>
      <c r="B3229" s="53">
        <v>3228</v>
      </c>
      <c r="C3229" s="53">
        <v>35327.8073</v>
      </c>
    </row>
    <row r="3230" spans="1:3" x14ac:dyDescent="0.25">
      <c r="A3230" s="52">
        <f t="shared" si="50"/>
        <v>46689</v>
      </c>
      <c r="B3230" s="53">
        <v>3229</v>
      </c>
      <c r="C3230" s="53">
        <v>35331.646699999998</v>
      </c>
    </row>
    <row r="3231" spans="1:3" x14ac:dyDescent="0.25">
      <c r="A3231" s="52">
        <f t="shared" si="50"/>
        <v>46690</v>
      </c>
      <c r="B3231" s="53">
        <v>3230</v>
      </c>
      <c r="C3231" s="53">
        <v>35335.486400000002</v>
      </c>
    </row>
    <row r="3232" spans="1:3" x14ac:dyDescent="0.25">
      <c r="A3232" s="52">
        <f t="shared" si="50"/>
        <v>46691</v>
      </c>
      <c r="B3232" s="53">
        <v>3231</v>
      </c>
      <c r="C3232" s="53">
        <v>35339.3266</v>
      </c>
    </row>
    <row r="3233" spans="1:3" x14ac:dyDescent="0.25">
      <c r="A3233" s="52">
        <f t="shared" si="50"/>
        <v>46692</v>
      </c>
      <c r="B3233" s="53">
        <v>3232</v>
      </c>
      <c r="C3233" s="53">
        <v>35343.167200000004</v>
      </c>
    </row>
    <row r="3234" spans="1:3" x14ac:dyDescent="0.25">
      <c r="A3234" s="52">
        <f t="shared" si="50"/>
        <v>46693</v>
      </c>
      <c r="B3234" s="53">
        <v>3233</v>
      </c>
      <c r="C3234" s="53">
        <v>35347.008199999997</v>
      </c>
    </row>
    <row r="3235" spans="1:3" x14ac:dyDescent="0.25">
      <c r="A3235" s="52">
        <f t="shared" si="50"/>
        <v>46694</v>
      </c>
      <c r="B3235" s="53">
        <v>3234</v>
      </c>
      <c r="C3235" s="53">
        <v>35350.849600000001</v>
      </c>
    </row>
    <row r="3236" spans="1:3" x14ac:dyDescent="0.25">
      <c r="A3236" s="52">
        <f t="shared" si="50"/>
        <v>46695</v>
      </c>
      <c r="B3236" s="53">
        <v>3235</v>
      </c>
      <c r="C3236" s="53">
        <v>35354.691400000003</v>
      </c>
    </row>
    <row r="3237" spans="1:3" x14ac:dyDescent="0.25">
      <c r="A3237" s="52">
        <f t="shared" si="50"/>
        <v>46696</v>
      </c>
      <c r="B3237" s="53">
        <v>3236</v>
      </c>
      <c r="C3237" s="53">
        <v>35358.5337</v>
      </c>
    </row>
    <row r="3238" spans="1:3" x14ac:dyDescent="0.25">
      <c r="A3238" s="52">
        <f t="shared" si="50"/>
        <v>46697</v>
      </c>
      <c r="B3238" s="53">
        <v>3237</v>
      </c>
      <c r="C3238" s="53">
        <v>35362.376400000001</v>
      </c>
    </row>
    <row r="3239" spans="1:3" x14ac:dyDescent="0.25">
      <c r="A3239" s="52">
        <f t="shared" si="50"/>
        <v>46698</v>
      </c>
      <c r="B3239" s="53">
        <v>3238</v>
      </c>
      <c r="C3239" s="53">
        <v>35366.219499999999</v>
      </c>
    </row>
    <row r="3240" spans="1:3" x14ac:dyDescent="0.25">
      <c r="A3240" s="52">
        <f t="shared" si="50"/>
        <v>46699</v>
      </c>
      <c r="B3240" s="53">
        <v>3239</v>
      </c>
      <c r="C3240" s="53">
        <v>35370.063000000002</v>
      </c>
    </row>
    <row r="3241" spans="1:3" x14ac:dyDescent="0.25">
      <c r="A3241" s="52">
        <f t="shared" si="50"/>
        <v>46700</v>
      </c>
      <c r="B3241" s="53">
        <v>3240</v>
      </c>
      <c r="C3241" s="53">
        <v>35373.906900000002</v>
      </c>
    </row>
    <row r="3242" spans="1:3" x14ac:dyDescent="0.25">
      <c r="A3242" s="52">
        <f t="shared" si="50"/>
        <v>46701</v>
      </c>
      <c r="B3242" s="53">
        <v>3241</v>
      </c>
      <c r="C3242" s="53">
        <v>35377.849800000004</v>
      </c>
    </row>
    <row r="3243" spans="1:3" x14ac:dyDescent="0.25">
      <c r="A3243" s="52">
        <f t="shared" si="50"/>
        <v>46702</v>
      </c>
      <c r="B3243" s="53">
        <v>3242</v>
      </c>
      <c r="C3243" s="53">
        <v>35381.793100000003</v>
      </c>
    </row>
    <row r="3244" spans="1:3" x14ac:dyDescent="0.25">
      <c r="A3244" s="52">
        <f t="shared" si="50"/>
        <v>46703</v>
      </c>
      <c r="B3244" s="53">
        <v>3243</v>
      </c>
      <c r="C3244" s="53">
        <v>35385.736799999999</v>
      </c>
    </row>
    <row r="3245" spans="1:3" x14ac:dyDescent="0.25">
      <c r="A3245" s="52">
        <f t="shared" si="50"/>
        <v>46704</v>
      </c>
      <c r="B3245" s="53">
        <v>3244</v>
      </c>
      <c r="C3245" s="53">
        <v>35389.680999999997</v>
      </c>
    </row>
    <row r="3246" spans="1:3" x14ac:dyDescent="0.25">
      <c r="A3246" s="52">
        <f t="shared" si="50"/>
        <v>46705</v>
      </c>
      <c r="B3246" s="53">
        <v>3245</v>
      </c>
      <c r="C3246" s="53">
        <v>35393.625599999999</v>
      </c>
    </row>
    <row r="3247" spans="1:3" x14ac:dyDescent="0.25">
      <c r="A3247" s="52">
        <f t="shared" si="50"/>
        <v>46706</v>
      </c>
      <c r="B3247" s="53">
        <v>3246</v>
      </c>
      <c r="C3247" s="53">
        <v>35397.570599999999</v>
      </c>
    </row>
    <row r="3248" spans="1:3" x14ac:dyDescent="0.25">
      <c r="A3248" s="52">
        <f t="shared" si="50"/>
        <v>46707</v>
      </c>
      <c r="B3248" s="53">
        <v>3247</v>
      </c>
      <c r="C3248" s="53">
        <v>35401.516100000001</v>
      </c>
    </row>
    <row r="3249" spans="1:3" x14ac:dyDescent="0.25">
      <c r="A3249" s="52">
        <f t="shared" si="50"/>
        <v>46708</v>
      </c>
      <c r="B3249" s="53">
        <v>3248</v>
      </c>
      <c r="C3249" s="53">
        <v>35405.462099999997</v>
      </c>
    </row>
    <row r="3250" spans="1:3" x14ac:dyDescent="0.25">
      <c r="A3250" s="52">
        <f t="shared" si="50"/>
        <v>46709</v>
      </c>
      <c r="B3250" s="53">
        <v>3249</v>
      </c>
      <c r="C3250" s="53">
        <v>35409.4084</v>
      </c>
    </row>
    <row r="3251" spans="1:3" x14ac:dyDescent="0.25">
      <c r="A3251" s="52">
        <f t="shared" si="50"/>
        <v>46710</v>
      </c>
      <c r="B3251" s="53">
        <v>3250</v>
      </c>
      <c r="C3251" s="53">
        <v>35413.355199999998</v>
      </c>
    </row>
    <row r="3252" spans="1:3" x14ac:dyDescent="0.25">
      <c r="A3252" s="52">
        <f t="shared" si="50"/>
        <v>46711</v>
      </c>
      <c r="B3252" s="53">
        <v>3251</v>
      </c>
      <c r="C3252" s="53">
        <v>35417.302499999998</v>
      </c>
    </row>
    <row r="3253" spans="1:3" x14ac:dyDescent="0.25">
      <c r="A3253" s="52">
        <f t="shared" si="50"/>
        <v>46712</v>
      </c>
      <c r="B3253" s="53">
        <v>3252</v>
      </c>
      <c r="C3253" s="53">
        <v>35421.250200000002</v>
      </c>
    </row>
    <row r="3254" spans="1:3" x14ac:dyDescent="0.25">
      <c r="A3254" s="52">
        <f t="shared" si="50"/>
        <v>46713</v>
      </c>
      <c r="B3254" s="53">
        <v>3253</v>
      </c>
      <c r="C3254" s="53">
        <v>35425.198299999996</v>
      </c>
    </row>
    <row r="3255" spans="1:3" x14ac:dyDescent="0.25">
      <c r="A3255" s="52">
        <f t="shared" si="50"/>
        <v>46714</v>
      </c>
      <c r="B3255" s="53">
        <v>3254</v>
      </c>
      <c r="C3255" s="53">
        <v>35429.1469</v>
      </c>
    </row>
    <row r="3256" spans="1:3" x14ac:dyDescent="0.25">
      <c r="A3256" s="52">
        <f t="shared" si="50"/>
        <v>46715</v>
      </c>
      <c r="B3256" s="53">
        <v>3255</v>
      </c>
      <c r="C3256" s="53">
        <v>35433.0959</v>
      </c>
    </row>
    <row r="3257" spans="1:3" x14ac:dyDescent="0.25">
      <c r="A3257" s="52">
        <f t="shared" si="50"/>
        <v>46716</v>
      </c>
      <c r="B3257" s="53">
        <v>3256</v>
      </c>
      <c r="C3257" s="53">
        <v>35437.045400000003</v>
      </c>
    </row>
    <row r="3258" spans="1:3" x14ac:dyDescent="0.25">
      <c r="A3258" s="52">
        <f t="shared" si="50"/>
        <v>46717</v>
      </c>
      <c r="B3258" s="53">
        <v>3257</v>
      </c>
      <c r="C3258" s="53">
        <v>35440.995199999998</v>
      </c>
    </row>
    <row r="3259" spans="1:3" x14ac:dyDescent="0.25">
      <c r="A3259" s="52">
        <f t="shared" si="50"/>
        <v>46718</v>
      </c>
      <c r="B3259" s="53">
        <v>3258</v>
      </c>
      <c r="C3259" s="53">
        <v>35444.945599999999</v>
      </c>
    </row>
    <row r="3260" spans="1:3" x14ac:dyDescent="0.25">
      <c r="A3260" s="52">
        <f t="shared" si="50"/>
        <v>46719</v>
      </c>
      <c r="B3260" s="53">
        <v>3259</v>
      </c>
      <c r="C3260" s="53">
        <v>35448.896399999998</v>
      </c>
    </row>
    <row r="3261" spans="1:3" x14ac:dyDescent="0.25">
      <c r="A3261" s="52">
        <f t="shared" si="50"/>
        <v>46720</v>
      </c>
      <c r="B3261" s="53">
        <v>3260</v>
      </c>
      <c r="C3261" s="53">
        <v>35452.847600000001</v>
      </c>
    </row>
    <row r="3262" spans="1:3" x14ac:dyDescent="0.25">
      <c r="A3262" s="52">
        <f t="shared" si="50"/>
        <v>46721</v>
      </c>
      <c r="B3262" s="53">
        <v>3261</v>
      </c>
      <c r="C3262" s="53">
        <v>35456.799200000001</v>
      </c>
    </row>
    <row r="3263" spans="1:3" x14ac:dyDescent="0.25">
      <c r="A3263" s="52">
        <f t="shared" si="50"/>
        <v>46722</v>
      </c>
      <c r="B3263" s="53">
        <v>3262</v>
      </c>
      <c r="C3263" s="53">
        <v>35460.751300000004</v>
      </c>
    </row>
    <row r="3264" spans="1:3" x14ac:dyDescent="0.25">
      <c r="A3264" s="52">
        <f t="shared" si="50"/>
        <v>46723</v>
      </c>
      <c r="B3264" s="53">
        <v>3263</v>
      </c>
      <c r="C3264" s="53">
        <v>35464.7039</v>
      </c>
    </row>
    <row r="3265" spans="1:3" x14ac:dyDescent="0.25">
      <c r="A3265" s="52">
        <f t="shared" si="50"/>
        <v>46724</v>
      </c>
      <c r="B3265" s="53">
        <v>3264</v>
      </c>
      <c r="C3265" s="53">
        <v>35468.656799999997</v>
      </c>
    </row>
    <row r="3266" spans="1:3" x14ac:dyDescent="0.25">
      <c r="A3266" s="52">
        <f t="shared" ref="A3266:A3329" si="51">+$G$4+B3266</f>
        <v>46725</v>
      </c>
      <c r="B3266" s="53">
        <v>3265</v>
      </c>
      <c r="C3266" s="53">
        <v>35472.610200000003</v>
      </c>
    </row>
    <row r="3267" spans="1:3" x14ac:dyDescent="0.25">
      <c r="A3267" s="52">
        <f t="shared" si="51"/>
        <v>46726</v>
      </c>
      <c r="B3267" s="53">
        <v>3266</v>
      </c>
      <c r="C3267" s="53">
        <v>35476.564100000003</v>
      </c>
    </row>
    <row r="3268" spans="1:3" x14ac:dyDescent="0.25">
      <c r="A3268" s="52">
        <f t="shared" si="51"/>
        <v>46727</v>
      </c>
      <c r="B3268" s="53">
        <v>3267</v>
      </c>
      <c r="C3268" s="53">
        <v>35480.518400000001</v>
      </c>
    </row>
    <row r="3269" spans="1:3" x14ac:dyDescent="0.25">
      <c r="A3269" s="52">
        <f t="shared" si="51"/>
        <v>46728</v>
      </c>
      <c r="B3269" s="53">
        <v>3268</v>
      </c>
      <c r="C3269" s="53">
        <v>35484.473100000003</v>
      </c>
    </row>
    <row r="3270" spans="1:3" x14ac:dyDescent="0.25">
      <c r="A3270" s="52">
        <f t="shared" si="51"/>
        <v>46729</v>
      </c>
      <c r="B3270" s="53">
        <v>3269</v>
      </c>
      <c r="C3270" s="53">
        <v>35488.4283</v>
      </c>
    </row>
    <row r="3271" spans="1:3" x14ac:dyDescent="0.25">
      <c r="A3271" s="52">
        <f t="shared" si="51"/>
        <v>46730</v>
      </c>
      <c r="B3271" s="53">
        <v>3270</v>
      </c>
      <c r="C3271" s="53">
        <v>35492.383900000001</v>
      </c>
    </row>
    <row r="3272" spans="1:3" x14ac:dyDescent="0.25">
      <c r="A3272" s="52">
        <f t="shared" si="51"/>
        <v>46731</v>
      </c>
      <c r="B3272" s="53">
        <v>3271</v>
      </c>
      <c r="C3272" s="53">
        <v>35493.338900000002</v>
      </c>
    </row>
    <row r="3273" spans="1:3" x14ac:dyDescent="0.25">
      <c r="A3273" s="52">
        <f t="shared" si="51"/>
        <v>46732</v>
      </c>
      <c r="B3273" s="53">
        <v>3272</v>
      </c>
      <c r="C3273" s="53">
        <v>35494.293899999997</v>
      </c>
    </row>
    <row r="3274" spans="1:3" x14ac:dyDescent="0.25">
      <c r="A3274" s="52">
        <f t="shared" si="51"/>
        <v>46733</v>
      </c>
      <c r="B3274" s="53">
        <v>3273</v>
      </c>
      <c r="C3274" s="53">
        <v>35495.249000000003</v>
      </c>
    </row>
    <row r="3275" spans="1:3" x14ac:dyDescent="0.25">
      <c r="A3275" s="52">
        <f t="shared" si="51"/>
        <v>46734</v>
      </c>
      <c r="B3275" s="53">
        <v>3274</v>
      </c>
      <c r="C3275" s="53">
        <v>35496.203999999998</v>
      </c>
    </row>
    <row r="3276" spans="1:3" x14ac:dyDescent="0.25">
      <c r="A3276" s="52">
        <f t="shared" si="51"/>
        <v>46735</v>
      </c>
      <c r="B3276" s="53">
        <v>3275</v>
      </c>
      <c r="C3276" s="53">
        <v>35497.159099999997</v>
      </c>
    </row>
    <row r="3277" spans="1:3" x14ac:dyDescent="0.25">
      <c r="A3277" s="52">
        <f t="shared" si="51"/>
        <v>46736</v>
      </c>
      <c r="B3277" s="53">
        <v>3276</v>
      </c>
      <c r="C3277" s="53">
        <v>35498.114200000004</v>
      </c>
    </row>
    <row r="3278" spans="1:3" x14ac:dyDescent="0.25">
      <c r="A3278" s="52">
        <f t="shared" si="51"/>
        <v>46737</v>
      </c>
      <c r="B3278" s="53">
        <v>3277</v>
      </c>
      <c r="C3278" s="53">
        <v>35499.0694</v>
      </c>
    </row>
    <row r="3279" spans="1:3" x14ac:dyDescent="0.25">
      <c r="A3279" s="52">
        <f t="shared" si="51"/>
        <v>46738</v>
      </c>
      <c r="B3279" s="53">
        <v>3278</v>
      </c>
      <c r="C3279" s="53">
        <v>35500.0245</v>
      </c>
    </row>
    <row r="3280" spans="1:3" x14ac:dyDescent="0.25">
      <c r="A3280" s="52">
        <f t="shared" si="51"/>
        <v>46739</v>
      </c>
      <c r="B3280" s="53">
        <v>3279</v>
      </c>
      <c r="C3280" s="53">
        <v>35500.979700000004</v>
      </c>
    </row>
    <row r="3281" spans="1:3" x14ac:dyDescent="0.25">
      <c r="A3281" s="52">
        <f t="shared" si="51"/>
        <v>46740</v>
      </c>
      <c r="B3281" s="53">
        <v>3280</v>
      </c>
      <c r="C3281" s="53">
        <v>35501.9349</v>
      </c>
    </row>
    <row r="3282" spans="1:3" x14ac:dyDescent="0.25">
      <c r="A3282" s="52">
        <f t="shared" si="51"/>
        <v>46741</v>
      </c>
      <c r="B3282" s="53">
        <v>3281</v>
      </c>
      <c r="C3282" s="53">
        <v>35502.890200000002</v>
      </c>
    </row>
    <row r="3283" spans="1:3" x14ac:dyDescent="0.25">
      <c r="A3283" s="52">
        <f t="shared" si="51"/>
        <v>46742</v>
      </c>
      <c r="B3283" s="53">
        <v>3282</v>
      </c>
      <c r="C3283" s="53">
        <v>35503.845399999998</v>
      </c>
    </row>
    <row r="3284" spans="1:3" x14ac:dyDescent="0.25">
      <c r="A3284" s="52">
        <f t="shared" si="51"/>
        <v>46743</v>
      </c>
      <c r="B3284" s="53">
        <v>3283</v>
      </c>
      <c r="C3284" s="53">
        <v>35504.8007</v>
      </c>
    </row>
    <row r="3285" spans="1:3" x14ac:dyDescent="0.25">
      <c r="A3285" s="52">
        <f t="shared" si="51"/>
        <v>46744</v>
      </c>
      <c r="B3285" s="53">
        <v>3284</v>
      </c>
      <c r="C3285" s="53">
        <v>35505.756000000001</v>
      </c>
    </row>
    <row r="3286" spans="1:3" x14ac:dyDescent="0.25">
      <c r="A3286" s="52">
        <f t="shared" si="51"/>
        <v>46745</v>
      </c>
      <c r="B3286" s="53">
        <v>3285</v>
      </c>
      <c r="C3286" s="53">
        <v>35506.7114</v>
      </c>
    </row>
    <row r="3287" spans="1:3" x14ac:dyDescent="0.25">
      <c r="A3287" s="52">
        <f t="shared" si="51"/>
        <v>46746</v>
      </c>
      <c r="B3287" s="53">
        <v>3286</v>
      </c>
      <c r="C3287" s="53">
        <v>35507.666799999999</v>
      </c>
    </row>
    <row r="3288" spans="1:3" x14ac:dyDescent="0.25">
      <c r="A3288" s="52">
        <f t="shared" si="51"/>
        <v>46747</v>
      </c>
      <c r="B3288" s="53">
        <v>3287</v>
      </c>
      <c r="C3288" s="53">
        <v>35508.622100000001</v>
      </c>
    </row>
    <row r="3289" spans="1:3" x14ac:dyDescent="0.25">
      <c r="A3289" s="52">
        <f t="shared" si="51"/>
        <v>46748</v>
      </c>
      <c r="B3289" s="53">
        <v>3288</v>
      </c>
      <c r="C3289" s="53">
        <v>35509.577599999997</v>
      </c>
    </row>
    <row r="3290" spans="1:3" x14ac:dyDescent="0.25">
      <c r="A3290" s="52">
        <f t="shared" si="51"/>
        <v>46749</v>
      </c>
      <c r="B3290" s="53">
        <v>3289</v>
      </c>
      <c r="C3290" s="53">
        <v>35510.533000000003</v>
      </c>
    </row>
    <row r="3291" spans="1:3" x14ac:dyDescent="0.25">
      <c r="A3291" s="52">
        <f t="shared" si="51"/>
        <v>46750</v>
      </c>
      <c r="B3291" s="53">
        <v>3290</v>
      </c>
      <c r="C3291" s="53">
        <v>35511.488499999999</v>
      </c>
    </row>
    <row r="3292" spans="1:3" x14ac:dyDescent="0.25">
      <c r="A3292" s="52">
        <f t="shared" si="51"/>
        <v>46751</v>
      </c>
      <c r="B3292" s="53">
        <v>3291</v>
      </c>
      <c r="C3292" s="53">
        <v>35512.444000000003</v>
      </c>
    </row>
    <row r="3293" spans="1:3" x14ac:dyDescent="0.25">
      <c r="A3293" s="52">
        <f t="shared" si="51"/>
        <v>46752</v>
      </c>
      <c r="B3293" s="53">
        <v>3292</v>
      </c>
      <c r="C3293" s="53">
        <v>35513.3995</v>
      </c>
    </row>
    <row r="3294" spans="1:3" x14ac:dyDescent="0.25">
      <c r="A3294" s="52">
        <f t="shared" si="51"/>
        <v>46753</v>
      </c>
      <c r="B3294" s="53">
        <v>3293</v>
      </c>
      <c r="C3294" s="53">
        <v>35514.355100000001</v>
      </c>
    </row>
    <row r="3295" spans="1:3" x14ac:dyDescent="0.25">
      <c r="A3295" s="52">
        <f t="shared" si="51"/>
        <v>46754</v>
      </c>
      <c r="B3295" s="53">
        <v>3294</v>
      </c>
      <c r="C3295" s="53">
        <v>35515.310599999997</v>
      </c>
    </row>
    <row r="3296" spans="1:3" x14ac:dyDescent="0.25">
      <c r="A3296" s="52">
        <f t="shared" si="51"/>
        <v>46755</v>
      </c>
      <c r="B3296" s="53">
        <v>3295</v>
      </c>
      <c r="C3296" s="53">
        <v>35516.266199999998</v>
      </c>
    </row>
    <row r="3297" spans="1:3" x14ac:dyDescent="0.25">
      <c r="A3297" s="52">
        <f t="shared" si="51"/>
        <v>46756</v>
      </c>
      <c r="B3297" s="53">
        <v>3296</v>
      </c>
      <c r="C3297" s="53">
        <v>35517.221899999997</v>
      </c>
    </row>
    <row r="3298" spans="1:3" x14ac:dyDescent="0.25">
      <c r="A3298" s="52">
        <f t="shared" si="51"/>
        <v>46757</v>
      </c>
      <c r="B3298" s="53">
        <v>3297</v>
      </c>
      <c r="C3298" s="53">
        <v>35518.177499999998</v>
      </c>
    </row>
    <row r="3299" spans="1:3" x14ac:dyDescent="0.25">
      <c r="A3299" s="52">
        <f t="shared" si="51"/>
        <v>46758</v>
      </c>
      <c r="B3299" s="53">
        <v>3298</v>
      </c>
      <c r="C3299" s="53">
        <v>35519.133199999997</v>
      </c>
    </row>
    <row r="3300" spans="1:3" x14ac:dyDescent="0.25">
      <c r="A3300" s="52">
        <f t="shared" si="51"/>
        <v>46759</v>
      </c>
      <c r="B3300" s="53">
        <v>3299</v>
      </c>
      <c r="C3300" s="53">
        <v>35520.088900000002</v>
      </c>
    </row>
    <row r="3301" spans="1:3" x14ac:dyDescent="0.25">
      <c r="A3301" s="52">
        <f t="shared" si="51"/>
        <v>46760</v>
      </c>
      <c r="B3301" s="53">
        <v>3300</v>
      </c>
      <c r="C3301" s="53">
        <v>35521.044600000001</v>
      </c>
    </row>
    <row r="3302" spans="1:3" x14ac:dyDescent="0.25">
      <c r="A3302" s="52">
        <f t="shared" si="51"/>
        <v>46761</v>
      </c>
      <c r="B3302" s="53">
        <v>3301</v>
      </c>
      <c r="C3302" s="53">
        <v>35522.000399999997</v>
      </c>
    </row>
    <row r="3303" spans="1:3" x14ac:dyDescent="0.25">
      <c r="A3303" s="52">
        <f t="shared" si="51"/>
        <v>46762</v>
      </c>
      <c r="B3303" s="53">
        <v>3302</v>
      </c>
      <c r="C3303" s="53">
        <v>35523.010499999997</v>
      </c>
    </row>
    <row r="3304" spans="1:3" x14ac:dyDescent="0.25">
      <c r="A3304" s="52">
        <f t="shared" si="51"/>
        <v>46763</v>
      </c>
      <c r="B3304" s="53">
        <v>3303</v>
      </c>
      <c r="C3304" s="53">
        <v>35524.020600000003</v>
      </c>
    </row>
    <row r="3305" spans="1:3" x14ac:dyDescent="0.25">
      <c r="A3305" s="52">
        <f t="shared" si="51"/>
        <v>46764</v>
      </c>
      <c r="B3305" s="53">
        <v>3304</v>
      </c>
      <c r="C3305" s="53">
        <v>35525.0308</v>
      </c>
    </row>
    <row r="3306" spans="1:3" x14ac:dyDescent="0.25">
      <c r="A3306" s="52">
        <f t="shared" si="51"/>
        <v>46765</v>
      </c>
      <c r="B3306" s="53">
        <v>3305</v>
      </c>
      <c r="C3306" s="53">
        <v>35526.040999999997</v>
      </c>
    </row>
    <row r="3307" spans="1:3" x14ac:dyDescent="0.25">
      <c r="A3307" s="52">
        <f t="shared" si="51"/>
        <v>46766</v>
      </c>
      <c r="B3307" s="53">
        <v>3306</v>
      </c>
      <c r="C3307" s="53">
        <v>35527.051200000002</v>
      </c>
    </row>
    <row r="3308" spans="1:3" x14ac:dyDescent="0.25">
      <c r="A3308" s="52">
        <f t="shared" si="51"/>
        <v>46767</v>
      </c>
      <c r="B3308" s="53">
        <v>3307</v>
      </c>
      <c r="C3308" s="53">
        <v>35528.061399999999</v>
      </c>
    </row>
    <row r="3309" spans="1:3" x14ac:dyDescent="0.25">
      <c r="A3309" s="52">
        <f t="shared" si="51"/>
        <v>46768</v>
      </c>
      <c r="B3309" s="53">
        <v>3308</v>
      </c>
      <c r="C3309" s="53">
        <v>35529.0717</v>
      </c>
    </row>
    <row r="3310" spans="1:3" x14ac:dyDescent="0.25">
      <c r="A3310" s="52">
        <f t="shared" si="51"/>
        <v>46769</v>
      </c>
      <c r="B3310" s="53">
        <v>3309</v>
      </c>
      <c r="C3310" s="53">
        <v>35530.082000000002</v>
      </c>
    </row>
    <row r="3311" spans="1:3" x14ac:dyDescent="0.25">
      <c r="A3311" s="52">
        <f t="shared" si="51"/>
        <v>46770</v>
      </c>
      <c r="B3311" s="53">
        <v>3310</v>
      </c>
      <c r="C3311" s="53">
        <v>35531.092299999997</v>
      </c>
    </row>
    <row r="3312" spans="1:3" x14ac:dyDescent="0.25">
      <c r="A3312" s="52">
        <f t="shared" si="51"/>
        <v>46771</v>
      </c>
      <c r="B3312" s="53">
        <v>3311</v>
      </c>
      <c r="C3312" s="53">
        <v>35532.102700000003</v>
      </c>
    </row>
    <row r="3313" spans="1:3" x14ac:dyDescent="0.25">
      <c r="A3313" s="52">
        <f t="shared" si="51"/>
        <v>46772</v>
      </c>
      <c r="B3313" s="53">
        <v>3312</v>
      </c>
      <c r="C3313" s="53">
        <v>35533.113100000002</v>
      </c>
    </row>
    <row r="3314" spans="1:3" x14ac:dyDescent="0.25">
      <c r="A3314" s="52">
        <f t="shared" si="51"/>
        <v>46773</v>
      </c>
      <c r="B3314" s="53">
        <v>3313</v>
      </c>
      <c r="C3314" s="53">
        <v>35534.123500000002</v>
      </c>
    </row>
    <row r="3315" spans="1:3" x14ac:dyDescent="0.25">
      <c r="A3315" s="52">
        <f t="shared" si="51"/>
        <v>46774</v>
      </c>
      <c r="B3315" s="53">
        <v>3314</v>
      </c>
      <c r="C3315" s="53">
        <v>35535.133999999998</v>
      </c>
    </row>
    <row r="3316" spans="1:3" x14ac:dyDescent="0.25">
      <c r="A3316" s="52">
        <f t="shared" si="51"/>
        <v>46775</v>
      </c>
      <c r="B3316" s="53">
        <v>3315</v>
      </c>
      <c r="C3316" s="53">
        <v>35536.144399999997</v>
      </c>
    </row>
    <row r="3317" spans="1:3" x14ac:dyDescent="0.25">
      <c r="A3317" s="52">
        <f t="shared" si="51"/>
        <v>46776</v>
      </c>
      <c r="B3317" s="53">
        <v>3316</v>
      </c>
      <c r="C3317" s="53">
        <v>35537.154999999999</v>
      </c>
    </row>
    <row r="3318" spans="1:3" x14ac:dyDescent="0.25">
      <c r="A3318" s="52">
        <f t="shared" si="51"/>
        <v>46777</v>
      </c>
      <c r="B3318" s="53">
        <v>3317</v>
      </c>
      <c r="C3318" s="53">
        <v>35538.165500000003</v>
      </c>
    </row>
    <row r="3319" spans="1:3" x14ac:dyDescent="0.25">
      <c r="A3319" s="52">
        <f t="shared" si="51"/>
        <v>46778</v>
      </c>
      <c r="B3319" s="53">
        <v>3318</v>
      </c>
      <c r="C3319" s="53">
        <v>35539.176099999997</v>
      </c>
    </row>
    <row r="3320" spans="1:3" x14ac:dyDescent="0.25">
      <c r="A3320" s="52">
        <f t="shared" si="51"/>
        <v>46779</v>
      </c>
      <c r="B3320" s="53">
        <v>3319</v>
      </c>
      <c r="C3320" s="53">
        <v>35540.186699999998</v>
      </c>
    </row>
    <row r="3321" spans="1:3" x14ac:dyDescent="0.25">
      <c r="A3321" s="52">
        <f t="shared" si="51"/>
        <v>46780</v>
      </c>
      <c r="B3321" s="53">
        <v>3320</v>
      </c>
      <c r="C3321" s="53">
        <v>35541.1973</v>
      </c>
    </row>
    <row r="3322" spans="1:3" x14ac:dyDescent="0.25">
      <c r="A3322" s="52">
        <f t="shared" si="51"/>
        <v>46781</v>
      </c>
      <c r="B3322" s="53">
        <v>3321</v>
      </c>
      <c r="C3322" s="53">
        <v>35542.207900000001</v>
      </c>
    </row>
    <row r="3323" spans="1:3" x14ac:dyDescent="0.25">
      <c r="A3323" s="52">
        <f t="shared" si="51"/>
        <v>46782</v>
      </c>
      <c r="B3323" s="53">
        <v>3322</v>
      </c>
      <c r="C3323" s="53">
        <v>35543.2186</v>
      </c>
    </row>
    <row r="3324" spans="1:3" x14ac:dyDescent="0.25">
      <c r="A3324" s="52">
        <f t="shared" si="51"/>
        <v>46783</v>
      </c>
      <c r="B3324" s="53">
        <v>3323</v>
      </c>
      <c r="C3324" s="53">
        <v>35544.229299999999</v>
      </c>
    </row>
    <row r="3325" spans="1:3" x14ac:dyDescent="0.25">
      <c r="A3325" s="52">
        <f t="shared" si="51"/>
        <v>46784</v>
      </c>
      <c r="B3325" s="53">
        <v>3324</v>
      </c>
      <c r="C3325" s="53">
        <v>35545.24</v>
      </c>
    </row>
    <row r="3326" spans="1:3" x14ac:dyDescent="0.25">
      <c r="A3326" s="52">
        <f t="shared" si="51"/>
        <v>46785</v>
      </c>
      <c r="B3326" s="53">
        <v>3325</v>
      </c>
      <c r="C3326" s="53">
        <v>35546.250800000002</v>
      </c>
    </row>
    <row r="3327" spans="1:3" x14ac:dyDescent="0.25">
      <c r="A3327" s="52">
        <f t="shared" si="51"/>
        <v>46786</v>
      </c>
      <c r="B3327" s="53">
        <v>3326</v>
      </c>
      <c r="C3327" s="53">
        <v>35547.261599999998</v>
      </c>
    </row>
    <row r="3328" spans="1:3" x14ac:dyDescent="0.25">
      <c r="A3328" s="52">
        <f t="shared" si="51"/>
        <v>46787</v>
      </c>
      <c r="B3328" s="53">
        <v>3327</v>
      </c>
      <c r="C3328" s="53">
        <v>35548.272400000002</v>
      </c>
    </row>
    <row r="3329" spans="1:3" x14ac:dyDescent="0.25">
      <c r="A3329" s="52">
        <f t="shared" si="51"/>
        <v>46788</v>
      </c>
      <c r="B3329" s="53">
        <v>3328</v>
      </c>
      <c r="C3329" s="53">
        <v>35549.283300000003</v>
      </c>
    </row>
    <row r="3330" spans="1:3" x14ac:dyDescent="0.25">
      <c r="A3330" s="52">
        <f t="shared" ref="A3330:A3393" si="52">+$G$4+B3330</f>
        <v>46789</v>
      </c>
      <c r="B3330" s="53">
        <v>3329</v>
      </c>
      <c r="C3330" s="53">
        <v>35550.294199999997</v>
      </c>
    </row>
    <row r="3331" spans="1:3" x14ac:dyDescent="0.25">
      <c r="A3331" s="52">
        <f t="shared" si="52"/>
        <v>46790</v>
      </c>
      <c r="B3331" s="53">
        <v>3330</v>
      </c>
      <c r="C3331" s="53">
        <v>35551.305099999998</v>
      </c>
    </row>
    <row r="3332" spans="1:3" x14ac:dyDescent="0.25">
      <c r="A3332" s="52">
        <f t="shared" si="52"/>
        <v>46791</v>
      </c>
      <c r="B3332" s="53">
        <v>3331</v>
      </c>
      <c r="C3332" s="53">
        <v>35552.315999999999</v>
      </c>
    </row>
    <row r="3333" spans="1:3" x14ac:dyDescent="0.25">
      <c r="A3333" s="52">
        <f t="shared" si="52"/>
        <v>46792</v>
      </c>
      <c r="B3333" s="53">
        <v>3332</v>
      </c>
      <c r="C3333" s="53">
        <v>35553.326999999997</v>
      </c>
    </row>
    <row r="3334" spans="1:3" x14ac:dyDescent="0.25">
      <c r="A3334" s="52">
        <f t="shared" si="52"/>
        <v>46793</v>
      </c>
      <c r="B3334" s="53">
        <v>3333</v>
      </c>
      <c r="C3334" s="53">
        <v>35556.972600000001</v>
      </c>
    </row>
    <row r="3335" spans="1:3" x14ac:dyDescent="0.25">
      <c r="A3335" s="52">
        <f t="shared" si="52"/>
        <v>46794</v>
      </c>
      <c r="B3335" s="53">
        <v>3334</v>
      </c>
      <c r="C3335" s="53">
        <v>35560.618499999997</v>
      </c>
    </row>
    <row r="3336" spans="1:3" x14ac:dyDescent="0.25">
      <c r="A3336" s="52">
        <f t="shared" si="52"/>
        <v>46795</v>
      </c>
      <c r="B3336" s="53">
        <v>3335</v>
      </c>
      <c r="C3336" s="53">
        <v>35564.264900000002</v>
      </c>
    </row>
    <row r="3337" spans="1:3" x14ac:dyDescent="0.25">
      <c r="A3337" s="52">
        <f t="shared" si="52"/>
        <v>46796</v>
      </c>
      <c r="B3337" s="53">
        <v>3336</v>
      </c>
      <c r="C3337" s="53">
        <v>35567.911599999999</v>
      </c>
    </row>
    <row r="3338" spans="1:3" x14ac:dyDescent="0.25">
      <c r="A3338" s="52">
        <f t="shared" si="52"/>
        <v>46797</v>
      </c>
      <c r="B3338" s="53">
        <v>3337</v>
      </c>
      <c r="C3338" s="53">
        <v>35571.558700000001</v>
      </c>
    </row>
    <row r="3339" spans="1:3" x14ac:dyDescent="0.25">
      <c r="A3339" s="52">
        <f t="shared" si="52"/>
        <v>46798</v>
      </c>
      <c r="B3339" s="53">
        <v>3338</v>
      </c>
      <c r="C3339" s="53">
        <v>35575.206200000001</v>
      </c>
    </row>
    <row r="3340" spans="1:3" x14ac:dyDescent="0.25">
      <c r="A3340" s="52">
        <f t="shared" si="52"/>
        <v>46799</v>
      </c>
      <c r="B3340" s="53">
        <v>3339</v>
      </c>
      <c r="C3340" s="53">
        <v>35578.853999999999</v>
      </c>
    </row>
    <row r="3341" spans="1:3" x14ac:dyDescent="0.25">
      <c r="A3341" s="52">
        <f t="shared" si="52"/>
        <v>46800</v>
      </c>
      <c r="B3341" s="53">
        <v>3340</v>
      </c>
      <c r="C3341" s="53">
        <v>35582.502200000003</v>
      </c>
    </row>
    <row r="3342" spans="1:3" x14ac:dyDescent="0.25">
      <c r="A3342" s="52">
        <f t="shared" si="52"/>
        <v>46801</v>
      </c>
      <c r="B3342" s="53">
        <v>3341</v>
      </c>
      <c r="C3342" s="53">
        <v>35586.150800000003</v>
      </c>
    </row>
    <row r="3343" spans="1:3" x14ac:dyDescent="0.25">
      <c r="A3343" s="52">
        <f t="shared" si="52"/>
        <v>46802</v>
      </c>
      <c r="B3343" s="53">
        <v>3342</v>
      </c>
      <c r="C3343" s="53">
        <v>35589.799800000001</v>
      </c>
    </row>
    <row r="3344" spans="1:3" x14ac:dyDescent="0.25">
      <c r="A3344" s="52">
        <f t="shared" si="52"/>
        <v>46803</v>
      </c>
      <c r="B3344" s="53">
        <v>3343</v>
      </c>
      <c r="C3344" s="53">
        <v>35593.449099999998</v>
      </c>
    </row>
    <row r="3345" spans="1:3" x14ac:dyDescent="0.25">
      <c r="A3345" s="52">
        <f t="shared" si="52"/>
        <v>46804</v>
      </c>
      <c r="B3345" s="53">
        <v>3344</v>
      </c>
      <c r="C3345" s="53">
        <v>35597.0988</v>
      </c>
    </row>
    <row r="3346" spans="1:3" x14ac:dyDescent="0.25">
      <c r="A3346" s="52">
        <f t="shared" si="52"/>
        <v>46805</v>
      </c>
      <c r="B3346" s="53">
        <v>3345</v>
      </c>
      <c r="C3346" s="53">
        <v>35600.748899999999</v>
      </c>
    </row>
    <row r="3347" spans="1:3" x14ac:dyDescent="0.25">
      <c r="A3347" s="52">
        <f t="shared" si="52"/>
        <v>46806</v>
      </c>
      <c r="B3347" s="53">
        <v>3346</v>
      </c>
      <c r="C3347" s="53">
        <v>35604.399299999997</v>
      </c>
    </row>
    <row r="3348" spans="1:3" x14ac:dyDescent="0.25">
      <c r="A3348" s="52">
        <f t="shared" si="52"/>
        <v>46807</v>
      </c>
      <c r="B3348" s="53">
        <v>3347</v>
      </c>
      <c r="C3348" s="53">
        <v>35608.050199999998</v>
      </c>
    </row>
    <row r="3349" spans="1:3" x14ac:dyDescent="0.25">
      <c r="A3349" s="52">
        <f t="shared" si="52"/>
        <v>46808</v>
      </c>
      <c r="B3349" s="53">
        <v>3348</v>
      </c>
      <c r="C3349" s="53">
        <v>35611.701399999998</v>
      </c>
    </row>
    <row r="3350" spans="1:3" x14ac:dyDescent="0.25">
      <c r="A3350" s="52">
        <f t="shared" si="52"/>
        <v>46809</v>
      </c>
      <c r="B3350" s="53">
        <v>3349</v>
      </c>
      <c r="C3350" s="53">
        <v>35615.353000000003</v>
      </c>
    </row>
    <row r="3351" spans="1:3" x14ac:dyDescent="0.25">
      <c r="A3351" s="52">
        <f t="shared" si="52"/>
        <v>46810</v>
      </c>
      <c r="B3351" s="53">
        <v>3350</v>
      </c>
      <c r="C3351" s="53">
        <v>35619.0049</v>
      </c>
    </row>
    <row r="3352" spans="1:3" x14ac:dyDescent="0.25">
      <c r="A3352" s="52">
        <f t="shared" si="52"/>
        <v>46811</v>
      </c>
      <c r="B3352" s="53">
        <v>3351</v>
      </c>
      <c r="C3352" s="53">
        <v>35622.657200000001</v>
      </c>
    </row>
    <row r="3353" spans="1:3" x14ac:dyDescent="0.25">
      <c r="A3353" s="52">
        <f t="shared" si="52"/>
        <v>46812</v>
      </c>
      <c r="B3353" s="53">
        <v>3352</v>
      </c>
      <c r="C3353" s="53">
        <v>35626.31</v>
      </c>
    </row>
    <row r="3354" spans="1:3" x14ac:dyDescent="0.25">
      <c r="A3354" s="52">
        <f t="shared" si="52"/>
        <v>46813</v>
      </c>
      <c r="B3354" s="53">
        <v>3353</v>
      </c>
      <c r="C3354" s="53">
        <v>35629.963000000003</v>
      </c>
    </row>
    <row r="3355" spans="1:3" x14ac:dyDescent="0.25">
      <c r="A3355" s="52">
        <f t="shared" si="52"/>
        <v>46814</v>
      </c>
      <c r="B3355" s="53">
        <v>3354</v>
      </c>
      <c r="C3355" s="53">
        <v>35633.616499999996</v>
      </c>
    </row>
    <row r="3356" spans="1:3" x14ac:dyDescent="0.25">
      <c r="A3356" s="52">
        <f t="shared" si="52"/>
        <v>46815</v>
      </c>
      <c r="B3356" s="53">
        <v>3355</v>
      </c>
      <c r="C3356" s="53">
        <v>35637.270299999996</v>
      </c>
    </row>
    <row r="3357" spans="1:3" x14ac:dyDescent="0.25">
      <c r="A3357" s="52">
        <f t="shared" si="52"/>
        <v>46816</v>
      </c>
      <c r="B3357" s="53">
        <v>3356</v>
      </c>
      <c r="C3357" s="53">
        <v>35640.924500000001</v>
      </c>
    </row>
    <row r="3358" spans="1:3" x14ac:dyDescent="0.25">
      <c r="A3358" s="52">
        <f t="shared" si="52"/>
        <v>46817</v>
      </c>
      <c r="B3358" s="53">
        <v>3357</v>
      </c>
      <c r="C3358" s="53">
        <v>35644.579100000003</v>
      </c>
    </row>
    <row r="3359" spans="1:3" x14ac:dyDescent="0.25">
      <c r="A3359" s="52">
        <f t="shared" si="52"/>
        <v>46818</v>
      </c>
      <c r="B3359" s="53">
        <v>3358</v>
      </c>
      <c r="C3359" s="53">
        <v>35648.233999999997</v>
      </c>
    </row>
    <row r="3360" spans="1:3" x14ac:dyDescent="0.25">
      <c r="A3360" s="52">
        <f t="shared" si="52"/>
        <v>46819</v>
      </c>
      <c r="B3360" s="53">
        <v>3359</v>
      </c>
      <c r="C3360" s="53">
        <v>35651.8894</v>
      </c>
    </row>
    <row r="3361" spans="1:3" x14ac:dyDescent="0.25">
      <c r="A3361" s="52">
        <f t="shared" si="52"/>
        <v>46820</v>
      </c>
      <c r="B3361" s="53">
        <v>3360</v>
      </c>
      <c r="C3361" s="53">
        <v>35655.545100000003</v>
      </c>
    </row>
    <row r="3362" spans="1:3" x14ac:dyDescent="0.25">
      <c r="A3362" s="52">
        <f t="shared" si="52"/>
        <v>46821</v>
      </c>
      <c r="B3362" s="53">
        <v>3361</v>
      </c>
      <c r="C3362" s="53">
        <v>35659.201200000003</v>
      </c>
    </row>
    <row r="3363" spans="1:3" x14ac:dyDescent="0.25">
      <c r="A3363" s="52">
        <f t="shared" si="52"/>
        <v>46822</v>
      </c>
      <c r="B3363" s="53">
        <v>3362</v>
      </c>
      <c r="C3363" s="53">
        <v>35661.913800000002</v>
      </c>
    </row>
    <row r="3364" spans="1:3" x14ac:dyDescent="0.25">
      <c r="A3364" s="52">
        <f t="shared" si="52"/>
        <v>46823</v>
      </c>
      <c r="B3364" s="53">
        <v>3363</v>
      </c>
      <c r="C3364" s="53">
        <v>35664.626600000003</v>
      </c>
    </row>
    <row r="3365" spans="1:3" x14ac:dyDescent="0.25">
      <c r="A3365" s="52">
        <f t="shared" si="52"/>
        <v>46824</v>
      </c>
      <c r="B3365" s="53">
        <v>3364</v>
      </c>
      <c r="C3365" s="53">
        <v>35667.339599999999</v>
      </c>
    </row>
    <row r="3366" spans="1:3" x14ac:dyDescent="0.25">
      <c r="A3366" s="52">
        <f t="shared" si="52"/>
        <v>46825</v>
      </c>
      <c r="B3366" s="53">
        <v>3365</v>
      </c>
      <c r="C3366" s="53">
        <v>35670.052900000002</v>
      </c>
    </row>
    <row r="3367" spans="1:3" x14ac:dyDescent="0.25">
      <c r="A3367" s="52">
        <f t="shared" si="52"/>
        <v>46826</v>
      </c>
      <c r="B3367" s="53">
        <v>3366</v>
      </c>
      <c r="C3367" s="53">
        <v>35672.766300000003</v>
      </c>
    </row>
    <row r="3368" spans="1:3" x14ac:dyDescent="0.25">
      <c r="A3368" s="52">
        <f t="shared" si="52"/>
        <v>46827</v>
      </c>
      <c r="B3368" s="53">
        <v>3367</v>
      </c>
      <c r="C3368" s="53">
        <v>35675.480000000003</v>
      </c>
    </row>
    <row r="3369" spans="1:3" x14ac:dyDescent="0.25">
      <c r="A3369" s="52">
        <f t="shared" si="52"/>
        <v>46828</v>
      </c>
      <c r="B3369" s="53">
        <v>3368</v>
      </c>
      <c r="C3369" s="53">
        <v>35678.193899999998</v>
      </c>
    </row>
    <row r="3370" spans="1:3" x14ac:dyDescent="0.25">
      <c r="A3370" s="52">
        <f t="shared" si="52"/>
        <v>46829</v>
      </c>
      <c r="B3370" s="53">
        <v>3369</v>
      </c>
      <c r="C3370" s="53">
        <v>35680.907899999998</v>
      </c>
    </row>
    <row r="3371" spans="1:3" x14ac:dyDescent="0.25">
      <c r="A3371" s="52">
        <f t="shared" si="52"/>
        <v>46830</v>
      </c>
      <c r="B3371" s="53">
        <v>3370</v>
      </c>
      <c r="C3371" s="53">
        <v>35683.622199999998</v>
      </c>
    </row>
    <row r="3372" spans="1:3" x14ac:dyDescent="0.25">
      <c r="A3372" s="52">
        <f t="shared" si="52"/>
        <v>46831</v>
      </c>
      <c r="B3372" s="53">
        <v>3371</v>
      </c>
      <c r="C3372" s="53">
        <v>35686.3367</v>
      </c>
    </row>
    <row r="3373" spans="1:3" x14ac:dyDescent="0.25">
      <c r="A3373" s="52">
        <f t="shared" si="52"/>
        <v>46832</v>
      </c>
      <c r="B3373" s="53">
        <v>3372</v>
      </c>
      <c r="C3373" s="53">
        <v>35689.051399999997</v>
      </c>
    </row>
    <row r="3374" spans="1:3" x14ac:dyDescent="0.25">
      <c r="A3374" s="52">
        <f t="shared" si="52"/>
        <v>46833</v>
      </c>
      <c r="B3374" s="53">
        <v>3373</v>
      </c>
      <c r="C3374" s="53">
        <v>35691.766300000003</v>
      </c>
    </row>
    <row r="3375" spans="1:3" x14ac:dyDescent="0.25">
      <c r="A3375" s="52">
        <f t="shared" si="52"/>
        <v>46834</v>
      </c>
      <c r="B3375" s="53">
        <v>3374</v>
      </c>
      <c r="C3375" s="53">
        <v>35694.481399999997</v>
      </c>
    </row>
    <row r="3376" spans="1:3" x14ac:dyDescent="0.25">
      <c r="A3376" s="52">
        <f t="shared" si="52"/>
        <v>46835</v>
      </c>
      <c r="B3376" s="53">
        <v>3375</v>
      </c>
      <c r="C3376" s="53">
        <v>35697.1967</v>
      </c>
    </row>
    <row r="3377" spans="1:3" x14ac:dyDescent="0.25">
      <c r="A3377" s="52">
        <f t="shared" si="52"/>
        <v>46836</v>
      </c>
      <c r="B3377" s="53">
        <v>3376</v>
      </c>
      <c r="C3377" s="53">
        <v>35699.912199999999</v>
      </c>
    </row>
    <row r="3378" spans="1:3" x14ac:dyDescent="0.25">
      <c r="A3378" s="52">
        <f t="shared" si="52"/>
        <v>46837</v>
      </c>
      <c r="B3378" s="53">
        <v>3377</v>
      </c>
      <c r="C3378" s="53">
        <v>35702.627899999999</v>
      </c>
    </row>
    <row r="3379" spans="1:3" x14ac:dyDescent="0.25">
      <c r="A3379" s="52">
        <f t="shared" si="52"/>
        <v>46838</v>
      </c>
      <c r="B3379" s="53">
        <v>3378</v>
      </c>
      <c r="C3379" s="53">
        <v>35705.343800000002</v>
      </c>
    </row>
    <row r="3380" spans="1:3" x14ac:dyDescent="0.25">
      <c r="A3380" s="52">
        <f t="shared" si="52"/>
        <v>46839</v>
      </c>
      <c r="B3380" s="53">
        <v>3379</v>
      </c>
      <c r="C3380" s="53">
        <v>35708.06</v>
      </c>
    </row>
    <row r="3381" spans="1:3" x14ac:dyDescent="0.25">
      <c r="A3381" s="52">
        <f t="shared" si="52"/>
        <v>46840</v>
      </c>
      <c r="B3381" s="53">
        <v>3380</v>
      </c>
      <c r="C3381" s="53">
        <v>35710.776299999998</v>
      </c>
    </row>
    <row r="3382" spans="1:3" x14ac:dyDescent="0.25">
      <c r="A3382" s="52">
        <f t="shared" si="52"/>
        <v>46841</v>
      </c>
      <c r="B3382" s="53">
        <v>3381</v>
      </c>
      <c r="C3382" s="53">
        <v>35713.492899999997</v>
      </c>
    </row>
    <row r="3383" spans="1:3" x14ac:dyDescent="0.25">
      <c r="A3383" s="52">
        <f t="shared" si="52"/>
        <v>46842</v>
      </c>
      <c r="B3383" s="53">
        <v>3382</v>
      </c>
      <c r="C3383" s="53">
        <v>35716.209600000002</v>
      </c>
    </row>
    <row r="3384" spans="1:3" x14ac:dyDescent="0.25">
      <c r="A3384" s="52">
        <f t="shared" si="52"/>
        <v>46843</v>
      </c>
      <c r="B3384" s="53">
        <v>3383</v>
      </c>
      <c r="C3384" s="53">
        <v>35718.926599999999</v>
      </c>
    </row>
    <row r="3385" spans="1:3" x14ac:dyDescent="0.25">
      <c r="A3385" s="52">
        <f t="shared" si="52"/>
        <v>46844</v>
      </c>
      <c r="B3385" s="53">
        <v>3384</v>
      </c>
      <c r="C3385" s="53">
        <v>35721.643700000001</v>
      </c>
    </row>
    <row r="3386" spans="1:3" x14ac:dyDescent="0.25">
      <c r="A3386" s="52">
        <f t="shared" si="52"/>
        <v>46845</v>
      </c>
      <c r="B3386" s="53">
        <v>3385</v>
      </c>
      <c r="C3386" s="53">
        <v>35724.361100000002</v>
      </c>
    </row>
    <row r="3387" spans="1:3" x14ac:dyDescent="0.25">
      <c r="A3387" s="52">
        <f t="shared" si="52"/>
        <v>46846</v>
      </c>
      <c r="B3387" s="53">
        <v>3386</v>
      </c>
      <c r="C3387" s="53">
        <v>35727.078699999998</v>
      </c>
    </row>
    <row r="3388" spans="1:3" x14ac:dyDescent="0.25">
      <c r="A3388" s="52">
        <f t="shared" si="52"/>
        <v>46847</v>
      </c>
      <c r="B3388" s="53">
        <v>3387</v>
      </c>
      <c r="C3388" s="53">
        <v>35729.796499999997</v>
      </c>
    </row>
    <row r="3389" spans="1:3" x14ac:dyDescent="0.25">
      <c r="A3389" s="52">
        <f t="shared" si="52"/>
        <v>46848</v>
      </c>
      <c r="B3389" s="53">
        <v>3388</v>
      </c>
      <c r="C3389" s="53">
        <v>35732.514499999997</v>
      </c>
    </row>
    <row r="3390" spans="1:3" x14ac:dyDescent="0.25">
      <c r="A3390" s="52">
        <f t="shared" si="52"/>
        <v>46849</v>
      </c>
      <c r="B3390" s="53">
        <v>3389</v>
      </c>
      <c r="C3390" s="53">
        <v>35735.2327</v>
      </c>
    </row>
    <row r="3391" spans="1:3" x14ac:dyDescent="0.25">
      <c r="A3391" s="52">
        <f t="shared" si="52"/>
        <v>46850</v>
      </c>
      <c r="B3391" s="53">
        <v>3390</v>
      </c>
      <c r="C3391" s="53">
        <v>35737.951099999998</v>
      </c>
    </row>
    <row r="3392" spans="1:3" x14ac:dyDescent="0.25">
      <c r="A3392" s="52">
        <f t="shared" si="52"/>
        <v>46851</v>
      </c>
      <c r="B3392" s="53">
        <v>3391</v>
      </c>
      <c r="C3392" s="53">
        <v>35740.669699999999</v>
      </c>
    </row>
    <row r="3393" spans="1:3" x14ac:dyDescent="0.25">
      <c r="A3393" s="52">
        <f t="shared" si="52"/>
        <v>46852</v>
      </c>
      <c r="B3393" s="53">
        <v>3392</v>
      </c>
      <c r="C3393" s="53">
        <v>35743.388500000001</v>
      </c>
    </row>
    <row r="3394" spans="1:3" x14ac:dyDescent="0.25">
      <c r="A3394" s="52">
        <f t="shared" ref="A3394:A3457" si="53">+$G$4+B3394</f>
        <v>46853</v>
      </c>
      <c r="B3394" s="53">
        <v>3393</v>
      </c>
      <c r="C3394" s="53">
        <v>35747.256000000001</v>
      </c>
    </row>
    <row r="3395" spans="1:3" x14ac:dyDescent="0.25">
      <c r="A3395" s="52">
        <f t="shared" si="53"/>
        <v>46854</v>
      </c>
      <c r="B3395" s="53">
        <v>3394</v>
      </c>
      <c r="C3395" s="53">
        <v>35751.124000000003</v>
      </c>
    </row>
    <row r="3396" spans="1:3" x14ac:dyDescent="0.25">
      <c r="A3396" s="52">
        <f t="shared" si="53"/>
        <v>46855</v>
      </c>
      <c r="B3396" s="53">
        <v>3395</v>
      </c>
      <c r="C3396" s="53">
        <v>35754.992400000003</v>
      </c>
    </row>
    <row r="3397" spans="1:3" x14ac:dyDescent="0.25">
      <c r="A3397" s="52">
        <f t="shared" si="53"/>
        <v>46856</v>
      </c>
      <c r="B3397" s="53">
        <v>3396</v>
      </c>
      <c r="C3397" s="53">
        <v>35758.861100000002</v>
      </c>
    </row>
    <row r="3398" spans="1:3" x14ac:dyDescent="0.25">
      <c r="A3398" s="52">
        <f t="shared" si="53"/>
        <v>46857</v>
      </c>
      <c r="B3398" s="53">
        <v>3397</v>
      </c>
      <c r="C3398" s="53">
        <v>35762.730300000003</v>
      </c>
    </row>
    <row r="3399" spans="1:3" x14ac:dyDescent="0.25">
      <c r="A3399" s="52">
        <f t="shared" si="53"/>
        <v>46858</v>
      </c>
      <c r="B3399" s="53">
        <v>3398</v>
      </c>
      <c r="C3399" s="53">
        <v>35766.6</v>
      </c>
    </row>
    <row r="3400" spans="1:3" x14ac:dyDescent="0.25">
      <c r="A3400" s="52">
        <f t="shared" si="53"/>
        <v>46859</v>
      </c>
      <c r="B3400" s="53">
        <v>3399</v>
      </c>
      <c r="C3400" s="53">
        <v>35770.47</v>
      </c>
    </row>
    <row r="3401" spans="1:3" x14ac:dyDescent="0.25">
      <c r="A3401" s="52">
        <f t="shared" si="53"/>
        <v>46860</v>
      </c>
      <c r="B3401" s="53">
        <v>3400</v>
      </c>
      <c r="C3401" s="53">
        <v>35774.340499999998</v>
      </c>
    </row>
    <row r="3402" spans="1:3" x14ac:dyDescent="0.25">
      <c r="A3402" s="52">
        <f t="shared" si="53"/>
        <v>46861</v>
      </c>
      <c r="B3402" s="53">
        <v>3401</v>
      </c>
      <c r="C3402" s="53">
        <v>35778.211300000003</v>
      </c>
    </row>
    <row r="3403" spans="1:3" x14ac:dyDescent="0.25">
      <c r="A3403" s="52">
        <f t="shared" si="53"/>
        <v>46862</v>
      </c>
      <c r="B3403" s="53">
        <v>3402</v>
      </c>
      <c r="C3403" s="53">
        <v>35782.082600000002</v>
      </c>
    </row>
    <row r="3404" spans="1:3" x14ac:dyDescent="0.25">
      <c r="A3404" s="52">
        <f t="shared" si="53"/>
        <v>46863</v>
      </c>
      <c r="B3404" s="53">
        <v>3403</v>
      </c>
      <c r="C3404" s="53">
        <v>35785.954400000002</v>
      </c>
    </row>
    <row r="3405" spans="1:3" x14ac:dyDescent="0.25">
      <c r="A3405" s="52">
        <f t="shared" si="53"/>
        <v>46864</v>
      </c>
      <c r="B3405" s="53">
        <v>3404</v>
      </c>
      <c r="C3405" s="53">
        <v>35789.826500000003</v>
      </c>
    </row>
    <row r="3406" spans="1:3" x14ac:dyDescent="0.25">
      <c r="A3406" s="52">
        <f t="shared" si="53"/>
        <v>46865</v>
      </c>
      <c r="B3406" s="53">
        <v>3405</v>
      </c>
      <c r="C3406" s="53">
        <v>35793.699000000001</v>
      </c>
    </row>
    <row r="3407" spans="1:3" x14ac:dyDescent="0.25">
      <c r="A3407" s="52">
        <f t="shared" si="53"/>
        <v>46866</v>
      </c>
      <c r="B3407" s="53">
        <v>3406</v>
      </c>
      <c r="C3407" s="53">
        <v>35797.572</v>
      </c>
    </row>
    <row r="3408" spans="1:3" x14ac:dyDescent="0.25">
      <c r="A3408" s="52">
        <f t="shared" si="53"/>
        <v>46867</v>
      </c>
      <c r="B3408" s="53">
        <v>3407</v>
      </c>
      <c r="C3408" s="53">
        <v>35801.445399999997</v>
      </c>
    </row>
    <row r="3409" spans="1:3" x14ac:dyDescent="0.25">
      <c r="A3409" s="52">
        <f t="shared" si="53"/>
        <v>46868</v>
      </c>
      <c r="B3409" s="53">
        <v>3408</v>
      </c>
      <c r="C3409" s="53">
        <v>35805.319199999998</v>
      </c>
    </row>
    <row r="3410" spans="1:3" x14ac:dyDescent="0.25">
      <c r="A3410" s="52">
        <f t="shared" si="53"/>
        <v>46869</v>
      </c>
      <c r="B3410" s="53">
        <v>3409</v>
      </c>
      <c r="C3410" s="53">
        <v>35809.193399999996</v>
      </c>
    </row>
    <row r="3411" spans="1:3" x14ac:dyDescent="0.25">
      <c r="A3411" s="52">
        <f t="shared" si="53"/>
        <v>46870</v>
      </c>
      <c r="B3411" s="53">
        <v>3410</v>
      </c>
      <c r="C3411" s="53">
        <v>35813.068099999997</v>
      </c>
    </row>
    <row r="3412" spans="1:3" x14ac:dyDescent="0.25">
      <c r="A3412" s="52">
        <f t="shared" si="53"/>
        <v>46871</v>
      </c>
      <c r="B3412" s="53">
        <v>3411</v>
      </c>
      <c r="C3412" s="53">
        <v>35816.943200000002</v>
      </c>
    </row>
    <row r="3413" spans="1:3" x14ac:dyDescent="0.25">
      <c r="A3413" s="52">
        <f t="shared" si="53"/>
        <v>46872</v>
      </c>
      <c r="B3413" s="53">
        <v>3412</v>
      </c>
      <c r="C3413" s="53">
        <v>35820.818700000003</v>
      </c>
    </row>
    <row r="3414" spans="1:3" x14ac:dyDescent="0.25">
      <c r="A3414" s="52">
        <f t="shared" si="53"/>
        <v>46873</v>
      </c>
      <c r="B3414" s="53">
        <v>3413</v>
      </c>
      <c r="C3414" s="53">
        <v>35824.694600000003</v>
      </c>
    </row>
    <row r="3415" spans="1:3" x14ac:dyDescent="0.25">
      <c r="A3415" s="52">
        <f t="shared" si="53"/>
        <v>46874</v>
      </c>
      <c r="B3415" s="53">
        <v>3414</v>
      </c>
      <c r="C3415" s="53">
        <v>35828.570899999999</v>
      </c>
    </row>
    <row r="3416" spans="1:3" x14ac:dyDescent="0.25">
      <c r="A3416" s="52">
        <f t="shared" si="53"/>
        <v>46875</v>
      </c>
      <c r="B3416" s="53">
        <v>3415</v>
      </c>
      <c r="C3416" s="53">
        <v>35832.4476</v>
      </c>
    </row>
    <row r="3417" spans="1:3" x14ac:dyDescent="0.25">
      <c r="A3417" s="52">
        <f t="shared" si="53"/>
        <v>46876</v>
      </c>
      <c r="B3417" s="53">
        <v>3416</v>
      </c>
      <c r="C3417" s="53">
        <v>35836.324800000002</v>
      </c>
    </row>
    <row r="3418" spans="1:3" x14ac:dyDescent="0.25">
      <c r="A3418" s="52">
        <f t="shared" si="53"/>
        <v>46877</v>
      </c>
      <c r="B3418" s="53">
        <v>3417</v>
      </c>
      <c r="C3418" s="53">
        <v>35840.202400000002</v>
      </c>
    </row>
    <row r="3419" spans="1:3" x14ac:dyDescent="0.25">
      <c r="A3419" s="52">
        <f t="shared" si="53"/>
        <v>46878</v>
      </c>
      <c r="B3419" s="53">
        <v>3418</v>
      </c>
      <c r="C3419" s="53">
        <v>35844.080399999999</v>
      </c>
    </row>
    <row r="3420" spans="1:3" x14ac:dyDescent="0.25">
      <c r="A3420" s="52">
        <f t="shared" si="53"/>
        <v>46879</v>
      </c>
      <c r="B3420" s="53">
        <v>3419</v>
      </c>
      <c r="C3420" s="53">
        <v>35847.9588</v>
      </c>
    </row>
    <row r="3421" spans="1:3" x14ac:dyDescent="0.25">
      <c r="A3421" s="52">
        <f t="shared" si="53"/>
        <v>46880</v>
      </c>
      <c r="B3421" s="53">
        <v>3420</v>
      </c>
      <c r="C3421" s="53">
        <v>35851.837599999999</v>
      </c>
    </row>
    <row r="3422" spans="1:3" x14ac:dyDescent="0.25">
      <c r="A3422" s="52">
        <f t="shared" si="53"/>
        <v>46881</v>
      </c>
      <c r="B3422" s="53">
        <v>3421</v>
      </c>
      <c r="C3422" s="53">
        <v>35855.716899999999</v>
      </c>
    </row>
    <row r="3423" spans="1:3" x14ac:dyDescent="0.25">
      <c r="A3423" s="52">
        <f t="shared" si="53"/>
        <v>46882</v>
      </c>
      <c r="B3423" s="53">
        <v>3422</v>
      </c>
      <c r="C3423" s="53">
        <v>35859.596599999997</v>
      </c>
    </row>
    <row r="3424" spans="1:3" x14ac:dyDescent="0.25">
      <c r="A3424" s="52">
        <f t="shared" si="53"/>
        <v>46883</v>
      </c>
      <c r="B3424" s="53">
        <v>3423</v>
      </c>
      <c r="C3424" s="53">
        <v>35862.7143</v>
      </c>
    </row>
    <row r="3425" spans="1:3" x14ac:dyDescent="0.25">
      <c r="A3425" s="52">
        <f t="shared" si="53"/>
        <v>46884</v>
      </c>
      <c r="B3425" s="53">
        <v>3424</v>
      </c>
      <c r="C3425" s="53">
        <v>35865.832300000002</v>
      </c>
    </row>
    <row r="3426" spans="1:3" x14ac:dyDescent="0.25">
      <c r="A3426" s="52">
        <f t="shared" si="53"/>
        <v>46885</v>
      </c>
      <c r="B3426" s="53">
        <v>3425</v>
      </c>
      <c r="C3426" s="53">
        <v>35868.950499999999</v>
      </c>
    </row>
    <row r="3427" spans="1:3" x14ac:dyDescent="0.25">
      <c r="A3427" s="52">
        <f t="shared" si="53"/>
        <v>46886</v>
      </c>
      <c r="B3427" s="53">
        <v>3426</v>
      </c>
      <c r="C3427" s="53">
        <v>35872.069000000003</v>
      </c>
    </row>
    <row r="3428" spans="1:3" x14ac:dyDescent="0.25">
      <c r="A3428" s="52">
        <f t="shared" si="53"/>
        <v>46887</v>
      </c>
      <c r="B3428" s="53">
        <v>3427</v>
      </c>
      <c r="C3428" s="53">
        <v>35875.1878</v>
      </c>
    </row>
    <row r="3429" spans="1:3" x14ac:dyDescent="0.25">
      <c r="A3429" s="52">
        <f t="shared" si="53"/>
        <v>46888</v>
      </c>
      <c r="B3429" s="53">
        <v>3428</v>
      </c>
      <c r="C3429" s="53">
        <v>35878.306799999998</v>
      </c>
    </row>
    <row r="3430" spans="1:3" x14ac:dyDescent="0.25">
      <c r="A3430" s="52">
        <f t="shared" si="53"/>
        <v>46889</v>
      </c>
      <c r="B3430" s="53">
        <v>3429</v>
      </c>
      <c r="C3430" s="53">
        <v>35881.426200000002</v>
      </c>
    </row>
    <row r="3431" spans="1:3" x14ac:dyDescent="0.25">
      <c r="A3431" s="52">
        <f t="shared" si="53"/>
        <v>46890</v>
      </c>
      <c r="B3431" s="53">
        <v>3430</v>
      </c>
      <c r="C3431" s="53">
        <v>35884.545700000002</v>
      </c>
    </row>
    <row r="3432" spans="1:3" x14ac:dyDescent="0.25">
      <c r="A3432" s="52">
        <f t="shared" si="53"/>
        <v>46891</v>
      </c>
      <c r="B3432" s="53">
        <v>3431</v>
      </c>
      <c r="C3432" s="53">
        <v>35887.6656</v>
      </c>
    </row>
    <row r="3433" spans="1:3" x14ac:dyDescent="0.25">
      <c r="A3433" s="52">
        <f t="shared" si="53"/>
        <v>46892</v>
      </c>
      <c r="B3433" s="53">
        <v>3432</v>
      </c>
      <c r="C3433" s="53">
        <v>35890.7857</v>
      </c>
    </row>
    <row r="3434" spans="1:3" x14ac:dyDescent="0.25">
      <c r="A3434" s="52">
        <f t="shared" si="53"/>
        <v>46893</v>
      </c>
      <c r="B3434" s="53">
        <v>3433</v>
      </c>
      <c r="C3434" s="53">
        <v>35893.906199999998</v>
      </c>
    </row>
    <row r="3435" spans="1:3" x14ac:dyDescent="0.25">
      <c r="A3435" s="52">
        <f t="shared" si="53"/>
        <v>46894</v>
      </c>
      <c r="B3435" s="53">
        <v>3434</v>
      </c>
      <c r="C3435" s="53">
        <v>35897.0268</v>
      </c>
    </row>
    <row r="3436" spans="1:3" x14ac:dyDescent="0.25">
      <c r="A3436" s="52">
        <f t="shared" si="53"/>
        <v>46895</v>
      </c>
      <c r="B3436" s="53">
        <v>3435</v>
      </c>
      <c r="C3436" s="53">
        <v>35900.147799999999</v>
      </c>
    </row>
    <row r="3437" spans="1:3" x14ac:dyDescent="0.25">
      <c r="A3437" s="52">
        <f t="shared" si="53"/>
        <v>46896</v>
      </c>
      <c r="B3437" s="53">
        <v>3436</v>
      </c>
      <c r="C3437" s="53">
        <v>35903.269</v>
      </c>
    </row>
    <row r="3438" spans="1:3" x14ac:dyDescent="0.25">
      <c r="A3438" s="52">
        <f t="shared" si="53"/>
        <v>46897</v>
      </c>
      <c r="B3438" s="53">
        <v>3437</v>
      </c>
      <c r="C3438" s="53">
        <v>35906.390500000001</v>
      </c>
    </row>
    <row r="3439" spans="1:3" x14ac:dyDescent="0.25">
      <c r="A3439" s="52">
        <f t="shared" si="53"/>
        <v>46898</v>
      </c>
      <c r="B3439" s="53">
        <v>3438</v>
      </c>
      <c r="C3439" s="53">
        <v>35909.512300000002</v>
      </c>
    </row>
    <row r="3440" spans="1:3" x14ac:dyDescent="0.25">
      <c r="A3440" s="52">
        <f t="shared" si="53"/>
        <v>46899</v>
      </c>
      <c r="B3440" s="53">
        <v>3439</v>
      </c>
      <c r="C3440" s="53">
        <v>35912.634299999998</v>
      </c>
    </row>
    <row r="3441" spans="1:3" x14ac:dyDescent="0.25">
      <c r="A3441" s="52">
        <f t="shared" si="53"/>
        <v>46900</v>
      </c>
      <c r="B3441" s="53">
        <v>3440</v>
      </c>
      <c r="C3441" s="53">
        <v>35915.756600000001</v>
      </c>
    </row>
    <row r="3442" spans="1:3" x14ac:dyDescent="0.25">
      <c r="A3442" s="52">
        <f t="shared" si="53"/>
        <v>46901</v>
      </c>
      <c r="B3442" s="53">
        <v>3441</v>
      </c>
      <c r="C3442" s="53">
        <v>35918.879200000003</v>
      </c>
    </row>
    <row r="3443" spans="1:3" x14ac:dyDescent="0.25">
      <c r="A3443" s="52">
        <f t="shared" si="53"/>
        <v>46902</v>
      </c>
      <c r="B3443" s="53">
        <v>3442</v>
      </c>
      <c r="C3443" s="53">
        <v>35922.002</v>
      </c>
    </row>
    <row r="3444" spans="1:3" x14ac:dyDescent="0.25">
      <c r="A3444" s="52">
        <f t="shared" si="53"/>
        <v>46903</v>
      </c>
      <c r="B3444" s="53">
        <v>3443</v>
      </c>
      <c r="C3444" s="53">
        <v>35925.125099999997</v>
      </c>
    </row>
    <row r="3445" spans="1:3" x14ac:dyDescent="0.25">
      <c r="A3445" s="52">
        <f t="shared" si="53"/>
        <v>46904</v>
      </c>
      <c r="B3445" s="53">
        <v>3444</v>
      </c>
      <c r="C3445" s="53">
        <v>35928.248500000002</v>
      </c>
    </row>
    <row r="3446" spans="1:3" x14ac:dyDescent="0.25">
      <c r="A3446" s="52">
        <f t="shared" si="53"/>
        <v>46905</v>
      </c>
      <c r="B3446" s="53">
        <v>3445</v>
      </c>
      <c r="C3446" s="53">
        <v>35931.372199999998</v>
      </c>
    </row>
    <row r="3447" spans="1:3" x14ac:dyDescent="0.25">
      <c r="A3447" s="52">
        <f t="shared" si="53"/>
        <v>46906</v>
      </c>
      <c r="B3447" s="53">
        <v>3446</v>
      </c>
      <c r="C3447" s="53">
        <v>35934.496099999997</v>
      </c>
    </row>
    <row r="3448" spans="1:3" x14ac:dyDescent="0.25">
      <c r="A3448" s="52">
        <f t="shared" si="53"/>
        <v>46907</v>
      </c>
      <c r="B3448" s="53">
        <v>3447</v>
      </c>
      <c r="C3448" s="53">
        <v>35937.620300000002</v>
      </c>
    </row>
    <row r="3449" spans="1:3" x14ac:dyDescent="0.25">
      <c r="A3449" s="52">
        <f t="shared" si="53"/>
        <v>46908</v>
      </c>
      <c r="B3449" s="53">
        <v>3448</v>
      </c>
      <c r="C3449" s="53">
        <v>35940.7448</v>
      </c>
    </row>
    <row r="3450" spans="1:3" x14ac:dyDescent="0.25">
      <c r="A3450" s="52">
        <f t="shared" si="53"/>
        <v>46909</v>
      </c>
      <c r="B3450" s="53">
        <v>3449</v>
      </c>
      <c r="C3450" s="53">
        <v>35943.869599999998</v>
      </c>
    </row>
    <row r="3451" spans="1:3" x14ac:dyDescent="0.25">
      <c r="A3451" s="52">
        <f t="shared" si="53"/>
        <v>46910</v>
      </c>
      <c r="B3451" s="53">
        <v>3450</v>
      </c>
      <c r="C3451" s="53">
        <v>35946.994599999998</v>
      </c>
    </row>
    <row r="3452" spans="1:3" x14ac:dyDescent="0.25">
      <c r="A3452" s="52">
        <f t="shared" si="53"/>
        <v>46911</v>
      </c>
      <c r="B3452" s="53">
        <v>3451</v>
      </c>
      <c r="C3452" s="53">
        <v>35950.119899999998</v>
      </c>
    </row>
    <row r="3453" spans="1:3" x14ac:dyDescent="0.25">
      <c r="A3453" s="52">
        <f t="shared" si="53"/>
        <v>46912</v>
      </c>
      <c r="B3453" s="53">
        <v>3452</v>
      </c>
      <c r="C3453" s="53">
        <v>35953.245499999997</v>
      </c>
    </row>
    <row r="3454" spans="1:3" x14ac:dyDescent="0.25">
      <c r="A3454" s="52">
        <f t="shared" si="53"/>
        <v>46913</v>
      </c>
      <c r="B3454" s="53">
        <v>3453</v>
      </c>
      <c r="C3454" s="53">
        <v>35956.371299999999</v>
      </c>
    </row>
    <row r="3455" spans="1:3" x14ac:dyDescent="0.25">
      <c r="A3455" s="52">
        <f t="shared" si="53"/>
        <v>46914</v>
      </c>
      <c r="B3455" s="53">
        <v>3454</v>
      </c>
      <c r="C3455" s="53">
        <v>35959.492200000001</v>
      </c>
    </row>
    <row r="3456" spans="1:3" x14ac:dyDescent="0.25">
      <c r="A3456" s="52">
        <f t="shared" si="53"/>
        <v>46915</v>
      </c>
      <c r="B3456" s="53">
        <v>3455</v>
      </c>
      <c r="C3456" s="53">
        <v>35962.613400000002</v>
      </c>
    </row>
    <row r="3457" spans="1:3" x14ac:dyDescent="0.25">
      <c r="A3457" s="52">
        <f t="shared" si="53"/>
        <v>46916</v>
      </c>
      <c r="B3457" s="53">
        <v>3456</v>
      </c>
      <c r="C3457" s="53">
        <v>35965.734799999998</v>
      </c>
    </row>
    <row r="3458" spans="1:3" x14ac:dyDescent="0.25">
      <c r="A3458" s="52">
        <f t="shared" ref="A3458:A3521" si="54">+$G$4+B3458</f>
        <v>46917</v>
      </c>
      <c r="B3458" s="53">
        <v>3457</v>
      </c>
      <c r="C3458" s="53">
        <v>35968.856500000002</v>
      </c>
    </row>
    <row r="3459" spans="1:3" x14ac:dyDescent="0.25">
      <c r="A3459" s="52">
        <f t="shared" si="54"/>
        <v>46918</v>
      </c>
      <c r="B3459" s="53">
        <v>3458</v>
      </c>
      <c r="C3459" s="53">
        <v>35971.978499999997</v>
      </c>
    </row>
    <row r="3460" spans="1:3" x14ac:dyDescent="0.25">
      <c r="A3460" s="52">
        <f t="shared" si="54"/>
        <v>46919</v>
      </c>
      <c r="B3460" s="53">
        <v>3459</v>
      </c>
      <c r="C3460" s="53">
        <v>35975.1008</v>
      </c>
    </row>
    <row r="3461" spans="1:3" x14ac:dyDescent="0.25">
      <c r="A3461" s="52">
        <f t="shared" si="54"/>
        <v>46920</v>
      </c>
      <c r="B3461" s="53">
        <v>3460</v>
      </c>
      <c r="C3461" s="53">
        <v>35978.223299999998</v>
      </c>
    </row>
    <row r="3462" spans="1:3" x14ac:dyDescent="0.25">
      <c r="A3462" s="52">
        <f t="shared" si="54"/>
        <v>46921</v>
      </c>
      <c r="B3462" s="53">
        <v>3461</v>
      </c>
      <c r="C3462" s="53">
        <v>35981.346100000002</v>
      </c>
    </row>
    <row r="3463" spans="1:3" x14ac:dyDescent="0.25">
      <c r="A3463" s="52">
        <f t="shared" si="54"/>
        <v>46922</v>
      </c>
      <c r="B3463" s="53">
        <v>3462</v>
      </c>
      <c r="C3463" s="53">
        <v>35984.4692</v>
      </c>
    </row>
    <row r="3464" spans="1:3" x14ac:dyDescent="0.25">
      <c r="A3464" s="52">
        <f t="shared" si="54"/>
        <v>46923</v>
      </c>
      <c r="B3464" s="53">
        <v>3463</v>
      </c>
      <c r="C3464" s="53">
        <v>35987.592499999999</v>
      </c>
    </row>
    <row r="3465" spans="1:3" x14ac:dyDescent="0.25">
      <c r="A3465" s="52">
        <f t="shared" si="54"/>
        <v>46924</v>
      </c>
      <c r="B3465" s="53">
        <v>3464</v>
      </c>
      <c r="C3465" s="53">
        <v>35990.716099999998</v>
      </c>
    </row>
    <row r="3466" spans="1:3" x14ac:dyDescent="0.25">
      <c r="A3466" s="52">
        <f t="shared" si="54"/>
        <v>46925</v>
      </c>
      <c r="B3466" s="53">
        <v>3465</v>
      </c>
      <c r="C3466" s="53">
        <v>35993.839999999997</v>
      </c>
    </row>
    <row r="3467" spans="1:3" x14ac:dyDescent="0.25">
      <c r="A3467" s="52">
        <f t="shared" si="54"/>
        <v>46926</v>
      </c>
      <c r="B3467" s="53">
        <v>3466</v>
      </c>
      <c r="C3467" s="53">
        <v>35996.964200000002</v>
      </c>
    </row>
    <row r="3468" spans="1:3" x14ac:dyDescent="0.25">
      <c r="A3468" s="52">
        <f t="shared" si="54"/>
        <v>46927</v>
      </c>
      <c r="B3468" s="53">
        <v>3467</v>
      </c>
      <c r="C3468" s="53">
        <v>36000.088600000003</v>
      </c>
    </row>
    <row r="3469" spans="1:3" x14ac:dyDescent="0.25">
      <c r="A3469" s="52">
        <f t="shared" si="54"/>
        <v>46928</v>
      </c>
      <c r="B3469" s="53">
        <v>3468</v>
      </c>
      <c r="C3469" s="53">
        <v>36003.213300000003</v>
      </c>
    </row>
    <row r="3470" spans="1:3" x14ac:dyDescent="0.25">
      <c r="A3470" s="52">
        <f t="shared" si="54"/>
        <v>46929</v>
      </c>
      <c r="B3470" s="53">
        <v>3469</v>
      </c>
      <c r="C3470" s="53">
        <v>36006.338300000003</v>
      </c>
    </row>
    <row r="3471" spans="1:3" x14ac:dyDescent="0.25">
      <c r="A3471" s="52">
        <f t="shared" si="54"/>
        <v>46930</v>
      </c>
      <c r="B3471" s="53">
        <v>3470</v>
      </c>
      <c r="C3471" s="53">
        <v>36009.463499999998</v>
      </c>
    </row>
    <row r="3472" spans="1:3" x14ac:dyDescent="0.25">
      <c r="A3472" s="52">
        <f t="shared" si="54"/>
        <v>46931</v>
      </c>
      <c r="B3472" s="53">
        <v>3471</v>
      </c>
      <c r="C3472" s="53">
        <v>36012.589</v>
      </c>
    </row>
    <row r="3473" spans="1:3" x14ac:dyDescent="0.25">
      <c r="A3473" s="52">
        <f t="shared" si="54"/>
        <v>46932</v>
      </c>
      <c r="B3473" s="53">
        <v>3472</v>
      </c>
      <c r="C3473" s="53">
        <v>36015.714800000002</v>
      </c>
    </row>
    <row r="3474" spans="1:3" x14ac:dyDescent="0.25">
      <c r="A3474" s="52">
        <f t="shared" si="54"/>
        <v>46933</v>
      </c>
      <c r="B3474" s="53">
        <v>3473</v>
      </c>
      <c r="C3474" s="53">
        <v>36018.840900000003</v>
      </c>
    </row>
    <row r="3475" spans="1:3" x14ac:dyDescent="0.25">
      <c r="A3475" s="52">
        <f t="shared" si="54"/>
        <v>46934</v>
      </c>
      <c r="B3475" s="53">
        <v>3474</v>
      </c>
      <c r="C3475" s="53">
        <v>36021.967199999999</v>
      </c>
    </row>
    <row r="3476" spans="1:3" x14ac:dyDescent="0.25">
      <c r="A3476" s="52">
        <f t="shared" si="54"/>
        <v>46935</v>
      </c>
      <c r="B3476" s="53">
        <v>3475</v>
      </c>
      <c r="C3476" s="53">
        <v>36025.093800000002</v>
      </c>
    </row>
    <row r="3477" spans="1:3" x14ac:dyDescent="0.25">
      <c r="A3477" s="52">
        <f t="shared" si="54"/>
        <v>46936</v>
      </c>
      <c r="B3477" s="53">
        <v>3476</v>
      </c>
      <c r="C3477" s="53">
        <v>36028.220699999998</v>
      </c>
    </row>
    <row r="3478" spans="1:3" x14ac:dyDescent="0.25">
      <c r="A3478" s="52">
        <f t="shared" si="54"/>
        <v>46937</v>
      </c>
      <c r="B3478" s="53">
        <v>3477</v>
      </c>
      <c r="C3478" s="53">
        <v>36031.347800000003</v>
      </c>
    </row>
    <row r="3479" spans="1:3" x14ac:dyDescent="0.25">
      <c r="A3479" s="52">
        <f t="shared" si="54"/>
        <v>46938</v>
      </c>
      <c r="B3479" s="53">
        <v>3478</v>
      </c>
      <c r="C3479" s="53">
        <v>36034.475200000001</v>
      </c>
    </row>
    <row r="3480" spans="1:3" x14ac:dyDescent="0.25">
      <c r="A3480" s="52">
        <f t="shared" si="54"/>
        <v>46939</v>
      </c>
      <c r="B3480" s="53">
        <v>3479</v>
      </c>
      <c r="C3480" s="53">
        <v>36037.602899999998</v>
      </c>
    </row>
    <row r="3481" spans="1:3" x14ac:dyDescent="0.25">
      <c r="A3481" s="52">
        <f t="shared" si="54"/>
        <v>46940</v>
      </c>
      <c r="B3481" s="53">
        <v>3480</v>
      </c>
      <c r="C3481" s="53">
        <v>36040.730900000002</v>
      </c>
    </row>
    <row r="3482" spans="1:3" x14ac:dyDescent="0.25">
      <c r="A3482" s="52">
        <f t="shared" si="54"/>
        <v>46941</v>
      </c>
      <c r="B3482" s="53">
        <v>3481</v>
      </c>
      <c r="C3482" s="53">
        <v>36043.859100000001</v>
      </c>
    </row>
    <row r="3483" spans="1:3" x14ac:dyDescent="0.25">
      <c r="A3483" s="52">
        <f t="shared" si="54"/>
        <v>46942</v>
      </c>
      <c r="B3483" s="53">
        <v>3482</v>
      </c>
      <c r="C3483" s="53">
        <v>36046.9876</v>
      </c>
    </row>
    <row r="3484" spans="1:3" x14ac:dyDescent="0.25">
      <c r="A3484" s="52">
        <f t="shared" si="54"/>
        <v>46943</v>
      </c>
      <c r="B3484" s="53">
        <v>3483</v>
      </c>
      <c r="C3484" s="53">
        <v>36050.116399999999</v>
      </c>
    </row>
    <row r="3485" spans="1:3" x14ac:dyDescent="0.25">
      <c r="A3485" s="52">
        <f t="shared" si="54"/>
        <v>46944</v>
      </c>
      <c r="B3485" s="53">
        <v>3484</v>
      </c>
      <c r="C3485" s="53">
        <v>36052.568899999998</v>
      </c>
    </row>
    <row r="3486" spans="1:3" x14ac:dyDescent="0.25">
      <c r="A3486" s="52">
        <f t="shared" si="54"/>
        <v>46945</v>
      </c>
      <c r="B3486" s="53">
        <v>3485</v>
      </c>
      <c r="C3486" s="53">
        <v>36055.021699999998</v>
      </c>
    </row>
    <row r="3487" spans="1:3" x14ac:dyDescent="0.25">
      <c r="A3487" s="52">
        <f t="shared" si="54"/>
        <v>46946</v>
      </c>
      <c r="B3487" s="53">
        <v>3486</v>
      </c>
      <c r="C3487" s="53">
        <v>36057.474600000001</v>
      </c>
    </row>
    <row r="3488" spans="1:3" x14ac:dyDescent="0.25">
      <c r="A3488" s="52">
        <f t="shared" si="54"/>
        <v>46947</v>
      </c>
      <c r="B3488" s="53">
        <v>3487</v>
      </c>
      <c r="C3488" s="53">
        <v>36059.9277</v>
      </c>
    </row>
    <row r="3489" spans="1:3" x14ac:dyDescent="0.25">
      <c r="A3489" s="52">
        <f t="shared" si="54"/>
        <v>46948</v>
      </c>
      <c r="B3489" s="53">
        <v>3488</v>
      </c>
      <c r="C3489" s="53">
        <v>36062.381000000001</v>
      </c>
    </row>
    <row r="3490" spans="1:3" x14ac:dyDescent="0.25">
      <c r="A3490" s="52">
        <f t="shared" si="54"/>
        <v>46949</v>
      </c>
      <c r="B3490" s="53">
        <v>3489</v>
      </c>
      <c r="C3490" s="53">
        <v>36064.8344</v>
      </c>
    </row>
    <row r="3491" spans="1:3" x14ac:dyDescent="0.25">
      <c r="A3491" s="52">
        <f t="shared" si="54"/>
        <v>46950</v>
      </c>
      <c r="B3491" s="53">
        <v>3490</v>
      </c>
      <c r="C3491" s="53">
        <v>36067.288</v>
      </c>
    </row>
    <row r="3492" spans="1:3" x14ac:dyDescent="0.25">
      <c r="A3492" s="52">
        <f t="shared" si="54"/>
        <v>46951</v>
      </c>
      <c r="B3492" s="53">
        <v>3491</v>
      </c>
      <c r="C3492" s="53">
        <v>36069.741800000003</v>
      </c>
    </row>
    <row r="3493" spans="1:3" x14ac:dyDescent="0.25">
      <c r="A3493" s="52">
        <f t="shared" si="54"/>
        <v>46952</v>
      </c>
      <c r="B3493" s="53">
        <v>3492</v>
      </c>
      <c r="C3493" s="53">
        <v>36072.195699999997</v>
      </c>
    </row>
    <row r="3494" spans="1:3" x14ac:dyDescent="0.25">
      <c r="A3494" s="52">
        <f t="shared" si="54"/>
        <v>46953</v>
      </c>
      <c r="B3494" s="53">
        <v>3493</v>
      </c>
      <c r="C3494" s="53">
        <v>36074.649799999999</v>
      </c>
    </row>
    <row r="3495" spans="1:3" x14ac:dyDescent="0.25">
      <c r="A3495" s="52">
        <f t="shared" si="54"/>
        <v>46954</v>
      </c>
      <c r="B3495" s="53">
        <v>3494</v>
      </c>
      <c r="C3495" s="53">
        <v>36077.104099999997</v>
      </c>
    </row>
    <row r="3496" spans="1:3" x14ac:dyDescent="0.25">
      <c r="A3496" s="52">
        <f t="shared" si="54"/>
        <v>46955</v>
      </c>
      <c r="B3496" s="53">
        <v>3495</v>
      </c>
      <c r="C3496" s="53">
        <v>36079.558499999999</v>
      </c>
    </row>
    <row r="3497" spans="1:3" x14ac:dyDescent="0.25">
      <c r="A3497" s="52">
        <f t="shared" si="54"/>
        <v>46956</v>
      </c>
      <c r="B3497" s="53">
        <v>3496</v>
      </c>
      <c r="C3497" s="53">
        <v>36082.013099999996</v>
      </c>
    </row>
    <row r="3498" spans="1:3" x14ac:dyDescent="0.25">
      <c r="A3498" s="52">
        <f t="shared" si="54"/>
        <v>46957</v>
      </c>
      <c r="B3498" s="53">
        <v>3497</v>
      </c>
      <c r="C3498" s="53">
        <v>36084.467900000003</v>
      </c>
    </row>
    <row r="3499" spans="1:3" x14ac:dyDescent="0.25">
      <c r="A3499" s="52">
        <f t="shared" si="54"/>
        <v>46958</v>
      </c>
      <c r="B3499" s="53">
        <v>3498</v>
      </c>
      <c r="C3499" s="53">
        <v>36086.9228</v>
      </c>
    </row>
    <row r="3500" spans="1:3" x14ac:dyDescent="0.25">
      <c r="A3500" s="52">
        <f t="shared" si="54"/>
        <v>46959</v>
      </c>
      <c r="B3500" s="53">
        <v>3499</v>
      </c>
      <c r="C3500" s="53">
        <v>36089.377899999999</v>
      </c>
    </row>
    <row r="3501" spans="1:3" x14ac:dyDescent="0.25">
      <c r="A3501" s="52">
        <f t="shared" si="54"/>
        <v>46960</v>
      </c>
      <c r="B3501" s="53">
        <v>3500</v>
      </c>
      <c r="C3501" s="53">
        <v>36091.833200000001</v>
      </c>
    </row>
    <row r="3502" spans="1:3" x14ac:dyDescent="0.25">
      <c r="A3502" s="52">
        <f t="shared" si="54"/>
        <v>46961</v>
      </c>
      <c r="B3502" s="53">
        <v>3501</v>
      </c>
      <c r="C3502" s="53">
        <v>36094.2886</v>
      </c>
    </row>
    <row r="3503" spans="1:3" x14ac:dyDescent="0.25">
      <c r="A3503" s="52">
        <f t="shared" si="54"/>
        <v>46962</v>
      </c>
      <c r="B3503" s="53">
        <v>3502</v>
      </c>
      <c r="C3503" s="53">
        <v>36096.744200000001</v>
      </c>
    </row>
    <row r="3504" spans="1:3" x14ac:dyDescent="0.25">
      <c r="A3504" s="52">
        <f t="shared" si="54"/>
        <v>46963</v>
      </c>
      <c r="B3504" s="53">
        <v>3503</v>
      </c>
      <c r="C3504" s="53">
        <v>36099.199999999997</v>
      </c>
    </row>
    <row r="3505" spans="1:3" x14ac:dyDescent="0.25">
      <c r="A3505" s="52">
        <f t="shared" si="54"/>
        <v>46964</v>
      </c>
      <c r="B3505" s="53">
        <v>3504</v>
      </c>
      <c r="C3505" s="53">
        <v>36101.655899999998</v>
      </c>
    </row>
    <row r="3506" spans="1:3" x14ac:dyDescent="0.25">
      <c r="A3506" s="52">
        <f t="shared" si="54"/>
        <v>46965</v>
      </c>
      <c r="B3506" s="53">
        <v>3505</v>
      </c>
      <c r="C3506" s="53">
        <v>36104.112000000001</v>
      </c>
    </row>
    <row r="3507" spans="1:3" x14ac:dyDescent="0.25">
      <c r="A3507" s="52">
        <f t="shared" si="54"/>
        <v>46966</v>
      </c>
      <c r="B3507" s="53">
        <v>3506</v>
      </c>
      <c r="C3507" s="53">
        <v>36106.568299999999</v>
      </c>
    </row>
    <row r="3508" spans="1:3" x14ac:dyDescent="0.25">
      <c r="A3508" s="52">
        <f t="shared" si="54"/>
        <v>46967</v>
      </c>
      <c r="B3508" s="53">
        <v>3507</v>
      </c>
      <c r="C3508" s="53">
        <v>36109.024700000002</v>
      </c>
    </row>
    <row r="3509" spans="1:3" x14ac:dyDescent="0.25">
      <c r="A3509" s="52">
        <f t="shared" si="54"/>
        <v>46968</v>
      </c>
      <c r="B3509" s="53">
        <v>3508</v>
      </c>
      <c r="C3509" s="53">
        <v>36111.481299999999</v>
      </c>
    </row>
    <row r="3510" spans="1:3" x14ac:dyDescent="0.25">
      <c r="A3510" s="52">
        <f t="shared" si="54"/>
        <v>46969</v>
      </c>
      <c r="B3510" s="53">
        <v>3509</v>
      </c>
      <c r="C3510" s="53">
        <v>36113.938099999999</v>
      </c>
    </row>
    <row r="3511" spans="1:3" x14ac:dyDescent="0.25">
      <c r="A3511" s="52">
        <f t="shared" si="54"/>
        <v>46970</v>
      </c>
      <c r="B3511" s="53">
        <v>3510</v>
      </c>
      <c r="C3511" s="53">
        <v>36116.394999999997</v>
      </c>
    </row>
    <row r="3512" spans="1:3" x14ac:dyDescent="0.25">
      <c r="A3512" s="52">
        <f t="shared" si="54"/>
        <v>46971</v>
      </c>
      <c r="B3512" s="53">
        <v>3511</v>
      </c>
      <c r="C3512" s="53">
        <v>36118.852099999996</v>
      </c>
    </row>
    <row r="3513" spans="1:3" x14ac:dyDescent="0.25">
      <c r="A3513" s="52">
        <f t="shared" si="54"/>
        <v>46972</v>
      </c>
      <c r="B3513" s="53">
        <v>3512</v>
      </c>
      <c r="C3513" s="53">
        <v>36121.309399999998</v>
      </c>
    </row>
    <row r="3514" spans="1:3" x14ac:dyDescent="0.25">
      <c r="A3514" s="52">
        <f t="shared" si="54"/>
        <v>46973</v>
      </c>
      <c r="B3514" s="53">
        <v>3513</v>
      </c>
      <c r="C3514" s="53">
        <v>36123.766799999998</v>
      </c>
    </row>
    <row r="3515" spans="1:3" x14ac:dyDescent="0.25">
      <c r="A3515" s="52">
        <f t="shared" si="54"/>
        <v>46974</v>
      </c>
      <c r="B3515" s="53">
        <v>3514</v>
      </c>
      <c r="C3515" s="53">
        <v>36126.224399999999</v>
      </c>
    </row>
    <row r="3516" spans="1:3" x14ac:dyDescent="0.25">
      <c r="A3516" s="52">
        <f t="shared" si="54"/>
        <v>46975</v>
      </c>
      <c r="B3516" s="53">
        <v>3515</v>
      </c>
      <c r="C3516" s="53">
        <v>36129.555399999997</v>
      </c>
    </row>
    <row r="3517" spans="1:3" x14ac:dyDescent="0.25">
      <c r="A3517" s="52">
        <f t="shared" si="54"/>
        <v>46976</v>
      </c>
      <c r="B3517" s="53">
        <v>3516</v>
      </c>
      <c r="C3517" s="53">
        <v>36132.886700000003</v>
      </c>
    </row>
    <row r="3518" spans="1:3" x14ac:dyDescent="0.25">
      <c r="A3518" s="52">
        <f t="shared" si="54"/>
        <v>46977</v>
      </c>
      <c r="B3518" s="53">
        <v>3517</v>
      </c>
      <c r="C3518" s="53">
        <v>36136.218399999998</v>
      </c>
    </row>
    <row r="3519" spans="1:3" x14ac:dyDescent="0.25">
      <c r="A3519" s="52">
        <f t="shared" si="54"/>
        <v>46978</v>
      </c>
      <c r="B3519" s="53">
        <v>3518</v>
      </c>
      <c r="C3519" s="53">
        <v>36139.550300000003</v>
      </c>
    </row>
    <row r="3520" spans="1:3" x14ac:dyDescent="0.25">
      <c r="A3520" s="52">
        <f t="shared" si="54"/>
        <v>46979</v>
      </c>
      <c r="B3520" s="53">
        <v>3519</v>
      </c>
      <c r="C3520" s="53">
        <v>36142.8825</v>
      </c>
    </row>
    <row r="3521" spans="1:3" x14ac:dyDescent="0.25">
      <c r="A3521" s="52">
        <f t="shared" si="54"/>
        <v>46980</v>
      </c>
      <c r="B3521" s="53">
        <v>3520</v>
      </c>
      <c r="C3521" s="53">
        <v>36146.214999999997</v>
      </c>
    </row>
    <row r="3522" spans="1:3" x14ac:dyDescent="0.25">
      <c r="A3522" s="52">
        <f t="shared" ref="A3522:A3585" si="55">+$G$4+B3522</f>
        <v>46981</v>
      </c>
      <c r="B3522" s="53">
        <v>3521</v>
      </c>
      <c r="C3522" s="53">
        <v>36149.547899999998</v>
      </c>
    </row>
    <row r="3523" spans="1:3" x14ac:dyDescent="0.25">
      <c r="A3523" s="52">
        <f t="shared" si="55"/>
        <v>46982</v>
      </c>
      <c r="B3523" s="53">
        <v>3522</v>
      </c>
      <c r="C3523" s="53">
        <v>36152.881000000001</v>
      </c>
    </row>
    <row r="3524" spans="1:3" x14ac:dyDescent="0.25">
      <c r="A3524" s="52">
        <f t="shared" si="55"/>
        <v>46983</v>
      </c>
      <c r="B3524" s="53">
        <v>3523</v>
      </c>
      <c r="C3524" s="53">
        <v>36156.214500000002</v>
      </c>
    </row>
    <row r="3525" spans="1:3" x14ac:dyDescent="0.25">
      <c r="A3525" s="52">
        <f t="shared" si="55"/>
        <v>46984</v>
      </c>
      <c r="B3525" s="53">
        <v>3524</v>
      </c>
      <c r="C3525" s="53">
        <v>36159.548199999997</v>
      </c>
    </row>
    <row r="3526" spans="1:3" x14ac:dyDescent="0.25">
      <c r="A3526" s="52">
        <f t="shared" si="55"/>
        <v>46985</v>
      </c>
      <c r="B3526" s="53">
        <v>3525</v>
      </c>
      <c r="C3526" s="53">
        <v>36162.882299999997</v>
      </c>
    </row>
    <row r="3527" spans="1:3" x14ac:dyDescent="0.25">
      <c r="A3527" s="52">
        <f t="shared" si="55"/>
        <v>46986</v>
      </c>
      <c r="B3527" s="53">
        <v>3526</v>
      </c>
      <c r="C3527" s="53">
        <v>36166.216699999997</v>
      </c>
    </row>
    <row r="3528" spans="1:3" x14ac:dyDescent="0.25">
      <c r="A3528" s="52">
        <f t="shared" si="55"/>
        <v>46987</v>
      </c>
      <c r="B3528" s="53">
        <v>3527</v>
      </c>
      <c r="C3528" s="53">
        <v>36169.551399999997</v>
      </c>
    </row>
    <row r="3529" spans="1:3" x14ac:dyDescent="0.25">
      <c r="A3529" s="52">
        <f t="shared" si="55"/>
        <v>46988</v>
      </c>
      <c r="B3529" s="53">
        <v>3528</v>
      </c>
      <c r="C3529" s="53">
        <v>36172.886400000003</v>
      </c>
    </row>
    <row r="3530" spans="1:3" x14ac:dyDescent="0.25">
      <c r="A3530" s="52">
        <f t="shared" si="55"/>
        <v>46989</v>
      </c>
      <c r="B3530" s="53">
        <v>3529</v>
      </c>
      <c r="C3530" s="53">
        <v>36176.221700000002</v>
      </c>
    </row>
    <row r="3531" spans="1:3" x14ac:dyDescent="0.25">
      <c r="A3531" s="52">
        <f t="shared" si="55"/>
        <v>46990</v>
      </c>
      <c r="B3531" s="53">
        <v>3530</v>
      </c>
      <c r="C3531" s="53">
        <v>36179.5573</v>
      </c>
    </row>
    <row r="3532" spans="1:3" x14ac:dyDescent="0.25">
      <c r="A3532" s="52">
        <f t="shared" si="55"/>
        <v>46991</v>
      </c>
      <c r="B3532" s="53">
        <v>3531</v>
      </c>
      <c r="C3532" s="53">
        <v>36182.893199999999</v>
      </c>
    </row>
    <row r="3533" spans="1:3" x14ac:dyDescent="0.25">
      <c r="A3533" s="52">
        <f t="shared" si="55"/>
        <v>46992</v>
      </c>
      <c r="B3533" s="53">
        <v>3532</v>
      </c>
      <c r="C3533" s="53">
        <v>36186.229399999997</v>
      </c>
    </row>
    <row r="3534" spans="1:3" x14ac:dyDescent="0.25">
      <c r="A3534" s="52">
        <f t="shared" si="55"/>
        <v>46993</v>
      </c>
      <c r="B3534" s="53">
        <v>3533</v>
      </c>
      <c r="C3534" s="53">
        <v>36189.565999999999</v>
      </c>
    </row>
    <row r="3535" spans="1:3" x14ac:dyDescent="0.25">
      <c r="A3535" s="52">
        <f t="shared" si="55"/>
        <v>46994</v>
      </c>
      <c r="B3535" s="53">
        <v>3534</v>
      </c>
      <c r="C3535" s="53">
        <v>36192.902800000003</v>
      </c>
    </row>
    <row r="3536" spans="1:3" x14ac:dyDescent="0.25">
      <c r="A3536" s="52">
        <f t="shared" si="55"/>
        <v>46995</v>
      </c>
      <c r="B3536" s="53">
        <v>3535</v>
      </c>
      <c r="C3536" s="53">
        <v>36196.2399</v>
      </c>
    </row>
    <row r="3537" spans="1:3" x14ac:dyDescent="0.25">
      <c r="A3537" s="52">
        <f t="shared" si="55"/>
        <v>46996</v>
      </c>
      <c r="B3537" s="53">
        <v>3536</v>
      </c>
      <c r="C3537" s="53">
        <v>36199.577400000002</v>
      </c>
    </row>
    <row r="3538" spans="1:3" x14ac:dyDescent="0.25">
      <c r="A3538" s="52">
        <f t="shared" si="55"/>
        <v>46997</v>
      </c>
      <c r="B3538" s="53">
        <v>3537</v>
      </c>
      <c r="C3538" s="53">
        <v>36202.915200000003</v>
      </c>
    </row>
    <row r="3539" spans="1:3" x14ac:dyDescent="0.25">
      <c r="A3539" s="52">
        <f t="shared" si="55"/>
        <v>46998</v>
      </c>
      <c r="B3539" s="53">
        <v>3538</v>
      </c>
      <c r="C3539" s="53">
        <v>36206.253199999999</v>
      </c>
    </row>
    <row r="3540" spans="1:3" x14ac:dyDescent="0.25">
      <c r="A3540" s="52">
        <f t="shared" si="55"/>
        <v>46999</v>
      </c>
      <c r="B3540" s="53">
        <v>3539</v>
      </c>
      <c r="C3540" s="53">
        <v>36209.5916</v>
      </c>
    </row>
    <row r="3541" spans="1:3" x14ac:dyDescent="0.25">
      <c r="A3541" s="52">
        <f t="shared" si="55"/>
        <v>47000</v>
      </c>
      <c r="B3541" s="53">
        <v>3540</v>
      </c>
      <c r="C3541" s="53">
        <v>36212.9303</v>
      </c>
    </row>
    <row r="3542" spans="1:3" x14ac:dyDescent="0.25">
      <c r="A3542" s="52">
        <f t="shared" si="55"/>
        <v>47001</v>
      </c>
      <c r="B3542" s="53">
        <v>3541</v>
      </c>
      <c r="C3542" s="53">
        <v>36216.2693</v>
      </c>
    </row>
    <row r="3543" spans="1:3" x14ac:dyDescent="0.25">
      <c r="A3543" s="52">
        <f t="shared" si="55"/>
        <v>47002</v>
      </c>
      <c r="B3543" s="53">
        <v>3542</v>
      </c>
      <c r="C3543" s="53">
        <v>36219.6086</v>
      </c>
    </row>
    <row r="3544" spans="1:3" x14ac:dyDescent="0.25">
      <c r="A3544" s="52">
        <f t="shared" si="55"/>
        <v>47003</v>
      </c>
      <c r="B3544" s="53">
        <v>3543</v>
      </c>
      <c r="C3544" s="53">
        <v>36222.948199999999</v>
      </c>
    </row>
    <row r="3545" spans="1:3" x14ac:dyDescent="0.25">
      <c r="A3545" s="52">
        <f t="shared" si="55"/>
        <v>47004</v>
      </c>
      <c r="B3545" s="53">
        <v>3544</v>
      </c>
      <c r="C3545" s="53">
        <v>36226.288099999998</v>
      </c>
    </row>
    <row r="3546" spans="1:3" x14ac:dyDescent="0.25">
      <c r="A3546" s="52">
        <f t="shared" si="55"/>
        <v>47005</v>
      </c>
      <c r="B3546" s="53">
        <v>3545</v>
      </c>
      <c r="C3546" s="53">
        <v>36229.628299999997</v>
      </c>
    </row>
    <row r="3547" spans="1:3" x14ac:dyDescent="0.25">
      <c r="A3547" s="52">
        <f t="shared" si="55"/>
        <v>47006</v>
      </c>
      <c r="B3547" s="53">
        <v>3546</v>
      </c>
      <c r="C3547" s="53">
        <v>36232.530200000001</v>
      </c>
    </row>
    <row r="3548" spans="1:3" x14ac:dyDescent="0.25">
      <c r="A3548" s="52">
        <f t="shared" si="55"/>
        <v>47007</v>
      </c>
      <c r="B3548" s="53">
        <v>3547</v>
      </c>
      <c r="C3548" s="53">
        <v>36235.4323</v>
      </c>
    </row>
    <row r="3549" spans="1:3" x14ac:dyDescent="0.25">
      <c r="A3549" s="52">
        <f t="shared" si="55"/>
        <v>47008</v>
      </c>
      <c r="B3549" s="53">
        <v>3548</v>
      </c>
      <c r="C3549" s="53">
        <v>36238.334600000002</v>
      </c>
    </row>
    <row r="3550" spans="1:3" x14ac:dyDescent="0.25">
      <c r="A3550" s="52">
        <f t="shared" si="55"/>
        <v>47009</v>
      </c>
      <c r="B3550" s="53">
        <v>3549</v>
      </c>
      <c r="C3550" s="53">
        <v>36241.237099999998</v>
      </c>
    </row>
    <row r="3551" spans="1:3" x14ac:dyDescent="0.25">
      <c r="A3551" s="52">
        <f t="shared" si="55"/>
        <v>47010</v>
      </c>
      <c r="B3551" s="53">
        <v>3550</v>
      </c>
      <c r="C3551" s="53">
        <v>36244.139900000002</v>
      </c>
    </row>
    <row r="3552" spans="1:3" x14ac:dyDescent="0.25">
      <c r="A3552" s="52">
        <f t="shared" si="55"/>
        <v>47011</v>
      </c>
      <c r="B3552" s="53">
        <v>3551</v>
      </c>
      <c r="C3552" s="53">
        <v>36247.0429</v>
      </c>
    </row>
    <row r="3553" spans="1:3" x14ac:dyDescent="0.25">
      <c r="A3553" s="52">
        <f t="shared" si="55"/>
        <v>47012</v>
      </c>
      <c r="B3553" s="53">
        <v>3552</v>
      </c>
      <c r="C3553" s="53">
        <v>36249.946100000001</v>
      </c>
    </row>
    <row r="3554" spans="1:3" x14ac:dyDescent="0.25">
      <c r="A3554" s="52">
        <f t="shared" si="55"/>
        <v>47013</v>
      </c>
      <c r="B3554" s="53">
        <v>3553</v>
      </c>
      <c r="C3554" s="53">
        <v>36252.849600000001</v>
      </c>
    </row>
    <row r="3555" spans="1:3" x14ac:dyDescent="0.25">
      <c r="A3555" s="52">
        <f t="shared" si="55"/>
        <v>47014</v>
      </c>
      <c r="B3555" s="53">
        <v>3554</v>
      </c>
      <c r="C3555" s="53">
        <v>36255.753299999997</v>
      </c>
    </row>
    <row r="3556" spans="1:3" x14ac:dyDescent="0.25">
      <c r="A3556" s="52">
        <f t="shared" si="55"/>
        <v>47015</v>
      </c>
      <c r="B3556" s="53">
        <v>3555</v>
      </c>
      <c r="C3556" s="53">
        <v>36258.657299999999</v>
      </c>
    </row>
    <row r="3557" spans="1:3" x14ac:dyDescent="0.25">
      <c r="A3557" s="52">
        <f t="shared" si="55"/>
        <v>47016</v>
      </c>
      <c r="B3557" s="53">
        <v>3556</v>
      </c>
      <c r="C3557" s="53">
        <v>36261.561399999999</v>
      </c>
    </row>
    <row r="3558" spans="1:3" x14ac:dyDescent="0.25">
      <c r="A3558" s="52">
        <f t="shared" si="55"/>
        <v>47017</v>
      </c>
      <c r="B3558" s="53">
        <v>3557</v>
      </c>
      <c r="C3558" s="53">
        <v>36264.465799999998</v>
      </c>
    </row>
    <row r="3559" spans="1:3" x14ac:dyDescent="0.25">
      <c r="A3559" s="52">
        <f t="shared" si="55"/>
        <v>47018</v>
      </c>
      <c r="B3559" s="53">
        <v>3558</v>
      </c>
      <c r="C3559" s="53">
        <v>36267.370499999997</v>
      </c>
    </row>
    <row r="3560" spans="1:3" x14ac:dyDescent="0.25">
      <c r="A3560" s="52">
        <f t="shared" si="55"/>
        <v>47019</v>
      </c>
      <c r="B3560" s="53">
        <v>3559</v>
      </c>
      <c r="C3560" s="53">
        <v>36270.275300000001</v>
      </c>
    </row>
    <row r="3561" spans="1:3" x14ac:dyDescent="0.25">
      <c r="A3561" s="52">
        <f t="shared" si="55"/>
        <v>47020</v>
      </c>
      <c r="B3561" s="53">
        <v>3560</v>
      </c>
      <c r="C3561" s="53">
        <v>36273.180399999997</v>
      </c>
    </row>
    <row r="3562" spans="1:3" x14ac:dyDescent="0.25">
      <c r="A3562" s="52">
        <f t="shared" si="55"/>
        <v>47021</v>
      </c>
      <c r="B3562" s="53">
        <v>3561</v>
      </c>
      <c r="C3562" s="53">
        <v>36276.085800000001</v>
      </c>
    </row>
    <row r="3563" spans="1:3" x14ac:dyDescent="0.25">
      <c r="A3563" s="52">
        <f t="shared" si="55"/>
        <v>47022</v>
      </c>
      <c r="B3563" s="53">
        <v>3562</v>
      </c>
      <c r="C3563" s="53">
        <v>36278.991300000002</v>
      </c>
    </row>
    <row r="3564" spans="1:3" x14ac:dyDescent="0.25">
      <c r="A3564" s="52">
        <f t="shared" si="55"/>
        <v>47023</v>
      </c>
      <c r="B3564" s="53">
        <v>3563</v>
      </c>
      <c r="C3564" s="53">
        <v>36281.897100000002</v>
      </c>
    </row>
    <row r="3565" spans="1:3" x14ac:dyDescent="0.25">
      <c r="A3565" s="52">
        <f t="shared" si="55"/>
        <v>47024</v>
      </c>
      <c r="B3565" s="53">
        <v>3564</v>
      </c>
      <c r="C3565" s="53">
        <v>36284.803200000002</v>
      </c>
    </row>
    <row r="3566" spans="1:3" x14ac:dyDescent="0.25">
      <c r="A3566" s="52">
        <f t="shared" si="55"/>
        <v>47025</v>
      </c>
      <c r="B3566" s="53">
        <v>3565</v>
      </c>
      <c r="C3566" s="53">
        <v>36287.7094</v>
      </c>
    </row>
    <row r="3567" spans="1:3" x14ac:dyDescent="0.25">
      <c r="A3567" s="52">
        <f t="shared" si="55"/>
        <v>47026</v>
      </c>
      <c r="B3567" s="53">
        <v>3566</v>
      </c>
      <c r="C3567" s="53">
        <v>36290.615899999997</v>
      </c>
    </row>
    <row r="3568" spans="1:3" x14ac:dyDescent="0.25">
      <c r="A3568" s="52">
        <f t="shared" si="55"/>
        <v>47027</v>
      </c>
      <c r="B3568" s="53">
        <v>3567</v>
      </c>
      <c r="C3568" s="53">
        <v>36293.522700000001</v>
      </c>
    </row>
    <row r="3569" spans="1:3" x14ac:dyDescent="0.25">
      <c r="A3569" s="52">
        <f t="shared" si="55"/>
        <v>47028</v>
      </c>
      <c r="B3569" s="53">
        <v>3568</v>
      </c>
      <c r="C3569" s="53">
        <v>36296.429600000003</v>
      </c>
    </row>
    <row r="3570" spans="1:3" x14ac:dyDescent="0.25">
      <c r="A3570" s="52">
        <f t="shared" si="55"/>
        <v>47029</v>
      </c>
      <c r="B3570" s="53">
        <v>3569</v>
      </c>
      <c r="C3570" s="53">
        <v>36299.336799999997</v>
      </c>
    </row>
    <row r="3571" spans="1:3" x14ac:dyDescent="0.25">
      <c r="A3571" s="52">
        <f t="shared" si="55"/>
        <v>47030</v>
      </c>
      <c r="B3571" s="53">
        <v>3570</v>
      </c>
      <c r="C3571" s="53">
        <v>36302.244200000001</v>
      </c>
    </row>
    <row r="3572" spans="1:3" x14ac:dyDescent="0.25">
      <c r="A3572" s="52">
        <f t="shared" si="55"/>
        <v>47031</v>
      </c>
      <c r="B3572" s="53">
        <v>3571</v>
      </c>
      <c r="C3572" s="53">
        <v>36305.151899999997</v>
      </c>
    </row>
    <row r="3573" spans="1:3" x14ac:dyDescent="0.25">
      <c r="A3573" s="52">
        <f t="shared" si="55"/>
        <v>47032</v>
      </c>
      <c r="B3573" s="53">
        <v>3572</v>
      </c>
      <c r="C3573" s="53">
        <v>36308.059800000003</v>
      </c>
    </row>
    <row r="3574" spans="1:3" x14ac:dyDescent="0.25">
      <c r="A3574" s="52">
        <f t="shared" si="55"/>
        <v>47033</v>
      </c>
      <c r="B3574" s="53">
        <v>3573</v>
      </c>
      <c r="C3574" s="53">
        <v>36310.967900000003</v>
      </c>
    </row>
    <row r="3575" spans="1:3" x14ac:dyDescent="0.25">
      <c r="A3575" s="52">
        <f t="shared" si="55"/>
        <v>47034</v>
      </c>
      <c r="B3575" s="53">
        <v>3574</v>
      </c>
      <c r="C3575" s="53">
        <v>36313.876300000004</v>
      </c>
    </row>
    <row r="3576" spans="1:3" x14ac:dyDescent="0.25">
      <c r="A3576" s="52">
        <f t="shared" si="55"/>
        <v>47035</v>
      </c>
      <c r="B3576" s="53">
        <v>3575</v>
      </c>
      <c r="C3576" s="53">
        <v>36316.784899999999</v>
      </c>
    </row>
    <row r="3577" spans="1:3" x14ac:dyDescent="0.25">
      <c r="A3577" s="52">
        <f t="shared" si="55"/>
        <v>47036</v>
      </c>
      <c r="B3577" s="53">
        <v>3576</v>
      </c>
      <c r="C3577" s="53">
        <v>36321.046000000002</v>
      </c>
    </row>
    <row r="3578" spans="1:3" x14ac:dyDescent="0.25">
      <c r="A3578" s="52">
        <f t="shared" si="55"/>
        <v>47037</v>
      </c>
      <c r="B3578" s="53">
        <v>3577</v>
      </c>
      <c r="C3578" s="53">
        <v>36325.3076</v>
      </c>
    </row>
    <row r="3579" spans="1:3" x14ac:dyDescent="0.25">
      <c r="A3579" s="52">
        <f t="shared" si="55"/>
        <v>47038</v>
      </c>
      <c r="B3579" s="53">
        <v>3578</v>
      </c>
      <c r="C3579" s="53">
        <v>36329.5697</v>
      </c>
    </row>
    <row r="3580" spans="1:3" x14ac:dyDescent="0.25">
      <c r="A3580" s="52">
        <f t="shared" si="55"/>
        <v>47039</v>
      </c>
      <c r="B3580" s="53">
        <v>3579</v>
      </c>
      <c r="C3580" s="53">
        <v>36333.832300000002</v>
      </c>
    </row>
    <row r="3581" spans="1:3" x14ac:dyDescent="0.25">
      <c r="A3581" s="52">
        <f t="shared" si="55"/>
        <v>47040</v>
      </c>
      <c r="B3581" s="53">
        <v>3580</v>
      </c>
      <c r="C3581" s="53">
        <v>36338.095500000003</v>
      </c>
    </row>
    <row r="3582" spans="1:3" x14ac:dyDescent="0.25">
      <c r="A3582" s="52">
        <f t="shared" si="55"/>
        <v>47041</v>
      </c>
      <c r="B3582" s="53">
        <v>3581</v>
      </c>
      <c r="C3582" s="53">
        <v>36342.359100000001</v>
      </c>
    </row>
    <row r="3583" spans="1:3" x14ac:dyDescent="0.25">
      <c r="A3583" s="52">
        <f t="shared" si="55"/>
        <v>47042</v>
      </c>
      <c r="B3583" s="53">
        <v>3582</v>
      </c>
      <c r="C3583" s="53">
        <v>36346.623200000002</v>
      </c>
    </row>
    <row r="3584" spans="1:3" x14ac:dyDescent="0.25">
      <c r="A3584" s="52">
        <f t="shared" si="55"/>
        <v>47043</v>
      </c>
      <c r="B3584" s="53">
        <v>3583</v>
      </c>
      <c r="C3584" s="53">
        <v>36350.887799999997</v>
      </c>
    </row>
    <row r="3585" spans="1:3" x14ac:dyDescent="0.25">
      <c r="A3585" s="52">
        <f t="shared" si="55"/>
        <v>47044</v>
      </c>
      <c r="B3585" s="53">
        <v>3584</v>
      </c>
      <c r="C3585" s="53">
        <v>36355.152900000001</v>
      </c>
    </row>
    <row r="3586" spans="1:3" x14ac:dyDescent="0.25">
      <c r="A3586" s="52">
        <f t="shared" ref="A3586:A3649" si="56">+$G$4+B3586</f>
        <v>47045</v>
      </c>
      <c r="B3586" s="53">
        <v>3585</v>
      </c>
      <c r="C3586" s="53">
        <v>36359.4185</v>
      </c>
    </row>
    <row r="3587" spans="1:3" x14ac:dyDescent="0.25">
      <c r="A3587" s="52">
        <f t="shared" si="56"/>
        <v>47046</v>
      </c>
      <c r="B3587" s="53">
        <v>3586</v>
      </c>
      <c r="C3587" s="53">
        <v>36363.684600000001</v>
      </c>
    </row>
    <row r="3588" spans="1:3" x14ac:dyDescent="0.25">
      <c r="A3588" s="52">
        <f t="shared" si="56"/>
        <v>47047</v>
      </c>
      <c r="B3588" s="53">
        <v>3587</v>
      </c>
      <c r="C3588" s="53">
        <v>36367.951300000001</v>
      </c>
    </row>
    <row r="3589" spans="1:3" x14ac:dyDescent="0.25">
      <c r="A3589" s="52">
        <f t="shared" si="56"/>
        <v>47048</v>
      </c>
      <c r="B3589" s="53">
        <v>3588</v>
      </c>
      <c r="C3589" s="53">
        <v>36372.218399999998</v>
      </c>
    </row>
    <row r="3590" spans="1:3" x14ac:dyDescent="0.25">
      <c r="A3590" s="52">
        <f t="shared" si="56"/>
        <v>47049</v>
      </c>
      <c r="B3590" s="53">
        <v>3589</v>
      </c>
      <c r="C3590" s="53">
        <v>36376.485999999997</v>
      </c>
    </row>
    <row r="3591" spans="1:3" x14ac:dyDescent="0.25">
      <c r="A3591" s="52">
        <f t="shared" si="56"/>
        <v>47050</v>
      </c>
      <c r="B3591" s="53">
        <v>3590</v>
      </c>
      <c r="C3591" s="53">
        <v>36380.754099999998</v>
      </c>
    </row>
    <row r="3592" spans="1:3" x14ac:dyDescent="0.25">
      <c r="A3592" s="52">
        <f t="shared" si="56"/>
        <v>47051</v>
      </c>
      <c r="B3592" s="53">
        <v>3591</v>
      </c>
      <c r="C3592" s="53">
        <v>36385.022700000001</v>
      </c>
    </row>
    <row r="3593" spans="1:3" x14ac:dyDescent="0.25">
      <c r="A3593" s="52">
        <f t="shared" si="56"/>
        <v>47052</v>
      </c>
      <c r="B3593" s="53">
        <v>3592</v>
      </c>
      <c r="C3593" s="53">
        <v>36389.291899999997</v>
      </c>
    </row>
    <row r="3594" spans="1:3" x14ac:dyDescent="0.25">
      <c r="A3594" s="52">
        <f t="shared" si="56"/>
        <v>47053</v>
      </c>
      <c r="B3594" s="53">
        <v>3593</v>
      </c>
      <c r="C3594" s="53">
        <v>36393.561500000003</v>
      </c>
    </row>
    <row r="3595" spans="1:3" x14ac:dyDescent="0.25">
      <c r="A3595" s="52">
        <f t="shared" si="56"/>
        <v>47054</v>
      </c>
      <c r="B3595" s="53">
        <v>3594</v>
      </c>
      <c r="C3595" s="53">
        <v>36397.831599999998</v>
      </c>
    </row>
    <row r="3596" spans="1:3" x14ac:dyDescent="0.25">
      <c r="A3596" s="52">
        <f t="shared" si="56"/>
        <v>47055</v>
      </c>
      <c r="B3596" s="53">
        <v>3595</v>
      </c>
      <c r="C3596" s="53">
        <v>36402.102200000001</v>
      </c>
    </row>
    <row r="3597" spans="1:3" x14ac:dyDescent="0.25">
      <c r="A3597" s="52">
        <f t="shared" si="56"/>
        <v>47056</v>
      </c>
      <c r="B3597" s="53">
        <v>3596</v>
      </c>
      <c r="C3597" s="53">
        <v>36406.373299999999</v>
      </c>
    </row>
    <row r="3598" spans="1:3" x14ac:dyDescent="0.25">
      <c r="A3598" s="52">
        <f t="shared" si="56"/>
        <v>47057</v>
      </c>
      <c r="B3598" s="53">
        <v>3597</v>
      </c>
      <c r="C3598" s="53">
        <v>36410.644999999997</v>
      </c>
    </row>
    <row r="3599" spans="1:3" x14ac:dyDescent="0.25">
      <c r="A3599" s="52">
        <f t="shared" si="56"/>
        <v>47058</v>
      </c>
      <c r="B3599" s="53">
        <v>3598</v>
      </c>
      <c r="C3599" s="53">
        <v>36414.917099999999</v>
      </c>
    </row>
    <row r="3600" spans="1:3" x14ac:dyDescent="0.25">
      <c r="A3600" s="52">
        <f t="shared" si="56"/>
        <v>47059</v>
      </c>
      <c r="B3600" s="53">
        <v>3599</v>
      </c>
      <c r="C3600" s="53">
        <v>36419.189700000003</v>
      </c>
    </row>
    <row r="3601" spans="1:3" x14ac:dyDescent="0.25">
      <c r="A3601" s="52">
        <f t="shared" si="56"/>
        <v>47060</v>
      </c>
      <c r="B3601" s="53">
        <v>3600</v>
      </c>
      <c r="C3601" s="53">
        <v>36423.462899999999</v>
      </c>
    </row>
    <row r="3602" spans="1:3" x14ac:dyDescent="0.25">
      <c r="A3602" s="52">
        <f t="shared" si="56"/>
        <v>47061</v>
      </c>
      <c r="B3602" s="53">
        <v>3601</v>
      </c>
      <c r="C3602" s="53">
        <v>36427.736499999999</v>
      </c>
    </row>
    <row r="3603" spans="1:3" x14ac:dyDescent="0.25">
      <c r="A3603" s="52">
        <f t="shared" si="56"/>
        <v>47062</v>
      </c>
      <c r="B3603" s="53">
        <v>3602</v>
      </c>
      <c r="C3603" s="53">
        <v>36432.010600000001</v>
      </c>
    </row>
    <row r="3604" spans="1:3" x14ac:dyDescent="0.25">
      <c r="A3604" s="52">
        <f t="shared" si="56"/>
        <v>47063</v>
      </c>
      <c r="B3604" s="53">
        <v>3603</v>
      </c>
      <c r="C3604" s="53">
        <v>36436.285300000003</v>
      </c>
    </row>
    <row r="3605" spans="1:3" x14ac:dyDescent="0.25">
      <c r="A3605" s="52">
        <f t="shared" si="56"/>
        <v>47064</v>
      </c>
      <c r="B3605" s="53">
        <v>3604</v>
      </c>
      <c r="C3605" s="53">
        <v>36440.560400000002</v>
      </c>
    </row>
    <row r="3606" spans="1:3" x14ac:dyDescent="0.25">
      <c r="A3606" s="52">
        <f t="shared" si="56"/>
        <v>47065</v>
      </c>
      <c r="B3606" s="53">
        <v>3605</v>
      </c>
      <c r="C3606" s="53">
        <v>36444.836000000003</v>
      </c>
    </row>
    <row r="3607" spans="1:3" x14ac:dyDescent="0.25">
      <c r="A3607" s="52">
        <f t="shared" si="56"/>
        <v>47066</v>
      </c>
      <c r="B3607" s="53">
        <v>3606</v>
      </c>
      <c r="C3607" s="53">
        <v>36449.112200000003</v>
      </c>
    </row>
    <row r="3608" spans="1:3" x14ac:dyDescent="0.25">
      <c r="A3608" s="52">
        <f t="shared" si="56"/>
        <v>47067</v>
      </c>
      <c r="B3608" s="53">
        <v>3607</v>
      </c>
      <c r="C3608" s="53">
        <v>36453.497199999998</v>
      </c>
    </row>
    <row r="3609" spans="1:3" x14ac:dyDescent="0.25">
      <c r="A3609" s="52">
        <f t="shared" si="56"/>
        <v>47068</v>
      </c>
      <c r="B3609" s="53">
        <v>3608</v>
      </c>
      <c r="C3609" s="53">
        <v>36457.882799999999</v>
      </c>
    </row>
    <row r="3610" spans="1:3" x14ac:dyDescent="0.25">
      <c r="A3610" s="52">
        <f t="shared" si="56"/>
        <v>47069</v>
      </c>
      <c r="B3610" s="53">
        <v>3609</v>
      </c>
      <c r="C3610" s="53">
        <v>36462.268900000003</v>
      </c>
    </row>
    <row r="3611" spans="1:3" x14ac:dyDescent="0.25">
      <c r="A3611" s="52">
        <f t="shared" si="56"/>
        <v>47070</v>
      </c>
      <c r="B3611" s="53">
        <v>3610</v>
      </c>
      <c r="C3611" s="53">
        <v>36466.655599999998</v>
      </c>
    </row>
    <row r="3612" spans="1:3" x14ac:dyDescent="0.25">
      <c r="A3612" s="52">
        <f t="shared" si="56"/>
        <v>47071</v>
      </c>
      <c r="B3612" s="53">
        <v>3611</v>
      </c>
      <c r="C3612" s="53">
        <v>36471.042699999998</v>
      </c>
    </row>
    <row r="3613" spans="1:3" x14ac:dyDescent="0.25">
      <c r="A3613" s="52">
        <f t="shared" si="56"/>
        <v>47072</v>
      </c>
      <c r="B3613" s="53">
        <v>3612</v>
      </c>
      <c r="C3613" s="53">
        <v>36475.430399999997</v>
      </c>
    </row>
    <row r="3614" spans="1:3" x14ac:dyDescent="0.25">
      <c r="A3614" s="52">
        <f t="shared" si="56"/>
        <v>47073</v>
      </c>
      <c r="B3614" s="53">
        <v>3613</v>
      </c>
      <c r="C3614" s="53">
        <v>36479.818700000003</v>
      </c>
    </row>
    <row r="3615" spans="1:3" x14ac:dyDescent="0.25">
      <c r="A3615" s="52">
        <f t="shared" si="56"/>
        <v>47074</v>
      </c>
      <c r="B3615" s="53">
        <v>3614</v>
      </c>
      <c r="C3615" s="53">
        <v>36484.207399999999</v>
      </c>
    </row>
    <row r="3616" spans="1:3" x14ac:dyDescent="0.25">
      <c r="A3616" s="52">
        <f t="shared" si="56"/>
        <v>47075</v>
      </c>
      <c r="B3616" s="53">
        <v>3615</v>
      </c>
      <c r="C3616" s="53">
        <v>36488.596700000002</v>
      </c>
    </row>
    <row r="3617" spans="1:3" x14ac:dyDescent="0.25">
      <c r="A3617" s="52">
        <f t="shared" si="56"/>
        <v>47076</v>
      </c>
      <c r="B3617" s="53">
        <v>3616</v>
      </c>
      <c r="C3617" s="53">
        <v>36492.986499999999</v>
      </c>
    </row>
    <row r="3618" spans="1:3" x14ac:dyDescent="0.25">
      <c r="A3618" s="52">
        <f t="shared" si="56"/>
        <v>47077</v>
      </c>
      <c r="B3618" s="53">
        <v>3617</v>
      </c>
      <c r="C3618" s="53">
        <v>36497.376799999998</v>
      </c>
    </row>
    <row r="3619" spans="1:3" x14ac:dyDescent="0.25">
      <c r="A3619" s="52">
        <f t="shared" si="56"/>
        <v>47078</v>
      </c>
      <c r="B3619" s="53">
        <v>3618</v>
      </c>
      <c r="C3619" s="53">
        <v>36501.767699999997</v>
      </c>
    </row>
    <row r="3620" spans="1:3" x14ac:dyDescent="0.25">
      <c r="A3620" s="52">
        <f t="shared" si="56"/>
        <v>47079</v>
      </c>
      <c r="B3620" s="53">
        <v>3619</v>
      </c>
      <c r="C3620" s="53">
        <v>36506.159099999997</v>
      </c>
    </row>
    <row r="3621" spans="1:3" x14ac:dyDescent="0.25">
      <c r="A3621" s="52">
        <f t="shared" si="56"/>
        <v>47080</v>
      </c>
      <c r="B3621" s="53">
        <v>3620</v>
      </c>
      <c r="C3621" s="53">
        <v>36510.550999999999</v>
      </c>
    </row>
    <row r="3622" spans="1:3" x14ac:dyDescent="0.25">
      <c r="A3622" s="52">
        <f t="shared" si="56"/>
        <v>47081</v>
      </c>
      <c r="B3622" s="53">
        <v>3621</v>
      </c>
      <c r="C3622" s="53">
        <v>36514.943500000001</v>
      </c>
    </row>
    <row r="3623" spans="1:3" x14ac:dyDescent="0.25">
      <c r="A3623" s="52">
        <f t="shared" si="56"/>
        <v>47082</v>
      </c>
      <c r="B3623" s="53">
        <v>3622</v>
      </c>
      <c r="C3623" s="53">
        <v>36519.3364</v>
      </c>
    </row>
    <row r="3624" spans="1:3" x14ac:dyDescent="0.25">
      <c r="A3624" s="52">
        <f t="shared" si="56"/>
        <v>47083</v>
      </c>
      <c r="B3624" s="53">
        <v>3623</v>
      </c>
      <c r="C3624" s="53">
        <v>36523.729899999998</v>
      </c>
    </row>
    <row r="3625" spans="1:3" x14ac:dyDescent="0.25">
      <c r="A3625" s="52">
        <f t="shared" si="56"/>
        <v>47084</v>
      </c>
      <c r="B3625" s="53">
        <v>3624</v>
      </c>
      <c r="C3625" s="53">
        <v>36528.124000000003</v>
      </c>
    </row>
    <row r="3626" spans="1:3" x14ac:dyDescent="0.25">
      <c r="A3626" s="52">
        <f t="shared" si="56"/>
        <v>47085</v>
      </c>
      <c r="B3626" s="53">
        <v>3625</v>
      </c>
      <c r="C3626" s="53">
        <v>36532.518499999998</v>
      </c>
    </row>
    <row r="3627" spans="1:3" x14ac:dyDescent="0.25">
      <c r="A3627" s="52">
        <f t="shared" si="56"/>
        <v>47086</v>
      </c>
      <c r="B3627" s="53">
        <v>3626</v>
      </c>
      <c r="C3627" s="53">
        <v>36536.9136</v>
      </c>
    </row>
    <row r="3628" spans="1:3" x14ac:dyDescent="0.25">
      <c r="A3628" s="52">
        <f t="shared" si="56"/>
        <v>47087</v>
      </c>
      <c r="B3628" s="53">
        <v>3627</v>
      </c>
      <c r="C3628" s="53">
        <v>36541.309300000001</v>
      </c>
    </row>
    <row r="3629" spans="1:3" x14ac:dyDescent="0.25">
      <c r="A3629" s="52">
        <f t="shared" si="56"/>
        <v>47088</v>
      </c>
      <c r="B3629" s="53">
        <v>3628</v>
      </c>
      <c r="C3629" s="53">
        <v>36545.705399999999</v>
      </c>
    </row>
    <row r="3630" spans="1:3" x14ac:dyDescent="0.25">
      <c r="A3630" s="52">
        <f t="shared" si="56"/>
        <v>47089</v>
      </c>
      <c r="B3630" s="53">
        <v>3629</v>
      </c>
      <c r="C3630" s="53">
        <v>36550.102099999996</v>
      </c>
    </row>
    <row r="3631" spans="1:3" x14ac:dyDescent="0.25">
      <c r="A3631" s="52">
        <f t="shared" si="56"/>
        <v>47090</v>
      </c>
      <c r="B3631" s="53">
        <v>3630</v>
      </c>
      <c r="C3631" s="53">
        <v>36554.499300000003</v>
      </c>
    </row>
    <row r="3632" spans="1:3" x14ac:dyDescent="0.25">
      <c r="A3632" s="52">
        <f t="shared" si="56"/>
        <v>47091</v>
      </c>
      <c r="B3632" s="53">
        <v>3631</v>
      </c>
      <c r="C3632" s="53">
        <v>36558.896999999997</v>
      </c>
    </row>
    <row r="3633" spans="1:3" x14ac:dyDescent="0.25">
      <c r="A3633" s="52">
        <f t="shared" si="56"/>
        <v>47092</v>
      </c>
      <c r="B3633" s="53">
        <v>3632</v>
      </c>
      <c r="C3633" s="53">
        <v>36563.295299999998</v>
      </c>
    </row>
    <row r="3634" spans="1:3" x14ac:dyDescent="0.25">
      <c r="A3634" s="52">
        <f t="shared" si="56"/>
        <v>47093</v>
      </c>
      <c r="B3634" s="53">
        <v>3633</v>
      </c>
      <c r="C3634" s="53">
        <v>36567.694100000001</v>
      </c>
    </row>
    <row r="3635" spans="1:3" x14ac:dyDescent="0.25">
      <c r="A3635" s="52">
        <f t="shared" si="56"/>
        <v>47094</v>
      </c>
      <c r="B3635" s="53">
        <v>3634</v>
      </c>
      <c r="C3635" s="53">
        <v>36572.093399999998</v>
      </c>
    </row>
    <row r="3636" spans="1:3" x14ac:dyDescent="0.25">
      <c r="A3636" s="52">
        <f t="shared" si="56"/>
        <v>47095</v>
      </c>
      <c r="B3636" s="53">
        <v>3635</v>
      </c>
      <c r="C3636" s="53">
        <v>36576.493300000002</v>
      </c>
    </row>
    <row r="3637" spans="1:3" x14ac:dyDescent="0.25">
      <c r="A3637" s="52">
        <f t="shared" si="56"/>
        <v>47096</v>
      </c>
      <c r="B3637" s="53">
        <v>3636</v>
      </c>
      <c r="C3637" s="53">
        <v>36580.893700000001</v>
      </c>
    </row>
    <row r="3638" spans="1:3" x14ac:dyDescent="0.25">
      <c r="A3638" s="52">
        <f t="shared" si="56"/>
        <v>47097</v>
      </c>
      <c r="B3638" s="53">
        <v>3637</v>
      </c>
      <c r="C3638" s="53">
        <v>36581.893499999998</v>
      </c>
    </row>
    <row r="3639" spans="1:3" x14ac:dyDescent="0.25">
      <c r="A3639" s="52">
        <f t="shared" si="56"/>
        <v>47098</v>
      </c>
      <c r="B3639" s="53">
        <v>3638</v>
      </c>
      <c r="C3639" s="53">
        <v>36582.893400000001</v>
      </c>
    </row>
    <row r="3640" spans="1:3" x14ac:dyDescent="0.25">
      <c r="A3640" s="52">
        <f t="shared" si="56"/>
        <v>47099</v>
      </c>
      <c r="B3640" s="53">
        <v>3639</v>
      </c>
      <c r="C3640" s="53">
        <v>36583.893300000003</v>
      </c>
    </row>
    <row r="3641" spans="1:3" x14ac:dyDescent="0.25">
      <c r="A3641" s="52">
        <f t="shared" si="56"/>
        <v>47100</v>
      </c>
      <c r="B3641" s="53">
        <v>3640</v>
      </c>
      <c r="C3641" s="53">
        <v>36584.893300000003</v>
      </c>
    </row>
    <row r="3642" spans="1:3" x14ac:dyDescent="0.25">
      <c r="A3642" s="52">
        <f t="shared" si="56"/>
        <v>47101</v>
      </c>
      <c r="B3642" s="53">
        <v>3641</v>
      </c>
      <c r="C3642" s="53">
        <v>36585.893199999999</v>
      </c>
    </row>
    <row r="3643" spans="1:3" x14ac:dyDescent="0.25">
      <c r="A3643" s="52">
        <f t="shared" si="56"/>
        <v>47102</v>
      </c>
      <c r="B3643" s="53">
        <v>3642</v>
      </c>
      <c r="C3643" s="53">
        <v>36586.893199999999</v>
      </c>
    </row>
    <row r="3644" spans="1:3" x14ac:dyDescent="0.25">
      <c r="A3644" s="52">
        <f t="shared" si="56"/>
        <v>47103</v>
      </c>
      <c r="B3644" s="53">
        <v>3643</v>
      </c>
      <c r="C3644" s="53">
        <v>36587.893199999999</v>
      </c>
    </row>
    <row r="3645" spans="1:3" x14ac:dyDescent="0.25">
      <c r="A3645" s="52">
        <f t="shared" si="56"/>
        <v>47104</v>
      </c>
      <c r="B3645" s="53">
        <v>3644</v>
      </c>
      <c r="C3645" s="53">
        <v>36588.893300000003</v>
      </c>
    </row>
    <row r="3646" spans="1:3" x14ac:dyDescent="0.25">
      <c r="A3646" s="52">
        <f t="shared" si="56"/>
        <v>47105</v>
      </c>
      <c r="B3646" s="53">
        <v>3645</v>
      </c>
      <c r="C3646" s="53">
        <v>36589.893400000001</v>
      </c>
    </row>
    <row r="3647" spans="1:3" x14ac:dyDescent="0.25">
      <c r="A3647" s="52">
        <f t="shared" si="56"/>
        <v>47106</v>
      </c>
      <c r="B3647" s="53">
        <v>3646</v>
      </c>
      <c r="C3647" s="53">
        <v>36590.893499999998</v>
      </c>
    </row>
    <row r="3648" spans="1:3" x14ac:dyDescent="0.25">
      <c r="A3648" s="52">
        <f t="shared" si="56"/>
        <v>47107</v>
      </c>
      <c r="B3648" s="53">
        <v>3647</v>
      </c>
      <c r="C3648" s="53">
        <v>36591.893600000003</v>
      </c>
    </row>
    <row r="3649" spans="1:3" x14ac:dyDescent="0.25">
      <c r="A3649" s="52">
        <f t="shared" si="56"/>
        <v>47108</v>
      </c>
      <c r="B3649" s="53">
        <v>3648</v>
      </c>
      <c r="C3649" s="53">
        <v>36592.893700000001</v>
      </c>
    </row>
    <row r="3650" spans="1:3" x14ac:dyDescent="0.25">
      <c r="A3650" s="52">
        <f t="shared" ref="A3650:A3701" si="57">+$G$4+B3650</f>
        <v>47109</v>
      </c>
      <c r="B3650" s="53">
        <v>3649</v>
      </c>
      <c r="C3650" s="53">
        <v>36593.893900000003</v>
      </c>
    </row>
    <row r="3651" spans="1:3" x14ac:dyDescent="0.25">
      <c r="A3651" s="52">
        <f t="shared" si="57"/>
        <v>47110</v>
      </c>
      <c r="B3651" s="53">
        <v>3650</v>
      </c>
      <c r="C3651" s="53">
        <v>36594.894099999998</v>
      </c>
    </row>
    <row r="3652" spans="1:3" x14ac:dyDescent="0.25">
      <c r="A3652" s="52">
        <f t="shared" si="57"/>
        <v>47111</v>
      </c>
      <c r="B3652" s="53">
        <v>3651</v>
      </c>
      <c r="C3652" s="53">
        <v>36595.894399999997</v>
      </c>
    </row>
    <row r="3653" spans="1:3" x14ac:dyDescent="0.25">
      <c r="A3653" s="52">
        <f t="shared" si="57"/>
        <v>47112</v>
      </c>
      <c r="B3653" s="53">
        <v>3652</v>
      </c>
      <c r="C3653" s="53">
        <v>36596.894699999997</v>
      </c>
    </row>
    <row r="3654" spans="1:3" x14ac:dyDescent="0.25">
      <c r="A3654" s="52">
        <f t="shared" si="57"/>
        <v>47113</v>
      </c>
      <c r="B3654" s="53">
        <v>3653</v>
      </c>
      <c r="C3654" s="53">
        <v>36597.894899999999</v>
      </c>
    </row>
    <row r="3655" spans="1:3" x14ac:dyDescent="0.25">
      <c r="A3655" s="52">
        <f t="shared" si="57"/>
        <v>47114</v>
      </c>
      <c r="B3655" s="53">
        <v>3654</v>
      </c>
      <c r="C3655" s="53">
        <v>36598.895299999996</v>
      </c>
    </row>
    <row r="3656" spans="1:3" x14ac:dyDescent="0.25">
      <c r="A3656" s="52">
        <f t="shared" si="57"/>
        <v>47115</v>
      </c>
      <c r="B3656" s="53">
        <v>3655</v>
      </c>
      <c r="C3656" s="53">
        <v>36599.895600000003</v>
      </c>
    </row>
    <row r="3657" spans="1:3" x14ac:dyDescent="0.25">
      <c r="A3657" s="52">
        <f t="shared" si="57"/>
        <v>47116</v>
      </c>
      <c r="B3657" s="53">
        <v>3656</v>
      </c>
      <c r="C3657" s="53">
        <v>36600.896000000001</v>
      </c>
    </row>
    <row r="3658" spans="1:3" x14ac:dyDescent="0.25">
      <c r="A3658" s="52">
        <f t="shared" si="57"/>
        <v>47117</v>
      </c>
      <c r="B3658" s="53">
        <v>3657</v>
      </c>
      <c r="C3658" s="53">
        <v>36601.896399999998</v>
      </c>
    </row>
    <row r="3659" spans="1:3" x14ac:dyDescent="0.25">
      <c r="A3659" s="52">
        <f t="shared" si="57"/>
        <v>47118</v>
      </c>
      <c r="B3659" s="53">
        <v>3658</v>
      </c>
      <c r="C3659" s="53">
        <v>36602.896800000002</v>
      </c>
    </row>
    <row r="3660" spans="1:3" x14ac:dyDescent="0.25">
      <c r="A3660" s="52">
        <f t="shared" si="57"/>
        <v>47119</v>
      </c>
      <c r="B3660" s="53">
        <v>3659</v>
      </c>
      <c r="C3660" s="53">
        <v>36603.897299999997</v>
      </c>
    </row>
    <row r="3661" spans="1:3" x14ac:dyDescent="0.25">
      <c r="A3661" s="52">
        <f t="shared" si="57"/>
        <v>47120</v>
      </c>
      <c r="B3661" s="53">
        <v>3660</v>
      </c>
      <c r="C3661" s="53">
        <v>36604.897799999999</v>
      </c>
    </row>
    <row r="3662" spans="1:3" x14ac:dyDescent="0.25">
      <c r="A3662" s="52">
        <f t="shared" si="57"/>
        <v>47121</v>
      </c>
      <c r="B3662" s="53">
        <v>3661</v>
      </c>
      <c r="C3662" s="53">
        <v>36605.898300000001</v>
      </c>
    </row>
    <row r="3663" spans="1:3" x14ac:dyDescent="0.25">
      <c r="A3663" s="52">
        <f t="shared" si="57"/>
        <v>47122</v>
      </c>
      <c r="B3663" s="53">
        <v>3662</v>
      </c>
      <c r="C3663" s="53">
        <v>36606.898800000003</v>
      </c>
    </row>
    <row r="3664" spans="1:3" x14ac:dyDescent="0.25">
      <c r="A3664" s="52">
        <f t="shared" si="57"/>
        <v>47123</v>
      </c>
      <c r="B3664" s="53">
        <v>3663</v>
      </c>
      <c r="C3664" s="53">
        <v>36607.899400000002</v>
      </c>
    </row>
    <row r="3665" spans="1:3" x14ac:dyDescent="0.25">
      <c r="A3665" s="52">
        <f t="shared" si="57"/>
        <v>47124</v>
      </c>
      <c r="B3665" s="53">
        <v>3664</v>
      </c>
      <c r="C3665" s="53">
        <v>36608.9</v>
      </c>
    </row>
    <row r="3666" spans="1:3" x14ac:dyDescent="0.25">
      <c r="A3666" s="52">
        <f t="shared" si="57"/>
        <v>47125</v>
      </c>
      <c r="B3666" s="53">
        <v>3665</v>
      </c>
      <c r="C3666" s="53">
        <v>36609.900600000001</v>
      </c>
    </row>
    <row r="3667" spans="1:3" x14ac:dyDescent="0.25">
      <c r="A3667" s="52">
        <f t="shared" si="57"/>
        <v>47126</v>
      </c>
      <c r="B3667" s="53">
        <v>3666</v>
      </c>
      <c r="C3667" s="53">
        <v>36610.901299999998</v>
      </c>
    </row>
    <row r="3668" spans="1:3" x14ac:dyDescent="0.25">
      <c r="A3668" s="52">
        <f t="shared" si="57"/>
        <v>47127</v>
      </c>
      <c r="B3668" s="53">
        <v>3667</v>
      </c>
      <c r="C3668" s="53">
        <v>36611.901899999997</v>
      </c>
    </row>
    <row r="3669" spans="1:3" x14ac:dyDescent="0.25">
      <c r="A3669" s="52">
        <f t="shared" si="57"/>
        <v>47128</v>
      </c>
      <c r="B3669" s="53">
        <v>3668</v>
      </c>
      <c r="C3669" s="53">
        <v>36612.959499999997</v>
      </c>
    </row>
    <row r="3670" spans="1:3" x14ac:dyDescent="0.25">
      <c r="A3670" s="52">
        <f t="shared" si="57"/>
        <v>47129</v>
      </c>
      <c r="B3670" s="53">
        <v>3669</v>
      </c>
      <c r="C3670" s="53">
        <v>36614.017099999997</v>
      </c>
    </row>
    <row r="3671" spans="1:3" x14ac:dyDescent="0.25">
      <c r="A3671" s="52">
        <f t="shared" si="57"/>
        <v>47130</v>
      </c>
      <c r="B3671" s="53">
        <v>3670</v>
      </c>
      <c r="C3671" s="53">
        <v>36615.074699999997</v>
      </c>
    </row>
    <row r="3672" spans="1:3" x14ac:dyDescent="0.25">
      <c r="A3672" s="52">
        <f t="shared" si="57"/>
        <v>47131</v>
      </c>
      <c r="B3672" s="53">
        <v>3671</v>
      </c>
      <c r="C3672" s="53">
        <v>36616.132400000002</v>
      </c>
    </row>
    <row r="3673" spans="1:3" x14ac:dyDescent="0.25">
      <c r="A3673" s="52">
        <f t="shared" si="57"/>
        <v>47132</v>
      </c>
      <c r="B3673" s="53">
        <v>3672</v>
      </c>
      <c r="C3673" s="53">
        <v>36617.1901</v>
      </c>
    </row>
    <row r="3674" spans="1:3" x14ac:dyDescent="0.25">
      <c r="A3674" s="52">
        <f t="shared" si="57"/>
        <v>47133</v>
      </c>
      <c r="B3674" s="53">
        <v>3673</v>
      </c>
      <c r="C3674" s="53">
        <v>36618.247799999997</v>
      </c>
    </row>
    <row r="3675" spans="1:3" x14ac:dyDescent="0.25">
      <c r="A3675" s="52">
        <f t="shared" si="57"/>
        <v>47134</v>
      </c>
      <c r="B3675" s="53">
        <v>3674</v>
      </c>
      <c r="C3675" s="53">
        <v>36619.3056</v>
      </c>
    </row>
    <row r="3676" spans="1:3" x14ac:dyDescent="0.25">
      <c r="A3676" s="52">
        <f t="shared" si="57"/>
        <v>47135</v>
      </c>
      <c r="B3676" s="53">
        <v>3675</v>
      </c>
      <c r="C3676" s="53">
        <v>36620.363299999997</v>
      </c>
    </row>
    <row r="3677" spans="1:3" x14ac:dyDescent="0.25">
      <c r="A3677" s="52">
        <f t="shared" si="57"/>
        <v>47136</v>
      </c>
      <c r="B3677" s="53">
        <v>3676</v>
      </c>
      <c r="C3677" s="53">
        <v>36621.421199999997</v>
      </c>
    </row>
    <row r="3678" spans="1:3" x14ac:dyDescent="0.25">
      <c r="A3678" s="52">
        <f t="shared" si="57"/>
        <v>47137</v>
      </c>
      <c r="B3678" s="53">
        <v>3677</v>
      </c>
      <c r="C3678" s="53">
        <v>36622.478999999999</v>
      </c>
    </row>
    <row r="3679" spans="1:3" x14ac:dyDescent="0.25">
      <c r="A3679" s="52">
        <f t="shared" si="57"/>
        <v>47138</v>
      </c>
      <c r="B3679" s="53">
        <v>3678</v>
      </c>
      <c r="C3679" s="53">
        <v>36623.536899999999</v>
      </c>
    </row>
    <row r="3680" spans="1:3" x14ac:dyDescent="0.25">
      <c r="A3680" s="52">
        <f t="shared" si="57"/>
        <v>47139</v>
      </c>
      <c r="B3680" s="53">
        <v>3679</v>
      </c>
      <c r="C3680" s="53">
        <v>36624.594799999999</v>
      </c>
    </row>
    <row r="3681" spans="1:3" x14ac:dyDescent="0.25">
      <c r="A3681" s="52">
        <f t="shared" si="57"/>
        <v>47140</v>
      </c>
      <c r="B3681" s="53">
        <v>3680</v>
      </c>
      <c r="C3681" s="53">
        <v>36625.652699999999</v>
      </c>
    </row>
    <row r="3682" spans="1:3" x14ac:dyDescent="0.25">
      <c r="A3682" s="52">
        <f t="shared" si="57"/>
        <v>47141</v>
      </c>
      <c r="B3682" s="53">
        <v>3681</v>
      </c>
      <c r="C3682" s="53">
        <v>36626.710700000003</v>
      </c>
    </row>
    <row r="3683" spans="1:3" x14ac:dyDescent="0.25">
      <c r="A3683" s="52">
        <f t="shared" si="57"/>
        <v>47142</v>
      </c>
      <c r="B3683" s="53">
        <v>3682</v>
      </c>
      <c r="C3683" s="53">
        <v>36627.768700000001</v>
      </c>
    </row>
    <row r="3684" spans="1:3" x14ac:dyDescent="0.25">
      <c r="A3684" s="52">
        <f t="shared" si="57"/>
        <v>47143</v>
      </c>
      <c r="B3684" s="53">
        <v>3683</v>
      </c>
      <c r="C3684" s="53">
        <v>36628.826699999998</v>
      </c>
    </row>
    <row r="3685" spans="1:3" x14ac:dyDescent="0.25">
      <c r="A3685" s="52">
        <f t="shared" si="57"/>
        <v>47144</v>
      </c>
      <c r="B3685" s="53">
        <v>3684</v>
      </c>
      <c r="C3685" s="53">
        <v>36629.8848</v>
      </c>
    </row>
    <row r="3686" spans="1:3" x14ac:dyDescent="0.25">
      <c r="A3686" s="52">
        <f t="shared" si="57"/>
        <v>47145</v>
      </c>
      <c r="B3686" s="53">
        <v>3685</v>
      </c>
      <c r="C3686" s="53">
        <v>36630.942900000002</v>
      </c>
    </row>
    <row r="3687" spans="1:3" x14ac:dyDescent="0.25">
      <c r="A3687" s="52">
        <f t="shared" si="57"/>
        <v>47146</v>
      </c>
      <c r="B3687" s="53">
        <v>3686</v>
      </c>
      <c r="C3687" s="53">
        <v>36632.000999999997</v>
      </c>
    </row>
    <row r="3688" spans="1:3" x14ac:dyDescent="0.25">
      <c r="A3688" s="52">
        <f t="shared" si="57"/>
        <v>47147</v>
      </c>
      <c r="B3688" s="53">
        <v>3687</v>
      </c>
      <c r="C3688" s="53">
        <v>36633.059099999999</v>
      </c>
    </row>
    <row r="3689" spans="1:3" x14ac:dyDescent="0.25">
      <c r="A3689" s="52">
        <f t="shared" si="57"/>
        <v>47148</v>
      </c>
      <c r="B3689" s="53">
        <v>3688</v>
      </c>
      <c r="C3689" s="53">
        <v>36634.117299999998</v>
      </c>
    </row>
    <row r="3690" spans="1:3" x14ac:dyDescent="0.25">
      <c r="A3690" s="52">
        <f t="shared" si="57"/>
        <v>47149</v>
      </c>
      <c r="B3690" s="53">
        <v>3689</v>
      </c>
      <c r="C3690" s="53">
        <v>36635.175499999998</v>
      </c>
    </row>
    <row r="3691" spans="1:3" x14ac:dyDescent="0.25">
      <c r="A3691" s="52">
        <f t="shared" si="57"/>
        <v>47150</v>
      </c>
      <c r="B3691" s="53">
        <v>3690</v>
      </c>
      <c r="C3691" s="53">
        <v>36636.233800000002</v>
      </c>
    </row>
    <row r="3692" spans="1:3" x14ac:dyDescent="0.25">
      <c r="A3692" s="52">
        <f t="shared" si="57"/>
        <v>47151</v>
      </c>
      <c r="B3692" s="53">
        <v>3691</v>
      </c>
      <c r="C3692" s="53">
        <v>36637.292000000001</v>
      </c>
    </row>
    <row r="3693" spans="1:3" x14ac:dyDescent="0.25">
      <c r="A3693" s="52">
        <f t="shared" si="57"/>
        <v>47152</v>
      </c>
      <c r="B3693" s="53">
        <v>3692</v>
      </c>
      <c r="C3693" s="53">
        <v>36638.350299999998</v>
      </c>
    </row>
    <row r="3694" spans="1:3" x14ac:dyDescent="0.25">
      <c r="A3694" s="52">
        <f t="shared" si="57"/>
        <v>47153</v>
      </c>
      <c r="B3694" s="53">
        <v>3693</v>
      </c>
      <c r="C3694" s="53">
        <v>36639.4087</v>
      </c>
    </row>
    <row r="3695" spans="1:3" x14ac:dyDescent="0.25">
      <c r="A3695" s="52">
        <f t="shared" si="57"/>
        <v>47154</v>
      </c>
      <c r="B3695" s="53">
        <v>3694</v>
      </c>
      <c r="C3695" s="53">
        <v>36640.466999999997</v>
      </c>
    </row>
    <row r="3696" spans="1:3" x14ac:dyDescent="0.25">
      <c r="A3696" s="52">
        <f t="shared" si="57"/>
        <v>47155</v>
      </c>
      <c r="B3696" s="53">
        <v>3695</v>
      </c>
      <c r="C3696" s="53">
        <v>36641.525399999999</v>
      </c>
    </row>
    <row r="3697" spans="1:3" x14ac:dyDescent="0.25">
      <c r="A3697" s="52">
        <f t="shared" si="57"/>
        <v>47156</v>
      </c>
      <c r="B3697" s="53">
        <v>3696</v>
      </c>
      <c r="C3697" s="53">
        <v>36642.5838</v>
      </c>
    </row>
    <row r="3698" spans="1:3" x14ac:dyDescent="0.25">
      <c r="A3698" s="52">
        <f t="shared" si="57"/>
        <v>47157</v>
      </c>
      <c r="B3698" s="53">
        <v>3697</v>
      </c>
      <c r="C3698" s="53">
        <v>36643.6423</v>
      </c>
    </row>
    <row r="3699" spans="1:3" x14ac:dyDescent="0.25">
      <c r="A3699" s="52">
        <f t="shared" si="57"/>
        <v>47158</v>
      </c>
      <c r="B3699" s="53">
        <v>3698</v>
      </c>
      <c r="C3699" s="53">
        <v>36644.700799999999</v>
      </c>
    </row>
    <row r="3700" spans="1:3" x14ac:dyDescent="0.25">
      <c r="A3700" s="52">
        <f t="shared" si="57"/>
        <v>47159</v>
      </c>
      <c r="B3700" s="53">
        <v>3699</v>
      </c>
      <c r="C3700" s="53">
        <v>36648.653899999998</v>
      </c>
    </row>
    <row r="3701" spans="1:3" x14ac:dyDescent="0.25">
      <c r="A3701" s="52">
        <f t="shared" si="57"/>
        <v>47160</v>
      </c>
      <c r="B3701" s="53">
        <v>3700</v>
      </c>
      <c r="C3701" s="53">
        <v>36652.607499999998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A3883-622C-4C44-A472-0FB027864F8F}">
  <dimension ref="A1:J28"/>
  <sheetViews>
    <sheetView workbookViewId="0">
      <selection activeCell="I3" sqref="I3"/>
    </sheetView>
  </sheetViews>
  <sheetFormatPr baseColWidth="10" defaultRowHeight="15" x14ac:dyDescent="0.25"/>
  <cols>
    <col min="2" max="2" width="19.5703125" bestFit="1" customWidth="1"/>
    <col min="3" max="4" width="11.42578125" style="13"/>
    <col min="6" max="6" width="11.42578125" style="5"/>
  </cols>
  <sheetData>
    <row r="1" spans="1:10" x14ac:dyDescent="0.25">
      <c r="A1" t="s">
        <v>74</v>
      </c>
      <c r="B1" t="s">
        <v>75</v>
      </c>
      <c r="F1" s="5" t="s">
        <v>129</v>
      </c>
      <c r="G1" t="s">
        <v>130</v>
      </c>
      <c r="H1" t="s">
        <v>131</v>
      </c>
      <c r="I1" t="s">
        <v>132</v>
      </c>
    </row>
    <row r="2" spans="1:10" x14ac:dyDescent="0.25">
      <c r="A2" t="s">
        <v>76</v>
      </c>
      <c r="B2" t="s">
        <v>77</v>
      </c>
      <c r="C2" s="54">
        <f>+CHILE!C4</f>
        <v>43462</v>
      </c>
      <c r="D2" s="54"/>
      <c r="E2">
        <v>0</v>
      </c>
      <c r="F2" s="5">
        <f>+VLOOKUP(C2,Holidays!$A:$C,3,FALSE)</f>
        <v>27565.79</v>
      </c>
    </row>
    <row r="3" spans="1:10" x14ac:dyDescent="0.25">
      <c r="A3" t="s">
        <v>127</v>
      </c>
      <c r="B3" t="s">
        <v>128</v>
      </c>
      <c r="C3" s="54">
        <f>+C2+1</f>
        <v>43463</v>
      </c>
      <c r="D3" s="54"/>
      <c r="E3" s="44">
        <f>+C3-C2</f>
        <v>1</v>
      </c>
      <c r="F3" s="5">
        <f>+VLOOKUP(C3,Holidays!$A:$C,3,FALSE)</f>
        <v>27565.79</v>
      </c>
      <c r="G3" s="55">
        <f>+F3/$F$2-1</f>
        <v>0</v>
      </c>
      <c r="H3" s="6">
        <f>+G3*36000/E3</f>
        <v>0</v>
      </c>
      <c r="I3" s="6">
        <f>+get_interpolated_rate(E3,CHILE!$AN$13:$AN$27,CHILE!$AP$13:$AP$27,COUNT(CHILE!$AN$13:$AN$27))</f>
        <v>2.75</v>
      </c>
      <c r="J3" s="5">
        <f>+((1+I3/100*E3/360)/(1+H3/100*E3/360)-1)*36000/E3</f>
        <v>2.7499999999980318</v>
      </c>
    </row>
    <row r="4" spans="1:10" x14ac:dyDescent="0.25">
      <c r="A4" t="s">
        <v>78</v>
      </c>
      <c r="B4" t="s">
        <v>77</v>
      </c>
      <c r="C4" s="54" t="str">
        <f>+_xll.BDP(B4,"LAST_UPDATE_DT")</f>
        <v>09-01-2019</v>
      </c>
      <c r="D4" s="54">
        <f>+DATE(YEAR(C4),MONTH(C4),DAY(C4))</f>
        <v>43474</v>
      </c>
      <c r="E4" s="44">
        <f>+C4-$C$2</f>
        <v>12</v>
      </c>
      <c r="F4" s="5">
        <f>+VLOOKUP(D4,Holidays!A2:C3701,3,FALSE)</f>
        <v>27565.79</v>
      </c>
      <c r="G4" s="55">
        <f t="shared" ref="G4:G28" si="0">+F4/$F$2-1</f>
        <v>0</v>
      </c>
      <c r="H4" s="6">
        <f t="shared" ref="H4:H28" si="1">+G4*36000/E4</f>
        <v>0</v>
      </c>
      <c r="I4" s="6">
        <f>+get_interpolated_rate(E4,CHILE!$AN$13:$AN$27,CHILE!$AP$13:$AP$27,COUNT(CHILE!$AN$13:$AN$27))</f>
        <v>2.7648314606741575</v>
      </c>
      <c r="J4" s="5">
        <f t="shared" ref="J4:J28" si="2">+((1+I4/100*E4/360)/(1+H4/100*E4/360)-1)*36000/E4</f>
        <v>2.7648314606742996</v>
      </c>
    </row>
    <row r="5" spans="1:10" x14ac:dyDescent="0.25">
      <c r="A5" t="s">
        <v>79</v>
      </c>
      <c r="B5" t="s">
        <v>80</v>
      </c>
      <c r="C5" s="54" t="str">
        <f>+_xll.BDP(B5,"SETTLE_DT")</f>
        <v>08-02-2019</v>
      </c>
      <c r="D5" s="54">
        <f t="shared" ref="D5:D28" si="3">+DATE(YEAR(C5),MONTH(C5),DAY(C5))</f>
        <v>43504</v>
      </c>
      <c r="E5" s="44">
        <f t="shared" ref="E5:E28" si="4">+C5-$C$2</f>
        <v>42</v>
      </c>
      <c r="F5" s="5">
        <f>+VLOOKUP(D5,Holidays!A3:C3702,3,FALSE)</f>
        <v>27538</v>
      </c>
      <c r="G5" s="55">
        <f t="shared" si="0"/>
        <v>-1.0081336323030099E-3</v>
      </c>
      <c r="H5" s="6">
        <f t="shared" si="1"/>
        <v>-0.86411454197400861</v>
      </c>
      <c r="I5" s="6">
        <f>+get_interpolated_rate(E5,CHILE!$AN$13:$AN$27,CHILE!$AP$13:$AP$27,COUNT(CHILE!$AN$13:$AN$27))</f>
        <v>2.8052808988764046</v>
      </c>
      <c r="J5" s="5">
        <f t="shared" si="2"/>
        <v>3.673098414897094</v>
      </c>
    </row>
    <row r="6" spans="1:10" x14ac:dyDescent="0.25">
      <c r="A6" t="s">
        <v>81</v>
      </c>
      <c r="B6" t="s">
        <v>82</v>
      </c>
      <c r="C6" s="54" t="str">
        <f>+_xll.BDP(B6,"SETTLE_DT")</f>
        <v>08-03-2019</v>
      </c>
      <c r="D6" s="54">
        <f t="shared" si="3"/>
        <v>43532</v>
      </c>
      <c r="E6" s="44">
        <f t="shared" si="4"/>
        <v>70</v>
      </c>
      <c r="F6" s="5">
        <f>+VLOOKUP(D6,Holidays!A4:C3703,3,FALSE)</f>
        <v>27555</v>
      </c>
      <c r="G6" s="55">
        <f t="shared" si="0"/>
        <v>-3.9142720016371868E-4</v>
      </c>
      <c r="H6" s="6">
        <f t="shared" si="1"/>
        <v>-0.20130541722705533</v>
      </c>
      <c r="I6" s="6">
        <f>+get_interpolated_rate(E6,CHILE!$AN$13:$AN$27,CHILE!$AP$13:$AP$27,COUNT(CHILE!$AN$13:$AN$27))</f>
        <v>2.8430337078651684</v>
      </c>
      <c r="J6" s="5">
        <f t="shared" si="2"/>
        <v>3.0455312288540703</v>
      </c>
    </row>
    <row r="7" spans="1:10" x14ac:dyDescent="0.25">
      <c r="A7" t="s">
        <v>83</v>
      </c>
      <c r="B7" t="s">
        <v>84</v>
      </c>
      <c r="C7" s="54" t="str">
        <f>+_xll.BDP(B7,"SETTLE_DT")</f>
        <v>09-04-2019</v>
      </c>
      <c r="D7" s="54">
        <f t="shared" si="3"/>
        <v>43564</v>
      </c>
      <c r="E7" s="44">
        <f t="shared" si="4"/>
        <v>102</v>
      </c>
      <c r="F7" s="5">
        <f>+VLOOKUP(D7,Holidays!A5:C3704,3,FALSE)</f>
        <v>27564</v>
      </c>
      <c r="G7" s="55">
        <f t="shared" si="0"/>
        <v>-6.4935559619394567E-5</v>
      </c>
      <c r="H7" s="6">
        <f t="shared" si="1"/>
        <v>-2.2918432806845142E-2</v>
      </c>
      <c r="I7" s="6">
        <f>+get_interpolated_rate(E7,CHILE!$AN$13:$AN$27,CHILE!$AP$13:$AP$27,COUNT(CHILE!$AN$13:$AN$27))</f>
        <v>2.8804000000000003</v>
      </c>
      <c r="J7" s="5">
        <f t="shared" si="2"/>
        <v>2.9035069736570769</v>
      </c>
    </row>
    <row r="8" spans="1:10" x14ac:dyDescent="0.25">
      <c r="A8" t="s">
        <v>85</v>
      </c>
      <c r="B8" t="s">
        <v>86</v>
      </c>
      <c r="C8" s="54" t="str">
        <f>+_xll.BDP(B8,"SETTLE_DT")</f>
        <v>09-05-2019</v>
      </c>
      <c r="D8" s="54">
        <f t="shared" si="3"/>
        <v>43594</v>
      </c>
      <c r="E8" s="44">
        <f t="shared" si="4"/>
        <v>132</v>
      </c>
      <c r="F8" s="5">
        <f>+VLOOKUP(D8,Holidays!A6:C3705,3,FALSE)</f>
        <v>27648</v>
      </c>
      <c r="G8" s="55">
        <f t="shared" si="0"/>
        <v>2.9823197521274825E-3</v>
      </c>
      <c r="H8" s="6">
        <f t="shared" si="1"/>
        <v>0.81335993239840421</v>
      </c>
      <c r="I8" s="6">
        <f>+get_interpolated_rate(E8,CHILE!$AN$13:$AN$27,CHILE!$AP$13:$AP$27,COUNT(CHILE!$AN$13:$AN$27))</f>
        <v>2.9064000000000001</v>
      </c>
      <c r="J8" s="5">
        <f t="shared" si="2"/>
        <v>2.0868165134943242</v>
      </c>
    </row>
    <row r="9" spans="1:10" x14ac:dyDescent="0.25">
      <c r="A9" t="s">
        <v>87</v>
      </c>
      <c r="B9" t="s">
        <v>88</v>
      </c>
      <c r="C9" s="54" t="str">
        <f>+_xll.BDP(B9,"SETTLE_DT")</f>
        <v>07-06-2019</v>
      </c>
      <c r="D9" s="54">
        <f t="shared" si="3"/>
        <v>43623</v>
      </c>
      <c r="E9" s="44">
        <f t="shared" si="4"/>
        <v>161</v>
      </c>
      <c r="F9" s="5">
        <f>+VLOOKUP(D9,Holidays!A7:C3706,3,FALSE)</f>
        <v>27705</v>
      </c>
      <c r="G9" s="55">
        <f t="shared" si="0"/>
        <v>5.0501001422413871E-3</v>
      </c>
      <c r="H9" s="6">
        <f t="shared" si="1"/>
        <v>1.1292149386378258</v>
      </c>
      <c r="I9" s="6">
        <f>+get_interpolated_rate(E9,CHILE!$AN$13:$AN$27,CHILE!$AP$13:$AP$27,COUNT(CHILE!$AN$13:$AN$27))</f>
        <v>2.9315333333333333</v>
      </c>
      <c r="J9" s="5">
        <f t="shared" si="2"/>
        <v>1.7932622407981764</v>
      </c>
    </row>
    <row r="10" spans="1:10" x14ac:dyDescent="0.25">
      <c r="A10" t="s">
        <v>89</v>
      </c>
      <c r="B10" t="s">
        <v>90</v>
      </c>
      <c r="C10" s="54" t="str">
        <f>+_xll.BDP(B10,"SETTLE_DT")</f>
        <v>09-07-2019</v>
      </c>
      <c r="D10" s="54">
        <f t="shared" si="3"/>
        <v>43655</v>
      </c>
      <c r="E10" s="44">
        <f t="shared" si="4"/>
        <v>193</v>
      </c>
      <c r="F10" s="5">
        <f>+VLOOKUP(D10,Holidays!A8:C3707,3,FALSE)</f>
        <v>27774</v>
      </c>
      <c r="G10" s="55">
        <f t="shared" si="0"/>
        <v>7.553202719747798E-3</v>
      </c>
      <c r="H10" s="6">
        <f t="shared" si="1"/>
        <v>1.4088875539425945</v>
      </c>
      <c r="I10" s="6">
        <f>+get_interpolated_rate(E10,CHILE!$AN$13:$AN$27,CHILE!$AP$13:$AP$27,COUNT(CHILE!$AN$13:$AN$27))</f>
        <v>2.9612888888888889</v>
      </c>
      <c r="J10" s="5">
        <f t="shared" si="2"/>
        <v>1.5407636348688971</v>
      </c>
    </row>
    <row r="11" spans="1:10" x14ac:dyDescent="0.25">
      <c r="A11" t="s">
        <v>91</v>
      </c>
      <c r="B11" t="s">
        <v>92</v>
      </c>
      <c r="C11" s="54" t="str">
        <f>+_xll.BDP(B11,"SETTLE_DT")</f>
        <v>09-08-2019</v>
      </c>
      <c r="D11" s="54">
        <f t="shared" si="3"/>
        <v>43686</v>
      </c>
      <c r="E11" s="44">
        <f t="shared" si="4"/>
        <v>224</v>
      </c>
      <c r="F11" s="5">
        <f>+VLOOKUP(D11,Holidays!A9:C3708,3,FALSE)</f>
        <v>27844</v>
      </c>
      <c r="G11" s="55">
        <f t="shared" si="0"/>
        <v>1.0092582146203677E-2</v>
      </c>
      <c r="H11" s="6">
        <f t="shared" si="1"/>
        <v>1.6220221306398768</v>
      </c>
      <c r="I11" s="6">
        <f>+get_interpolated_rate(E11,CHILE!$AN$13:$AN$27,CHILE!$AP$13:$AP$27,COUNT(CHILE!$AN$13:$AN$27))</f>
        <v>2.992977777777778</v>
      </c>
      <c r="J11" s="5">
        <f t="shared" si="2"/>
        <v>1.3572574151816317</v>
      </c>
    </row>
    <row r="12" spans="1:10" x14ac:dyDescent="0.25">
      <c r="A12" t="s">
        <v>93</v>
      </c>
      <c r="B12" t="s">
        <v>94</v>
      </c>
      <c r="C12" s="54" t="str">
        <f>+_xll.BDP(B12,"SETTLE_DT")</f>
        <v>09-09-2019</v>
      </c>
      <c r="D12" s="54">
        <f t="shared" si="3"/>
        <v>43717</v>
      </c>
      <c r="E12" s="44">
        <f t="shared" si="4"/>
        <v>255</v>
      </c>
      <c r="F12" s="5">
        <f>+VLOOKUP(D12,Holidays!A10:C3709,3,FALSE)</f>
        <v>27921</v>
      </c>
      <c r="G12" s="55">
        <f t="shared" si="0"/>
        <v>1.2885899515304944E-2</v>
      </c>
      <c r="H12" s="6">
        <f t="shared" si="1"/>
        <v>1.8191858139254038</v>
      </c>
      <c r="I12" s="6">
        <f>+get_interpolated_rate(E12,CHILE!$AN$13:$AN$27,CHILE!$AP$13:$AP$27,COUNT(CHILE!$AN$13:$AN$27))</f>
        <v>3.0246666666666666</v>
      </c>
      <c r="J12" s="5">
        <f t="shared" si="2"/>
        <v>1.1901447668667358</v>
      </c>
    </row>
    <row r="13" spans="1:10" x14ac:dyDescent="0.25">
      <c r="A13" t="s">
        <v>95</v>
      </c>
      <c r="B13" t="s">
        <v>96</v>
      </c>
      <c r="C13" s="54" t="str">
        <f>+_xll.BDP(B13,"SETTLE_DT")</f>
        <v>09-10-2019</v>
      </c>
      <c r="D13" s="54">
        <f t="shared" si="3"/>
        <v>43747</v>
      </c>
      <c r="E13" s="44">
        <f t="shared" si="4"/>
        <v>285</v>
      </c>
      <c r="F13" s="5">
        <f>+VLOOKUP(D13,Holidays!A11:C3710,3,FALSE)</f>
        <v>27987</v>
      </c>
      <c r="G13" s="55">
        <f t="shared" si="0"/>
        <v>1.5280171545963173E-2</v>
      </c>
      <c r="H13" s="6">
        <f t="shared" si="1"/>
        <v>1.9301269321216639</v>
      </c>
      <c r="I13" s="6">
        <f>+get_interpolated_rate(E13,CHILE!$AN$13:$AN$27,CHILE!$AP$13:$AP$27,COUNT(CHILE!$AN$13:$AN$27))</f>
        <v>3.0548333333333333</v>
      </c>
      <c r="J13" s="5">
        <f t="shared" si="2"/>
        <v>1.1077793428183451</v>
      </c>
    </row>
    <row r="14" spans="1:10" x14ac:dyDescent="0.25">
      <c r="A14" t="s">
        <v>97</v>
      </c>
      <c r="B14" t="s">
        <v>98</v>
      </c>
      <c r="C14" s="54" t="str">
        <f>+_xll.BDP(B14,"SETTLE_DT")</f>
        <v>08-11-2019</v>
      </c>
      <c r="D14" s="54">
        <f t="shared" si="3"/>
        <v>43777</v>
      </c>
      <c r="E14" s="44">
        <f t="shared" si="4"/>
        <v>315</v>
      </c>
      <c r="F14" s="5">
        <f>+VLOOKUP(D14,Holidays!A12:C3711,3,FALSE)</f>
        <v>28079</v>
      </c>
      <c r="G14" s="55">
        <f t="shared" si="0"/>
        <v>1.8617641649305128E-2</v>
      </c>
      <c r="H14" s="6">
        <f t="shared" si="1"/>
        <v>2.1277304742063006</v>
      </c>
      <c r="I14" s="6">
        <f>+get_interpolated_rate(E14,CHILE!$AN$13:$AN$27,CHILE!$AP$13:$AP$27,COUNT(CHILE!$AN$13:$AN$27))</f>
        <v>3.0845000000000002</v>
      </c>
      <c r="J14" s="5">
        <f t="shared" si="2"/>
        <v>0.93928230444207472</v>
      </c>
    </row>
    <row r="15" spans="1:10" x14ac:dyDescent="0.25">
      <c r="A15" t="s">
        <v>99</v>
      </c>
      <c r="B15" t="s">
        <v>100</v>
      </c>
      <c r="C15" s="54" t="str">
        <f>+_xll.BDP(B15,"SETTLE_DT")</f>
        <v>09-12-2019</v>
      </c>
      <c r="D15" s="54">
        <f t="shared" si="3"/>
        <v>43808</v>
      </c>
      <c r="E15" s="44">
        <f t="shared" si="4"/>
        <v>346</v>
      </c>
      <c r="F15" s="5">
        <f>+VLOOKUP(D15,Holidays!A13:C3712,3,FALSE)</f>
        <v>28180</v>
      </c>
      <c r="G15" s="55">
        <f t="shared" si="0"/>
        <v>2.2281603393191407E-2</v>
      </c>
      <c r="H15" s="6">
        <f t="shared" si="1"/>
        <v>2.318317116054597</v>
      </c>
      <c r="I15" s="6">
        <f>+get_interpolated_rate(E15,CHILE!$AN$13:$AN$27,CHILE!$AP$13:$AP$27,COUNT(CHILE!$AN$13:$AN$27))</f>
        <v>3.1151555555555555</v>
      </c>
      <c r="J15" s="5">
        <f t="shared" si="2"/>
        <v>0.77947058506781042</v>
      </c>
    </row>
    <row r="16" spans="1:10" x14ac:dyDescent="0.25">
      <c r="A16" t="s">
        <v>101</v>
      </c>
      <c r="B16" t="s">
        <v>102</v>
      </c>
      <c r="C16" s="54" t="str">
        <f>+_xll.BDP(B16,"SETTLE_DT")</f>
        <v>09-01-2020</v>
      </c>
      <c r="D16" s="54">
        <f t="shared" si="3"/>
        <v>43839</v>
      </c>
      <c r="E16" s="44">
        <f t="shared" si="4"/>
        <v>377</v>
      </c>
      <c r="F16" s="5">
        <f>+VLOOKUP(D16,Holidays!A14:C3713,3,FALSE)</f>
        <v>28210</v>
      </c>
      <c r="G16" s="55">
        <f t="shared" si="0"/>
        <v>2.3369908861672339E-2</v>
      </c>
      <c r="H16" s="6">
        <f t="shared" si="1"/>
        <v>2.231609334271099</v>
      </c>
      <c r="I16" s="6">
        <f>+get_interpolated_rate(E16,CHILE!$AN$13:$AN$27,CHILE!$AP$13:$AP$27,COUNT(CHILE!$AN$13:$AN$27))</f>
        <v>3.1404277777777776</v>
      </c>
      <c r="J16" s="5">
        <f t="shared" si="2"/>
        <v>0.88806445805856105</v>
      </c>
    </row>
    <row r="17" spans="1:10" x14ac:dyDescent="0.25">
      <c r="A17" t="s">
        <v>103</v>
      </c>
      <c r="B17" t="s">
        <v>104</v>
      </c>
      <c r="C17" s="54" t="str">
        <f>+_xll.BDP(B17,"SETTLE_DT")</f>
        <v>07-02-2020</v>
      </c>
      <c r="D17" s="54">
        <f t="shared" si="3"/>
        <v>43868</v>
      </c>
      <c r="E17" s="44">
        <f t="shared" si="4"/>
        <v>406</v>
      </c>
      <c r="F17" s="5">
        <f>+VLOOKUP(D17,Holidays!A15:C3714,3,FALSE)</f>
        <v>28242</v>
      </c>
      <c r="G17" s="55">
        <f t="shared" si="0"/>
        <v>2.4530768028052208E-2</v>
      </c>
      <c r="H17" s="6">
        <f t="shared" si="1"/>
        <v>2.1751419926351709</v>
      </c>
      <c r="I17" s="6">
        <f>+get_interpolated_rate(E17,CHILE!$AN$13:$AN$27,CHILE!$AP$13:$AP$27,COUNT(CHILE!$AN$13:$AN$27))</f>
        <v>3.1599222222222223</v>
      </c>
      <c r="J17" s="5">
        <f t="shared" si="2"/>
        <v>0.96120122530091201</v>
      </c>
    </row>
    <row r="18" spans="1:10" x14ac:dyDescent="0.25">
      <c r="A18" t="s">
        <v>105</v>
      </c>
      <c r="B18" t="s">
        <v>106</v>
      </c>
      <c r="C18" s="54" t="str">
        <f>+_xll.BDP(B18,"SETTLE_DT")</f>
        <v>09-03-2020</v>
      </c>
      <c r="D18" s="54">
        <f t="shared" si="3"/>
        <v>43899</v>
      </c>
      <c r="E18" s="44">
        <f t="shared" si="4"/>
        <v>437</v>
      </c>
      <c r="F18" s="5">
        <f>+VLOOKUP(D18,Holidays!A16:C3715,3,FALSE)</f>
        <v>28312</v>
      </c>
      <c r="G18" s="55">
        <f t="shared" si="0"/>
        <v>2.7070147454507865E-2</v>
      </c>
      <c r="H18" s="6">
        <f t="shared" si="1"/>
        <v>2.2300350305773069</v>
      </c>
      <c r="I18" s="6">
        <f>+get_interpolated_rate(E18,CHILE!$AN$13:$AN$27,CHILE!$AP$13:$AP$27,COUNT(CHILE!$AN$13:$AN$27))</f>
        <v>3.1807611111111109</v>
      </c>
      <c r="J18" s="5">
        <f t="shared" si="2"/>
        <v>0.92566810834691682</v>
      </c>
    </row>
    <row r="19" spans="1:10" x14ac:dyDescent="0.25">
      <c r="A19" t="s">
        <v>107</v>
      </c>
      <c r="B19" t="s">
        <v>108</v>
      </c>
      <c r="C19" s="54" t="str">
        <f>+_xll.BDP(B19,"SETTLE_DT")</f>
        <v>09-04-2020</v>
      </c>
      <c r="D19" s="54">
        <f t="shared" si="3"/>
        <v>43930</v>
      </c>
      <c r="E19" s="44">
        <f t="shared" si="4"/>
        <v>468</v>
      </c>
      <c r="F19" s="5">
        <f>+VLOOKUP(D19,Holidays!A17:C3716,3,FALSE)</f>
        <v>28378</v>
      </c>
      <c r="G19" s="55">
        <f t="shared" si="0"/>
        <v>2.9464419485166093E-2</v>
      </c>
      <c r="H19" s="6">
        <f t="shared" si="1"/>
        <v>2.2664938065512379</v>
      </c>
      <c r="I19" s="6">
        <f>+get_interpolated_rate(E19,CHILE!$AN$13:$AN$27,CHILE!$AP$13:$AP$27,COUNT(CHILE!$AN$13:$AN$27))</f>
        <v>3.2016</v>
      </c>
      <c r="J19" s="5">
        <f t="shared" si="2"/>
        <v>0.90834241159729256</v>
      </c>
    </row>
    <row r="20" spans="1:10" x14ac:dyDescent="0.25">
      <c r="A20" t="s">
        <v>109</v>
      </c>
      <c r="B20" t="s">
        <v>110</v>
      </c>
      <c r="C20" s="54" t="str">
        <f>+_xll.BDP(B20,"SETTLE_DT")</f>
        <v>08-05-2020</v>
      </c>
      <c r="D20" s="54">
        <f t="shared" si="3"/>
        <v>43959</v>
      </c>
      <c r="E20" s="44">
        <f t="shared" si="4"/>
        <v>497</v>
      </c>
      <c r="F20" s="5">
        <f>+VLOOKUP(D20,Holidays!A18:C3717,3,FALSE)</f>
        <v>28457</v>
      </c>
      <c r="G20" s="55">
        <f t="shared" si="0"/>
        <v>3.2330290552166296E-2</v>
      </c>
      <c r="H20" s="6">
        <f t="shared" si="1"/>
        <v>2.3418319112233132</v>
      </c>
      <c r="I20" s="6">
        <f>+get_interpolated_rate(E20,CHILE!$AN$13:$AN$27,CHILE!$AP$13:$AP$27,COUNT(CHILE!$AN$13:$AN$27))</f>
        <v>3.2210944444444443</v>
      </c>
      <c r="J20" s="5">
        <f t="shared" si="2"/>
        <v>0.85172598466604266</v>
      </c>
    </row>
    <row r="21" spans="1:10" x14ac:dyDescent="0.25">
      <c r="A21" t="s">
        <v>111</v>
      </c>
      <c r="B21" t="s">
        <v>112</v>
      </c>
      <c r="C21" s="54" t="str">
        <f>+_xll.BDP(B21,"SETTLE_DT")</f>
        <v>09-06-2020</v>
      </c>
      <c r="D21" s="54">
        <f t="shared" si="3"/>
        <v>43991</v>
      </c>
      <c r="E21" s="44">
        <f t="shared" si="4"/>
        <v>529</v>
      </c>
      <c r="F21" s="5">
        <f>+VLOOKUP(D21,Holidays!A19:C3718,3,FALSE)</f>
        <v>28540</v>
      </c>
      <c r="G21" s="55">
        <f t="shared" si="0"/>
        <v>3.5341269014963705E-2</v>
      </c>
      <c r="H21" s="6">
        <f t="shared" si="1"/>
        <v>2.4050769083907246</v>
      </c>
      <c r="I21" s="6">
        <f>+get_interpolated_rate(E21,CHILE!$AN$13:$AN$27,CHILE!$AP$13:$AP$27,COUNT(CHILE!$AN$13:$AN$27))</f>
        <v>3.2426055555555555</v>
      </c>
      <c r="J21" s="5">
        <f t="shared" si="2"/>
        <v>0.80893969189662807</v>
      </c>
    </row>
    <row r="22" spans="1:10" x14ac:dyDescent="0.25">
      <c r="A22" t="s">
        <v>113</v>
      </c>
      <c r="B22" t="s">
        <v>114</v>
      </c>
      <c r="C22" s="54" t="str">
        <f>+_xll.BDP(B22,"SETTLE_DT")</f>
        <v>09-07-2020</v>
      </c>
      <c r="D22" s="54">
        <f t="shared" si="3"/>
        <v>44021</v>
      </c>
      <c r="E22" s="44">
        <f t="shared" si="4"/>
        <v>559</v>
      </c>
      <c r="F22" s="5">
        <f>+VLOOKUP(D22,Holidays!A20:C3719,3,FALSE)</f>
        <v>28588</v>
      </c>
      <c r="G22" s="55">
        <f t="shared" si="0"/>
        <v>3.7082557764533508E-2</v>
      </c>
      <c r="H22" s="6">
        <f t="shared" si="1"/>
        <v>2.3881432549610131</v>
      </c>
      <c r="I22" s="6">
        <f>+get_interpolated_rate(E22,CHILE!$AN$13:$AN$27,CHILE!$AP$13:$AP$27,COUNT(CHILE!$AN$13:$AN$27))</f>
        <v>3.264026671348466</v>
      </c>
      <c r="J22" s="5">
        <f t="shared" si="2"/>
        <v>0.84456479364135484</v>
      </c>
    </row>
    <row r="23" spans="1:10" x14ac:dyDescent="0.25">
      <c r="A23" t="s">
        <v>115</v>
      </c>
      <c r="B23" t="s">
        <v>116</v>
      </c>
      <c r="C23" s="54" t="str">
        <f>+_xll.BDP(B23,"SETTLE_DT")</f>
        <v>07-08-2020</v>
      </c>
      <c r="D23" s="54">
        <f t="shared" si="3"/>
        <v>44050</v>
      </c>
      <c r="E23" s="44">
        <f t="shared" si="4"/>
        <v>588</v>
      </c>
      <c r="F23" s="5">
        <f>+VLOOKUP(D23,Holidays!A21:C3720,3,FALSE)</f>
        <v>28643.261500000001</v>
      </c>
      <c r="G23" s="55">
        <f t="shared" si="0"/>
        <v>3.908727085274899E-2</v>
      </c>
      <c r="H23" s="6">
        <f t="shared" si="1"/>
        <v>2.3930982154744282</v>
      </c>
      <c r="I23" s="6">
        <f>+get_interpolated_rate(E23,CHILE!$AN$13:$AN$27,CHILE!$AP$13:$AP$27,COUNT(CHILE!$AN$13:$AN$27))</f>
        <v>3.2854358013013876</v>
      </c>
      <c r="J23" s="5">
        <f t="shared" si="2"/>
        <v>0.85877058728150646</v>
      </c>
    </row>
    <row r="24" spans="1:10" x14ac:dyDescent="0.25">
      <c r="A24" t="s">
        <v>117</v>
      </c>
      <c r="B24" t="s">
        <v>118</v>
      </c>
      <c r="C24" s="54" t="str">
        <f>+_xll.BDP(B24,"SETTLE_DT")</f>
        <v>09-09-2020</v>
      </c>
      <c r="D24" s="54">
        <f t="shared" si="3"/>
        <v>44083</v>
      </c>
      <c r="E24" s="44">
        <f t="shared" si="4"/>
        <v>621</v>
      </c>
      <c r="F24" s="5">
        <f>+VLOOKUP(D24,Holidays!A22:C3721,3,FALSE)</f>
        <v>28727.340800000002</v>
      </c>
      <c r="G24" s="55">
        <f t="shared" si="0"/>
        <v>4.2137402918617672E-2</v>
      </c>
      <c r="H24" s="6">
        <f t="shared" si="1"/>
        <v>2.442747995282184</v>
      </c>
      <c r="I24" s="6">
        <f>+get_interpolated_rate(E24,CHILE!$AN$13:$AN$27,CHILE!$AP$13:$AP$27,COUNT(CHILE!$AN$13:$AN$27))</f>
        <v>3.3097979146960914</v>
      </c>
      <c r="J24" s="5">
        <f t="shared" si="2"/>
        <v>0.83199193982065023</v>
      </c>
    </row>
    <row r="25" spans="1:10" x14ac:dyDescent="0.25">
      <c r="A25" t="s">
        <v>119</v>
      </c>
      <c r="B25" t="s">
        <v>120</v>
      </c>
      <c r="C25" s="54" t="str">
        <f>+_xll.BDP(B25,"SETTLE_DT")</f>
        <v>09-10-2020</v>
      </c>
      <c r="D25" s="54">
        <f t="shared" si="3"/>
        <v>44113</v>
      </c>
      <c r="E25" s="44">
        <f t="shared" si="4"/>
        <v>651</v>
      </c>
      <c r="F25" s="5">
        <f>+VLOOKUP(D25,Holidays!A23:C3722,3,FALSE)</f>
        <v>28794.9935</v>
      </c>
      <c r="G25" s="55">
        <f t="shared" si="0"/>
        <v>4.4591629697534607E-2</v>
      </c>
      <c r="H25" s="6">
        <f t="shared" si="1"/>
        <v>2.465896573135554</v>
      </c>
      <c r="I25" s="6">
        <f>+get_interpolated_rate(E25,CHILE!$AN$13:$AN$27,CHILE!$AP$13:$AP$27,COUNT(CHILE!$AN$13:$AN$27))</f>
        <v>3.3319452905094584</v>
      </c>
      <c r="J25" s="5">
        <f t="shared" si="2"/>
        <v>0.82907874498732881</v>
      </c>
    </row>
    <row r="26" spans="1:10" x14ac:dyDescent="0.25">
      <c r="A26" t="s">
        <v>121</v>
      </c>
      <c r="B26" t="s">
        <v>122</v>
      </c>
      <c r="C26" s="54" t="str">
        <f>+_xll.BDP(B26,"SETTLE_DT")</f>
        <v>09-11-2020</v>
      </c>
      <c r="D26" s="54">
        <f t="shared" si="3"/>
        <v>44144</v>
      </c>
      <c r="E26" s="44">
        <f t="shared" si="4"/>
        <v>682</v>
      </c>
      <c r="F26" s="5">
        <f>+VLOOKUP(D26,Holidays!A24:C3723,3,FALSE)</f>
        <v>28897.708600000002</v>
      </c>
      <c r="G26" s="55">
        <f t="shared" si="0"/>
        <v>4.8317809865053851E-2</v>
      </c>
      <c r="H26" s="6">
        <f t="shared" si="1"/>
        <v>2.5505002274808484</v>
      </c>
      <c r="I26" s="6">
        <f>+get_interpolated_rate(E26,CHILE!$AN$13:$AN$27,CHILE!$AP$13:$AP$27,COUNT(CHILE!$AN$13:$AN$27))</f>
        <v>3.3548309121832713</v>
      </c>
      <c r="J26" s="5">
        <f t="shared" si="2"/>
        <v>0.7672584374064616</v>
      </c>
    </row>
    <row r="27" spans="1:10" x14ac:dyDescent="0.25">
      <c r="A27" t="s">
        <v>123</v>
      </c>
      <c r="B27" t="s">
        <v>124</v>
      </c>
      <c r="C27" s="54" t="str">
        <f>+_xll.BDP(B27,"SETTLE_DT")</f>
        <v>09-12-2020</v>
      </c>
      <c r="D27" s="54">
        <f t="shared" si="3"/>
        <v>44174</v>
      </c>
      <c r="E27" s="44">
        <f t="shared" si="4"/>
        <v>712</v>
      </c>
      <c r="F27" s="5">
        <f>+VLOOKUP(D27,Holidays!A25:C3724,3,FALSE)</f>
        <v>29000</v>
      </c>
      <c r="G27" s="55">
        <f t="shared" si="0"/>
        <v>5.2028619531673037E-2</v>
      </c>
      <c r="H27" s="6">
        <f t="shared" si="1"/>
        <v>2.6306605381182995</v>
      </c>
      <c r="I27" s="6">
        <f>+get_interpolated_rate(E27,CHILE!$AN$13:$AN$27,CHILE!$AP$13:$AP$27,COUNT(CHILE!$AN$13:$AN$27))</f>
        <v>3.3769782879966384</v>
      </c>
      <c r="J27" s="5">
        <f t="shared" si="2"/>
        <v>0.7094082195316781</v>
      </c>
    </row>
    <row r="28" spans="1:10" x14ac:dyDescent="0.25">
      <c r="A28" t="s">
        <v>125</v>
      </c>
      <c r="B28" t="s">
        <v>126</v>
      </c>
      <c r="C28" s="54" t="str">
        <f>+_xll.BDP(B28,"SETTLE_DT")</f>
        <v>08-01-2021</v>
      </c>
      <c r="D28" s="54">
        <f t="shared" si="3"/>
        <v>44204</v>
      </c>
      <c r="E28" s="44">
        <f t="shared" si="4"/>
        <v>742</v>
      </c>
      <c r="F28" s="5">
        <f>+VLOOKUP(D28,Holidays!A26:C3725,3,FALSE)</f>
        <v>29021.743200000001</v>
      </c>
      <c r="G28" s="55">
        <f t="shared" si="0"/>
        <v>5.28173943137491E-2</v>
      </c>
      <c r="H28" s="6">
        <f t="shared" si="1"/>
        <v>2.5625689963544036</v>
      </c>
      <c r="I28" s="6">
        <f>+get_interpolated_rate(E28,CHILE!$AN$13:$AN$27,CHILE!$AP$13:$AP$27,COUNT(CHILE!$AN$13:$AN$27))</f>
        <v>3.3965191665482273</v>
      </c>
      <c r="J28" s="5">
        <f t="shared" si="2"/>
        <v>0.79211283428443902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CHILE</vt:lpstr>
      <vt:lpstr>Holidays</vt:lpstr>
      <vt:lpstr>UF_dates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</dc:creator>
  <cp:lastModifiedBy>Fernando Suarez B.</cp:lastModifiedBy>
  <cp:lastPrinted>2018-12-28T12:47:51Z</cp:lastPrinted>
  <dcterms:created xsi:type="dcterms:W3CDTF">2010-08-16T02:12:42Z</dcterms:created>
  <dcterms:modified xsi:type="dcterms:W3CDTF">2019-01-03T13:32:51Z</dcterms:modified>
</cp:coreProperties>
</file>
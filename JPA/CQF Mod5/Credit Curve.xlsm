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JPA\CQF Mod5\"/>
    </mc:Choice>
  </mc:AlternateContent>
  <bookViews>
    <workbookView xWindow="0" yWindow="0" windowWidth="23655" windowHeight="11655" tabRatio="500"/>
  </bookViews>
  <sheets>
    <sheet name="WFC" sheetId="5" r:id="rId1"/>
    <sheet name="CCMO" sheetId="4" r:id="rId2"/>
    <sheet name="WFC RR" sheetId="2" r:id="rId3"/>
  </sheets>
  <functionGroups builtInGroupCount="18"/>
  <definedNames>
    <definedName name="L" localSheetId="1">CCMO!$B$15</definedName>
    <definedName name="L" localSheetId="0">WFC!$B$15</definedName>
    <definedName name="L">#REF!</definedName>
    <definedName name="RR" localSheetId="1">CCMO!$B$14</definedName>
    <definedName name="RR" localSheetId="0">WFC!$B$14</definedName>
    <definedName name="RR">#REF!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6" i="5" l="1"/>
  <c r="I7" i="5"/>
  <c r="B15" i="5" l="1"/>
  <c r="B5" i="5"/>
  <c r="H5" i="5"/>
  <c r="G5" i="5" s="1"/>
  <c r="B6" i="5"/>
  <c r="O6" i="5"/>
  <c r="B7" i="5"/>
  <c r="O7" i="5"/>
  <c r="D8" i="5"/>
  <c r="B8" i="5"/>
  <c r="C8" i="5"/>
  <c r="B9" i="5"/>
  <c r="O9" i="5"/>
  <c r="D10" i="5"/>
  <c r="B10" i="5"/>
  <c r="C10" i="5"/>
  <c r="O10" i="5" s="1"/>
  <c r="B11" i="5"/>
  <c r="O11" i="5" s="1"/>
  <c r="C8" i="4"/>
  <c r="C10" i="4"/>
  <c r="B5" i="4"/>
  <c r="B6" i="4"/>
  <c r="B7" i="4"/>
  <c r="B8" i="4"/>
  <c r="B9" i="4"/>
  <c r="B10" i="4"/>
  <c r="B11" i="4"/>
  <c r="D8" i="4"/>
  <c r="D10" i="4"/>
  <c r="B15" i="4"/>
  <c r="H5" i="4" s="1"/>
  <c r="G5" i="4" s="1"/>
  <c r="O6" i="4"/>
  <c r="O7" i="4"/>
  <c r="O9" i="4"/>
  <c r="O10" i="4"/>
  <c r="I11" i="4"/>
  <c r="O11" i="4"/>
  <c r="E4" i="5" a="1"/>
  <c r="E4" i="4" a="1"/>
  <c r="O8" i="5" l="1"/>
  <c r="E6" i="5"/>
  <c r="E7" i="5"/>
  <c r="E8" i="5"/>
  <c r="E9" i="5"/>
  <c r="E10" i="5"/>
  <c r="E11" i="5"/>
  <c r="E4" i="5"/>
  <c r="E5" i="5"/>
  <c r="F5" i="5" s="1"/>
  <c r="F6" i="5" s="1"/>
  <c r="E9" i="4"/>
  <c r="E11" i="4"/>
  <c r="E4" i="4"/>
  <c r="E5" i="4"/>
  <c r="F5" i="4" s="1"/>
  <c r="E6" i="4"/>
  <c r="E8" i="4"/>
  <c r="E7" i="4"/>
  <c r="E10" i="4"/>
  <c r="H6" i="4"/>
  <c r="G6" i="4" s="1"/>
  <c r="H6" i="5"/>
  <c r="G6" i="5" s="1"/>
  <c r="J11" i="5" s="1"/>
  <c r="I10" i="5"/>
  <c r="I8" i="5"/>
  <c r="I9" i="5" a="1"/>
  <c r="I9" i="5" s="1"/>
  <c r="I10" i="4"/>
  <c r="O8" i="4"/>
  <c r="I7" i="4"/>
  <c r="I6" i="4" a="1"/>
  <c r="I6" i="4" s="1"/>
  <c r="I8" i="4"/>
  <c r="I11" i="5"/>
  <c r="I9" i="4" a="1"/>
  <c r="I9" i="4" s="1"/>
  <c r="F7" i="5" l="1"/>
  <c r="F6" i="4"/>
  <c r="F7" i="4" s="1"/>
  <c r="F8" i="4" s="1"/>
  <c r="H7" i="4"/>
  <c r="J11" i="4"/>
  <c r="J9" i="4"/>
  <c r="J7" i="4"/>
  <c r="J8" i="4"/>
  <c r="J10" i="4"/>
  <c r="J10" i="5"/>
  <c r="B32" i="5"/>
  <c r="B24" i="5"/>
  <c r="B37" i="5"/>
  <c r="B29" i="5"/>
  <c r="B21" i="5"/>
  <c r="B34" i="5"/>
  <c r="B26" i="5"/>
  <c r="B18" i="5"/>
  <c r="B31" i="5"/>
  <c r="B23" i="5"/>
  <c r="B36" i="5"/>
  <c r="B28" i="5"/>
  <c r="B20" i="5"/>
  <c r="B33" i="5"/>
  <c r="B25" i="5"/>
  <c r="B30" i="5"/>
  <c r="B22" i="5"/>
  <c r="B27" i="5"/>
  <c r="B19" i="5"/>
  <c r="B35" i="5"/>
  <c r="H7" i="5"/>
  <c r="J8" i="5"/>
  <c r="J9" i="5"/>
  <c r="B21" i="4"/>
  <c r="B25" i="4"/>
  <c r="B29" i="4"/>
  <c r="B22" i="4"/>
  <c r="B26" i="4"/>
  <c r="B30" i="4"/>
  <c r="B19" i="4"/>
  <c r="B23" i="4"/>
  <c r="B27" i="4"/>
  <c r="B31" i="4"/>
  <c r="B24" i="4"/>
  <c r="B37" i="4"/>
  <c r="B32" i="4"/>
  <c r="B36" i="4"/>
  <c r="B20" i="4"/>
  <c r="B33" i="4"/>
  <c r="B28" i="4"/>
  <c r="B34" i="4"/>
  <c r="B18" i="4"/>
  <c r="B35" i="4"/>
  <c r="J7" i="5"/>
  <c r="F8" i="5" l="1"/>
  <c r="F9" i="5" s="1"/>
  <c r="F9" i="4"/>
  <c r="F10" i="4" s="1"/>
  <c r="F11" i="4" s="1"/>
  <c r="G7" i="5"/>
  <c r="D33" i="4"/>
  <c r="C33" i="4"/>
  <c r="D23" i="4"/>
  <c r="C23" i="4"/>
  <c r="D35" i="5"/>
  <c r="C35" i="5"/>
  <c r="D28" i="5"/>
  <c r="C28" i="5"/>
  <c r="D29" i="5"/>
  <c r="C29" i="5"/>
  <c r="C31" i="4"/>
  <c r="D31" i="4"/>
  <c r="D28" i="4"/>
  <c r="C28" i="4"/>
  <c r="D21" i="4"/>
  <c r="C21" i="4"/>
  <c r="D20" i="5"/>
  <c r="C20" i="5"/>
  <c r="C20" i="4"/>
  <c r="D20" i="4"/>
  <c r="D19" i="4"/>
  <c r="C19" i="4"/>
  <c r="D19" i="5"/>
  <c r="C19" i="5"/>
  <c r="D36" i="5"/>
  <c r="C36" i="5"/>
  <c r="D37" i="5"/>
  <c r="C37" i="5"/>
  <c r="C30" i="4"/>
  <c r="D30" i="4"/>
  <c r="D27" i="5"/>
  <c r="C27" i="5"/>
  <c r="D23" i="5"/>
  <c r="C23" i="5"/>
  <c r="D24" i="5"/>
  <c r="C24" i="5"/>
  <c r="B38" i="4"/>
  <c r="B42" i="4"/>
  <c r="B46" i="4"/>
  <c r="B50" i="4"/>
  <c r="B39" i="4"/>
  <c r="B51" i="4"/>
  <c r="B43" i="4"/>
  <c r="B49" i="4"/>
  <c r="B40" i="4"/>
  <c r="B44" i="4"/>
  <c r="B48" i="4"/>
  <c r="B52" i="4"/>
  <c r="B56" i="4"/>
  <c r="B41" i="4"/>
  <c r="B57" i="4"/>
  <c r="B45" i="4"/>
  <c r="B53" i="4"/>
  <c r="B54" i="4"/>
  <c r="B47" i="4"/>
  <c r="B55" i="4"/>
  <c r="C36" i="4"/>
  <c r="D36" i="4"/>
  <c r="C32" i="4"/>
  <c r="D32" i="4"/>
  <c r="C26" i="4"/>
  <c r="D26" i="4"/>
  <c r="C22" i="5"/>
  <c r="D22" i="5"/>
  <c r="D32" i="5"/>
  <c r="C32" i="5"/>
  <c r="C37" i="4"/>
  <c r="D37" i="4"/>
  <c r="D22" i="4"/>
  <c r="C22" i="4"/>
  <c r="C30" i="5"/>
  <c r="D30" i="5"/>
  <c r="D18" i="5"/>
  <c r="C18" i="5"/>
  <c r="G7" i="4"/>
  <c r="D31" i="5"/>
  <c r="C31" i="5"/>
  <c r="D35" i="4"/>
  <c r="C35" i="4"/>
  <c r="D18" i="4"/>
  <c r="C18" i="4"/>
  <c r="D24" i="4"/>
  <c r="C24" i="4"/>
  <c r="D29" i="4"/>
  <c r="C29" i="4"/>
  <c r="B56" i="5"/>
  <c r="B48" i="5"/>
  <c r="B40" i="5"/>
  <c r="B53" i="5"/>
  <c r="B45" i="5"/>
  <c r="B50" i="5"/>
  <c r="B42" i="5"/>
  <c r="B55" i="5"/>
  <c r="B47" i="5"/>
  <c r="B39" i="5"/>
  <c r="B52" i="5"/>
  <c r="B44" i="5"/>
  <c r="B57" i="5"/>
  <c r="B49" i="5"/>
  <c r="B41" i="5"/>
  <c r="B54" i="5"/>
  <c r="B46" i="5"/>
  <c r="B38" i="5"/>
  <c r="B51" i="5"/>
  <c r="B43" i="5"/>
  <c r="D25" i="5"/>
  <c r="C25" i="5"/>
  <c r="D26" i="5"/>
  <c r="C26" i="5"/>
  <c r="D34" i="4"/>
  <c r="C34" i="4"/>
  <c r="D25" i="4"/>
  <c r="C25" i="4"/>
  <c r="D33" i="5"/>
  <c r="C33" i="5"/>
  <c r="D34" i="5"/>
  <c r="C34" i="5"/>
  <c r="C27" i="4"/>
  <c r="D27" i="4"/>
  <c r="D21" i="5"/>
  <c r="C21" i="5"/>
  <c r="F10" i="5" l="1"/>
  <c r="F11" i="5" s="1"/>
  <c r="D52" i="5"/>
  <c r="C52" i="5"/>
  <c r="C52" i="4"/>
  <c r="D52" i="4"/>
  <c r="C38" i="5"/>
  <c r="D38" i="5"/>
  <c r="D39" i="5"/>
  <c r="C39" i="5"/>
  <c r="D48" i="5"/>
  <c r="C48" i="5"/>
  <c r="C47" i="4"/>
  <c r="D47" i="4"/>
  <c r="C48" i="4"/>
  <c r="D48" i="4"/>
  <c r="D46" i="4"/>
  <c r="C46" i="4"/>
  <c r="D47" i="5"/>
  <c r="C47" i="5"/>
  <c r="C44" i="4"/>
  <c r="D44" i="4"/>
  <c r="D42" i="4"/>
  <c r="C42" i="4"/>
  <c r="C46" i="5"/>
  <c r="D46" i="5"/>
  <c r="D56" i="5"/>
  <c r="C56" i="5"/>
  <c r="C54" i="4"/>
  <c r="D54" i="4"/>
  <c r="C54" i="5"/>
  <c r="D54" i="5"/>
  <c r="D55" i="5"/>
  <c r="C55" i="5"/>
  <c r="C53" i="4"/>
  <c r="D53" i="4"/>
  <c r="D40" i="4"/>
  <c r="C40" i="4"/>
  <c r="D38" i="4"/>
  <c r="C38" i="4"/>
  <c r="C45" i="4"/>
  <c r="D45" i="4"/>
  <c r="D41" i="5"/>
  <c r="C41" i="5"/>
  <c r="D42" i="5"/>
  <c r="C42" i="5"/>
  <c r="D49" i="4"/>
  <c r="C49" i="4"/>
  <c r="D49" i="5"/>
  <c r="C49" i="5"/>
  <c r="D50" i="5"/>
  <c r="C50" i="5"/>
  <c r="H8" i="4"/>
  <c r="K10" i="4"/>
  <c r="K8" i="4"/>
  <c r="K11" i="4"/>
  <c r="K9" i="4"/>
  <c r="D57" i="4"/>
  <c r="C57" i="4"/>
  <c r="D43" i="4"/>
  <c r="C43" i="4"/>
  <c r="D45" i="5"/>
  <c r="C45" i="5"/>
  <c r="D51" i="4"/>
  <c r="C51" i="4"/>
  <c r="D57" i="5"/>
  <c r="C57" i="5"/>
  <c r="D41" i="4"/>
  <c r="C41" i="4"/>
  <c r="D43" i="5"/>
  <c r="C43" i="5"/>
  <c r="D44" i="5"/>
  <c r="C44" i="5"/>
  <c r="D53" i="5"/>
  <c r="C53" i="5"/>
  <c r="D56" i="4"/>
  <c r="C56" i="4"/>
  <c r="C39" i="4"/>
  <c r="D39" i="4"/>
  <c r="D51" i="5"/>
  <c r="C51" i="5"/>
  <c r="D40" i="5"/>
  <c r="C40" i="5"/>
  <c r="C55" i="4"/>
  <c r="D55" i="4"/>
  <c r="D50" i="4"/>
  <c r="C50" i="4"/>
  <c r="H8" i="5"/>
  <c r="K8" i="5"/>
  <c r="K11" i="5"/>
  <c r="K10" i="5"/>
  <c r="K9" i="5"/>
  <c r="G8" i="5" l="1"/>
  <c r="L11" i="5" s="1"/>
  <c r="B58" i="4"/>
  <c r="B62" i="4"/>
  <c r="B70" i="4"/>
  <c r="B59" i="4"/>
  <c r="B71" i="4"/>
  <c r="B63" i="4"/>
  <c r="B75" i="4"/>
  <c r="B68" i="4"/>
  <c r="B65" i="4"/>
  <c r="B77" i="4"/>
  <c r="B60" i="4"/>
  <c r="B64" i="4"/>
  <c r="B72" i="4"/>
  <c r="B76" i="4"/>
  <c r="B73" i="4"/>
  <c r="B69" i="4"/>
  <c r="B61" i="4"/>
  <c r="B66" i="4"/>
  <c r="B74" i="4"/>
  <c r="B67" i="4"/>
  <c r="G8" i="4"/>
  <c r="B72" i="5"/>
  <c r="B64" i="5"/>
  <c r="B77" i="5"/>
  <c r="B69" i="5"/>
  <c r="B61" i="5"/>
  <c r="B74" i="5"/>
  <c r="B66" i="5"/>
  <c r="B58" i="5"/>
  <c r="B71" i="5"/>
  <c r="B63" i="5"/>
  <c r="B76" i="5"/>
  <c r="B68" i="5"/>
  <c r="B60" i="5"/>
  <c r="B73" i="5"/>
  <c r="B65" i="5"/>
  <c r="B70" i="5"/>
  <c r="B62" i="5"/>
  <c r="B75" i="5"/>
  <c r="B67" i="5"/>
  <c r="B59" i="5"/>
  <c r="L9" i="5" l="1"/>
  <c r="H9" i="5"/>
  <c r="L10" i="5"/>
  <c r="C70" i="5"/>
  <c r="D70" i="5"/>
  <c r="D73" i="5"/>
  <c r="C73" i="5"/>
  <c r="D74" i="4"/>
  <c r="C74" i="4"/>
  <c r="C60" i="4"/>
  <c r="D60" i="4"/>
  <c r="D70" i="4"/>
  <c r="C70" i="4"/>
  <c r="D60" i="5"/>
  <c r="C60" i="5"/>
  <c r="D61" i="5"/>
  <c r="C61" i="5"/>
  <c r="D66" i="4"/>
  <c r="C66" i="4"/>
  <c r="C77" i="4"/>
  <c r="D77" i="4"/>
  <c r="D62" i="4"/>
  <c r="C62" i="4"/>
  <c r="D68" i="5"/>
  <c r="C68" i="5"/>
  <c r="D58" i="5"/>
  <c r="C58" i="5"/>
  <c r="D74" i="5"/>
  <c r="C74" i="5"/>
  <c r="D59" i="5"/>
  <c r="C59" i="5"/>
  <c r="D69" i="5"/>
  <c r="C69" i="5"/>
  <c r="C61" i="4"/>
  <c r="D61" i="4"/>
  <c r="D65" i="4"/>
  <c r="C65" i="4"/>
  <c r="D58" i="4"/>
  <c r="C58" i="4"/>
  <c r="D67" i="5"/>
  <c r="C67" i="5"/>
  <c r="D76" i="5"/>
  <c r="C76" i="5"/>
  <c r="D77" i="5"/>
  <c r="C77" i="5"/>
  <c r="C69" i="4"/>
  <c r="D69" i="4"/>
  <c r="C68" i="4"/>
  <c r="D68" i="4"/>
  <c r="C72" i="4"/>
  <c r="D72" i="4"/>
  <c r="D75" i="5"/>
  <c r="C75" i="5"/>
  <c r="D63" i="5"/>
  <c r="C63" i="5"/>
  <c r="D64" i="5"/>
  <c r="C64" i="5"/>
  <c r="D73" i="4"/>
  <c r="C73" i="4"/>
  <c r="D75" i="4"/>
  <c r="C75" i="4"/>
  <c r="C62" i="5"/>
  <c r="D62" i="5"/>
  <c r="D71" i="5"/>
  <c r="C71" i="5"/>
  <c r="D72" i="5"/>
  <c r="C72" i="5"/>
  <c r="C76" i="4"/>
  <c r="D76" i="4"/>
  <c r="C63" i="4"/>
  <c r="D63" i="4"/>
  <c r="H9" i="4"/>
  <c r="L9" i="4"/>
  <c r="L11" i="4"/>
  <c r="L10" i="4"/>
  <c r="C71" i="4"/>
  <c r="D71" i="4"/>
  <c r="D65" i="5"/>
  <c r="C65" i="5"/>
  <c r="D66" i="5"/>
  <c r="C66" i="5"/>
  <c r="D67" i="4"/>
  <c r="C67" i="4"/>
  <c r="D64" i="4"/>
  <c r="C64" i="4"/>
  <c r="D59" i="4"/>
  <c r="C59" i="4"/>
  <c r="B96" i="5"/>
  <c r="B88" i="5"/>
  <c r="B80" i="5"/>
  <c r="B93" i="5"/>
  <c r="B85" i="5"/>
  <c r="B90" i="5"/>
  <c r="B82" i="5"/>
  <c r="B95" i="5"/>
  <c r="B87" i="5"/>
  <c r="B79" i="5"/>
  <c r="B92" i="5"/>
  <c r="B84" i="5"/>
  <c r="B97" i="5"/>
  <c r="B89" i="5"/>
  <c r="B81" i="5"/>
  <c r="B94" i="5"/>
  <c r="B86" i="5"/>
  <c r="B78" i="5"/>
  <c r="B91" i="5"/>
  <c r="B83" i="5"/>
  <c r="G9" i="4" l="1"/>
  <c r="M11" i="4" s="1"/>
  <c r="G9" i="5"/>
  <c r="D97" i="5"/>
  <c r="C97" i="5"/>
  <c r="D85" i="5"/>
  <c r="C85" i="5"/>
  <c r="B112" i="5"/>
  <c r="B104" i="5"/>
  <c r="B117" i="5"/>
  <c r="B109" i="5"/>
  <c r="B101" i="5"/>
  <c r="B114" i="5"/>
  <c r="B106" i="5"/>
  <c r="B98" i="5"/>
  <c r="B111" i="5"/>
  <c r="B103" i="5"/>
  <c r="B116" i="5"/>
  <c r="B108" i="5"/>
  <c r="B100" i="5"/>
  <c r="B113" i="5"/>
  <c r="B105" i="5"/>
  <c r="B110" i="5"/>
  <c r="B102" i="5"/>
  <c r="B115" i="5"/>
  <c r="B107" i="5"/>
  <c r="B99" i="5"/>
  <c r="D91" i="5"/>
  <c r="C91" i="5"/>
  <c r="D80" i="5"/>
  <c r="C80" i="5"/>
  <c r="H10" i="4"/>
  <c r="D79" i="5"/>
  <c r="C79" i="5"/>
  <c r="D88" i="5"/>
  <c r="C88" i="5"/>
  <c r="D83" i="5"/>
  <c r="C83" i="5"/>
  <c r="D84" i="5"/>
  <c r="C84" i="5"/>
  <c r="D93" i="5"/>
  <c r="C93" i="5"/>
  <c r="D92" i="5"/>
  <c r="C92" i="5"/>
  <c r="C78" i="5"/>
  <c r="D78" i="5"/>
  <c r="C86" i="5"/>
  <c r="D86" i="5"/>
  <c r="D87" i="5"/>
  <c r="C87" i="5"/>
  <c r="D96" i="5"/>
  <c r="C96" i="5"/>
  <c r="D95" i="5"/>
  <c r="C95" i="5"/>
  <c r="D81" i="5"/>
  <c r="C81" i="5"/>
  <c r="D82" i="5"/>
  <c r="C82" i="5"/>
  <c r="C94" i="5"/>
  <c r="D94" i="5"/>
  <c r="D89" i="5"/>
  <c r="C89" i="5"/>
  <c r="D90" i="5"/>
  <c r="C90" i="5"/>
  <c r="B78" i="4"/>
  <c r="B86" i="4"/>
  <c r="B94" i="4"/>
  <c r="B91" i="4"/>
  <c r="B83" i="4"/>
  <c r="B95" i="4"/>
  <c r="B80" i="4"/>
  <c r="B92" i="4"/>
  <c r="B89" i="4"/>
  <c r="B84" i="4"/>
  <c r="B88" i="4"/>
  <c r="B96" i="4"/>
  <c r="B85" i="4"/>
  <c r="B81" i="4"/>
  <c r="B97" i="4"/>
  <c r="B93" i="4"/>
  <c r="B82" i="4"/>
  <c r="B90" i="4"/>
  <c r="B79" i="4"/>
  <c r="B87" i="4"/>
  <c r="M10" i="4" l="1"/>
  <c r="G10" i="4"/>
  <c r="M11" i="5"/>
  <c r="M10" i="5"/>
  <c r="H10" i="5"/>
  <c r="C95" i="4"/>
  <c r="D95" i="4"/>
  <c r="B98" i="4"/>
  <c r="B102" i="4"/>
  <c r="B106" i="4"/>
  <c r="B110" i="4"/>
  <c r="B114" i="4"/>
  <c r="B99" i="4"/>
  <c r="B103" i="4"/>
  <c r="B107" i="4"/>
  <c r="B111" i="4"/>
  <c r="B115" i="4"/>
  <c r="B100" i="4"/>
  <c r="B104" i="4"/>
  <c r="B108" i="4"/>
  <c r="B112" i="4"/>
  <c r="B116" i="4"/>
  <c r="B105" i="4"/>
  <c r="B109" i="4"/>
  <c r="B113" i="4"/>
  <c r="B117" i="4"/>
  <c r="B101" i="4"/>
  <c r="D99" i="5"/>
  <c r="C99" i="5"/>
  <c r="D108" i="5"/>
  <c r="C108" i="5"/>
  <c r="D109" i="5"/>
  <c r="C109" i="5"/>
  <c r="H11" i="4"/>
  <c r="D107" i="5"/>
  <c r="C107" i="5"/>
  <c r="D116" i="5"/>
  <c r="C116" i="5"/>
  <c r="D117" i="5"/>
  <c r="C117" i="5"/>
  <c r="C85" i="4"/>
  <c r="D85" i="4"/>
  <c r="D83" i="4"/>
  <c r="C83" i="4"/>
  <c r="C87" i="4"/>
  <c r="D87" i="4"/>
  <c r="D96" i="4"/>
  <c r="C96" i="4"/>
  <c r="D91" i="4"/>
  <c r="C91" i="4"/>
  <c r="D115" i="5"/>
  <c r="C115" i="5"/>
  <c r="D103" i="5"/>
  <c r="C103" i="5"/>
  <c r="D104" i="5"/>
  <c r="C104" i="5"/>
  <c r="C79" i="4"/>
  <c r="D79" i="4"/>
  <c r="C102" i="5"/>
  <c r="D102" i="5"/>
  <c r="D111" i="5"/>
  <c r="C111" i="5"/>
  <c r="D112" i="5"/>
  <c r="C112" i="5"/>
  <c r="C88" i="4"/>
  <c r="D88" i="4"/>
  <c r="D94" i="4"/>
  <c r="C94" i="4"/>
  <c r="D90" i="4"/>
  <c r="C90" i="4"/>
  <c r="C84" i="4"/>
  <c r="D84" i="4"/>
  <c r="C86" i="4"/>
  <c r="D86" i="4"/>
  <c r="C110" i="5"/>
  <c r="D110" i="5"/>
  <c r="D98" i="5"/>
  <c r="C98" i="5"/>
  <c r="D82" i="4"/>
  <c r="C82" i="4"/>
  <c r="D89" i="4"/>
  <c r="C89" i="4"/>
  <c r="D78" i="4"/>
  <c r="C78" i="4"/>
  <c r="D105" i="5"/>
  <c r="C105" i="5"/>
  <c r="D106" i="5"/>
  <c r="C106" i="5"/>
  <c r="D81" i="4"/>
  <c r="C81" i="4"/>
  <c r="C93" i="4"/>
  <c r="D93" i="4"/>
  <c r="C92" i="4"/>
  <c r="D92" i="4"/>
  <c r="D113" i="5"/>
  <c r="C113" i="5"/>
  <c r="D114" i="5"/>
  <c r="C114" i="5"/>
  <c r="D97" i="4"/>
  <c r="C97" i="4"/>
  <c r="D80" i="4"/>
  <c r="C80" i="4"/>
  <c r="N11" i="4"/>
  <c r="B136" i="5"/>
  <c r="B128" i="5"/>
  <c r="B120" i="5"/>
  <c r="B133" i="5"/>
  <c r="B125" i="5"/>
  <c r="B130" i="5"/>
  <c r="B122" i="5"/>
  <c r="B135" i="5"/>
  <c r="B127" i="5"/>
  <c r="B119" i="5"/>
  <c r="B132" i="5"/>
  <c r="B124" i="5"/>
  <c r="B137" i="5"/>
  <c r="B129" i="5"/>
  <c r="B121" i="5"/>
  <c r="B134" i="5"/>
  <c r="B126" i="5"/>
  <c r="B118" i="5"/>
  <c r="B131" i="5"/>
  <c r="B123" i="5"/>
  <c r="D100" i="5"/>
  <c r="C100" i="5"/>
  <c r="D101" i="5"/>
  <c r="C101" i="5"/>
  <c r="G10" i="5" l="1"/>
  <c r="H11" i="5" s="1"/>
  <c r="N11" i="5"/>
  <c r="G11" i="5" s="1"/>
  <c r="D123" i="5"/>
  <c r="C123" i="5"/>
  <c r="D124" i="5"/>
  <c r="C124" i="5"/>
  <c r="D133" i="5"/>
  <c r="C133" i="5"/>
  <c r="D112" i="4"/>
  <c r="C112" i="4"/>
  <c r="D99" i="4"/>
  <c r="C99" i="4"/>
  <c r="D127" i="5"/>
  <c r="C127" i="5"/>
  <c r="D132" i="5"/>
  <c r="C132" i="5"/>
  <c r="D120" i="5"/>
  <c r="C120" i="5"/>
  <c r="D108" i="4"/>
  <c r="C108" i="4"/>
  <c r="D114" i="4"/>
  <c r="C114" i="4"/>
  <c r="D137" i="5"/>
  <c r="C137" i="5"/>
  <c r="D131" i="5"/>
  <c r="C131" i="5"/>
  <c r="C118" i="5"/>
  <c r="D118" i="5"/>
  <c r="D119" i="5"/>
  <c r="C119" i="5"/>
  <c r="D128" i="5"/>
  <c r="C128" i="5"/>
  <c r="G11" i="4"/>
  <c r="C101" i="4"/>
  <c r="D101" i="4"/>
  <c r="D104" i="4"/>
  <c r="C104" i="4"/>
  <c r="D110" i="4"/>
  <c r="C110" i="4"/>
  <c r="B118" i="4"/>
  <c r="B122" i="4"/>
  <c r="B126" i="4"/>
  <c r="B130" i="4"/>
  <c r="B134" i="4"/>
  <c r="B119" i="4"/>
  <c r="B123" i="4"/>
  <c r="B127" i="4"/>
  <c r="B131" i="4"/>
  <c r="B135" i="4"/>
  <c r="B120" i="4"/>
  <c r="B124" i="4"/>
  <c r="B128" i="4"/>
  <c r="B132" i="4"/>
  <c r="B136" i="4"/>
  <c r="B129" i="4"/>
  <c r="B121" i="4"/>
  <c r="B133" i="4"/>
  <c r="B125" i="4"/>
  <c r="B137" i="4"/>
  <c r="D100" i="4"/>
  <c r="C100" i="4"/>
  <c r="D136" i="5"/>
  <c r="C136" i="5"/>
  <c r="C117" i="4"/>
  <c r="D117" i="4"/>
  <c r="D106" i="4"/>
  <c r="C106" i="4"/>
  <c r="C134" i="5"/>
  <c r="D134" i="5"/>
  <c r="D135" i="5"/>
  <c r="C135" i="5"/>
  <c r="D113" i="4"/>
  <c r="C113" i="4"/>
  <c r="D115" i="4"/>
  <c r="C115" i="4"/>
  <c r="D102" i="4"/>
  <c r="C102" i="4"/>
  <c r="C126" i="5"/>
  <c r="D126" i="5"/>
  <c r="B152" i="5"/>
  <c r="B144" i="5"/>
  <c r="B157" i="5"/>
  <c r="B149" i="5"/>
  <c r="B141" i="5"/>
  <c r="B154" i="5"/>
  <c r="B146" i="5"/>
  <c r="B138" i="5"/>
  <c r="B151" i="5"/>
  <c r="B143" i="5"/>
  <c r="B156" i="5"/>
  <c r="B148" i="5"/>
  <c r="B140" i="5"/>
  <c r="B153" i="5"/>
  <c r="B145" i="5"/>
  <c r="B158" i="5"/>
  <c r="B150" i="5"/>
  <c r="B142" i="5"/>
  <c r="B155" i="5"/>
  <c r="B147" i="5"/>
  <c r="B139" i="5"/>
  <c r="D109" i="4"/>
  <c r="C109" i="4"/>
  <c r="D111" i="4"/>
  <c r="C111" i="4"/>
  <c r="D98" i="4"/>
  <c r="C98" i="4"/>
  <c r="D121" i="5"/>
  <c r="C121" i="5"/>
  <c r="D122" i="5"/>
  <c r="C122" i="5"/>
  <c r="D129" i="5"/>
  <c r="C129" i="5"/>
  <c r="D130" i="5"/>
  <c r="C130" i="5"/>
  <c r="C105" i="4"/>
  <c r="D105" i="4"/>
  <c r="D107" i="4"/>
  <c r="C107" i="4"/>
  <c r="D125" i="5"/>
  <c r="C125" i="5"/>
  <c r="D116" i="4"/>
  <c r="C116" i="4"/>
  <c r="D103" i="4"/>
  <c r="C103" i="4"/>
  <c r="D156" i="5" l="1"/>
  <c r="C156" i="5"/>
  <c r="D125" i="4"/>
  <c r="C125" i="4"/>
  <c r="D120" i="4"/>
  <c r="C120" i="4"/>
  <c r="C126" i="4"/>
  <c r="D126" i="4"/>
  <c r="C142" i="5"/>
  <c r="D142" i="5"/>
  <c r="D143" i="5"/>
  <c r="C143" i="5"/>
  <c r="D144" i="5"/>
  <c r="C144" i="5"/>
  <c r="D133" i="4"/>
  <c r="C133" i="4"/>
  <c r="D135" i="4"/>
  <c r="C135" i="4"/>
  <c r="C122" i="4"/>
  <c r="D122" i="4"/>
  <c r="B141" i="4"/>
  <c r="B145" i="4"/>
  <c r="B149" i="4"/>
  <c r="B153" i="4"/>
  <c r="B157" i="4"/>
  <c r="B138" i="4"/>
  <c r="B142" i="4"/>
  <c r="B146" i="4"/>
  <c r="B150" i="4"/>
  <c r="B154" i="4"/>
  <c r="B158" i="4"/>
  <c r="B139" i="4"/>
  <c r="B143" i="4"/>
  <c r="B147" i="4"/>
  <c r="B151" i="4"/>
  <c r="B155" i="4"/>
  <c r="B144" i="4"/>
  <c r="B156" i="4"/>
  <c r="B148" i="4"/>
  <c r="B140" i="4"/>
  <c r="B152" i="4"/>
  <c r="D140" i="5"/>
  <c r="C140" i="5"/>
  <c r="D151" i="5"/>
  <c r="C151" i="5"/>
  <c r="D141" i="5"/>
  <c r="C141" i="5"/>
  <c r="C150" i="5"/>
  <c r="D150" i="5"/>
  <c r="D152" i="5"/>
  <c r="C152" i="5"/>
  <c r="D121" i="4"/>
  <c r="C121" i="4"/>
  <c r="C158" i="5"/>
  <c r="D158" i="5"/>
  <c r="D138" i="5"/>
  <c r="C138" i="5"/>
  <c r="D129" i="4"/>
  <c r="C129" i="4"/>
  <c r="D127" i="4"/>
  <c r="C127" i="4"/>
  <c r="D157" i="5"/>
  <c r="C157" i="5"/>
  <c r="D131" i="4"/>
  <c r="C131" i="4"/>
  <c r="D145" i="5"/>
  <c r="C145" i="5"/>
  <c r="D146" i="5"/>
  <c r="C146" i="5"/>
  <c r="D136" i="4"/>
  <c r="C136" i="4"/>
  <c r="D123" i="4"/>
  <c r="C123" i="4"/>
  <c r="D155" i="5"/>
  <c r="C155" i="5"/>
  <c r="D118" i="4"/>
  <c r="C118" i="4"/>
  <c r="D153" i="5"/>
  <c r="C153" i="5"/>
  <c r="D154" i="5"/>
  <c r="C154" i="5"/>
  <c r="D132" i="4"/>
  <c r="C132" i="4"/>
  <c r="D119" i="4"/>
  <c r="C119" i="4"/>
  <c r="D134" i="4"/>
  <c r="C134" i="4"/>
  <c r="D139" i="5"/>
  <c r="C139" i="5"/>
  <c r="D128" i="4"/>
  <c r="C128" i="4"/>
  <c r="D147" i="5"/>
  <c r="C147" i="5"/>
  <c r="D148" i="5"/>
  <c r="C148" i="5"/>
  <c r="D149" i="5"/>
  <c r="C149" i="5"/>
  <c r="D137" i="4"/>
  <c r="C137" i="4"/>
  <c r="C124" i="4"/>
  <c r="D124" i="4"/>
  <c r="C130" i="4"/>
  <c r="D130" i="4"/>
  <c r="C147" i="4" l="1"/>
  <c r="D147" i="4"/>
  <c r="D140" i="4"/>
  <c r="C140" i="4"/>
  <c r="C139" i="4"/>
  <c r="D139" i="4"/>
  <c r="D153" i="4"/>
  <c r="C153" i="4"/>
  <c r="D148" i="4"/>
  <c r="C148" i="4"/>
  <c r="D158" i="4"/>
  <c r="C158" i="4"/>
  <c r="C149" i="4"/>
  <c r="D149" i="4"/>
  <c r="C145" i="4"/>
  <c r="D145" i="4"/>
  <c r="D144" i="4"/>
  <c r="C144" i="4"/>
  <c r="D150" i="4"/>
  <c r="C150" i="4"/>
  <c r="C141" i="4"/>
  <c r="D141" i="4"/>
  <c r="D156" i="4"/>
  <c r="C156" i="4"/>
  <c r="D155" i="4"/>
  <c r="C155" i="4"/>
  <c r="D146" i="4"/>
  <c r="C146" i="4"/>
  <c r="D154" i="4"/>
  <c r="C154" i="4"/>
  <c r="D151" i="4"/>
  <c r="C151" i="4"/>
  <c r="D142" i="4"/>
  <c r="C142" i="4"/>
  <c r="D138" i="4"/>
  <c r="C138" i="4"/>
  <c r="D152" i="4"/>
  <c r="C152" i="4"/>
  <c r="D143" i="4"/>
  <c r="C143" i="4"/>
  <c r="C157" i="4"/>
  <c r="D157" i="4"/>
</calcChain>
</file>

<file path=xl/comments1.xml><?xml version="1.0" encoding="utf-8"?>
<comments xmlns="http://schemas.openxmlformats.org/spreadsheetml/2006/main">
  <authors>
    <author>Microsoft Office User</author>
  </authors>
  <commentList>
    <comment ref="F9" authorId="0" shapeId="0">
      <text>
        <r>
          <rPr>
            <b/>
            <sz val="10"/>
            <color indexed="81"/>
            <rFont val="Calibri"/>
          </rPr>
          <t>Negative survival probability. Market assumes company defaulted.</t>
        </r>
      </text>
    </comment>
  </commentList>
</comments>
</file>

<file path=xl/sharedStrings.xml><?xml version="1.0" encoding="utf-8"?>
<sst xmlns="http://schemas.openxmlformats.org/spreadsheetml/2006/main" count="43" uniqueCount="22">
  <si>
    <t>Maturity</t>
  </si>
  <si>
    <t>Z(0;T)</t>
  </si>
  <si>
    <t>L</t>
  </si>
  <si>
    <t>RR</t>
  </si>
  <si>
    <t>CDS of Wells Fargo (WFC) in bps</t>
  </si>
  <si>
    <t>Hazard rate</t>
  </si>
  <si>
    <t>Lamda</t>
  </si>
  <si>
    <t>pdf</t>
  </si>
  <si>
    <t>t</t>
  </si>
  <si>
    <t>𝝙 t</t>
  </si>
  <si>
    <t>1st term</t>
  </si>
  <si>
    <t>2nd Term</t>
  </si>
  <si>
    <t>3rd Term</t>
  </si>
  <si>
    <t>4th Term</t>
  </si>
  <si>
    <t>5th Term</t>
  </si>
  <si>
    <t>6th Term</t>
  </si>
  <si>
    <t>Interpolated Tenors</t>
  </si>
  <si>
    <t>cdf</t>
  </si>
  <si>
    <t>Survival Probability (check)</t>
  </si>
  <si>
    <t>CDS of Clear Channel Communications (CCMO) in bps</t>
  </si>
  <si>
    <t>Survival Probability (OWN CODED FUNCTION PrSurv())</t>
  </si>
  <si>
    <t>This is to check own coded function PrSurv() in VBA is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</si>
</sst>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%"/>
    <numFmt numFmtId="165" formatCode="0.000"/>
    <numFmt numFmtId="166" formatCode="0.0000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indexed="81"/>
      <name val="Calibri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9" fontId="0" fillId="0" borderId="0" xfId="0" applyNumberFormat="1" applyFill="1"/>
    <xf numFmtId="0" fontId="0" fillId="0" borderId="0" xfId="0" applyFill="1" applyAlignment="1">
      <alignment horizontal="center"/>
    </xf>
    <xf numFmtId="9" fontId="0" fillId="0" borderId="0" xfId="0" applyNumberFormat="1" applyFill="1" applyAlignment="1">
      <alignment horizontal="center"/>
    </xf>
    <xf numFmtId="10" fontId="0" fillId="0" borderId="0" xfId="1" applyNumberFormat="1" applyFont="1" applyFill="1"/>
    <xf numFmtId="0" fontId="0" fillId="2" borderId="0" xfId="0" applyFill="1"/>
    <xf numFmtId="0" fontId="2" fillId="0" borderId="0" xfId="0" applyFont="1" applyFill="1"/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164" fontId="0" fillId="0" borderId="1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9" fontId="0" fillId="0" borderId="5" xfId="0" applyNumberFormat="1" applyFill="1" applyBorder="1" applyAlignment="1">
      <alignment horizontal="center"/>
    </xf>
    <xf numFmtId="9" fontId="0" fillId="0" borderId="0" xfId="0" applyNumberFormat="1" applyFill="1" applyBorder="1" applyAlignment="1">
      <alignment horizontal="center"/>
    </xf>
    <xf numFmtId="10" fontId="0" fillId="0" borderId="5" xfId="0" applyNumberFormat="1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9" fontId="0" fillId="0" borderId="1" xfId="0" applyNumberForma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0" fontId="0" fillId="0" borderId="7" xfId="0" applyFill="1" applyBorder="1"/>
    <xf numFmtId="1" fontId="0" fillId="0" borderId="6" xfId="1" applyNumberFormat="1" applyFont="1" applyFill="1" applyBorder="1" applyAlignment="1">
      <alignment horizontal="center"/>
    </xf>
    <xf numFmtId="2" fontId="0" fillId="0" borderId="6" xfId="1" applyNumberFormat="1" applyFont="1" applyFill="1" applyBorder="1" applyAlignment="1">
      <alignment horizontal="center"/>
    </xf>
    <xf numFmtId="2" fontId="0" fillId="2" borderId="6" xfId="1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2" fillId="0" borderId="8" xfId="0" applyFont="1" applyFill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5" xfId="0" applyNumberFormat="1" applyFill="1" applyBorder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0" applyNumberFormat="1" applyFill="1"/>
    <xf numFmtId="166" fontId="0" fillId="0" borderId="0" xfId="0" applyNumberFormat="1" applyFill="1"/>
    <xf numFmtId="0" fontId="2" fillId="0" borderId="3" xfId="0" applyFont="1" applyFill="1" applyBorder="1" applyAlignment="1">
      <alignment horizontal="center" vertical="center" wrapText="1"/>
    </xf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10" fontId="0" fillId="0" borderId="15" xfId="0" applyNumberFormat="1" applyFill="1" applyBorder="1" applyAlignment="1">
      <alignment horizontal="center"/>
    </xf>
    <xf numFmtId="0" fontId="0" fillId="0" borderId="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0" fontId="0" fillId="2" borderId="0" xfId="1" applyNumberFormat="1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0" fontId="0" fillId="0" borderId="10" xfId="1" applyNumberFormat="1" applyFont="1" applyFill="1" applyBorder="1" applyAlignment="1">
      <alignment horizontal="center"/>
    </xf>
    <xf numFmtId="164" fontId="0" fillId="0" borderId="18" xfId="1" applyNumberFormat="1" applyFont="1" applyFill="1" applyBorder="1" applyAlignment="1">
      <alignment horizontal="center"/>
    </xf>
    <xf numFmtId="10" fontId="0" fillId="0" borderId="10" xfId="0" applyNumberFormat="1" applyFill="1" applyBorder="1" applyAlignment="1">
      <alignment horizontal="center"/>
    </xf>
    <xf numFmtId="10" fontId="0" fillId="0" borderId="19" xfId="0" applyNumberFormat="1" applyFill="1" applyBorder="1" applyAlignment="1">
      <alignment horizontal="center"/>
    </xf>
    <xf numFmtId="10" fontId="0" fillId="0" borderId="18" xfId="0" applyNumberFormat="1" applyFill="1" applyBorder="1" applyAlignment="1">
      <alignment horizontal="center"/>
    </xf>
    <xf numFmtId="2" fontId="0" fillId="0" borderId="20" xfId="1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3" xfId="0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Hazard Rates Term Structure (WFC)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WFC!$A$18:$A$158</c:f>
              <c:numCache>
                <c:formatCode>General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</c:numCache>
            </c:numRef>
          </c:xVal>
          <c:yVal>
            <c:numRef>
              <c:f>WFC!$B$18:$B$158</c:f>
              <c:numCache>
                <c:formatCode>0.000%</c:formatCode>
                <c:ptCount val="141"/>
                <c:pt idx="0">
                  <c:v>9.950330853168092E-3</c:v>
                </c:pt>
                <c:pt idx="1">
                  <c:v>9.950330853168092E-3</c:v>
                </c:pt>
                <c:pt idx="2">
                  <c:v>9.950330853168092E-3</c:v>
                </c:pt>
                <c:pt idx="3">
                  <c:v>9.950330853168092E-3</c:v>
                </c:pt>
                <c:pt idx="4">
                  <c:v>9.950330853168092E-3</c:v>
                </c:pt>
                <c:pt idx="5">
                  <c:v>9.950330853168092E-3</c:v>
                </c:pt>
                <c:pt idx="6">
                  <c:v>9.950330853168092E-3</c:v>
                </c:pt>
                <c:pt idx="7">
                  <c:v>9.950330853168092E-3</c:v>
                </c:pt>
                <c:pt idx="8">
                  <c:v>9.950330853168092E-3</c:v>
                </c:pt>
                <c:pt idx="9">
                  <c:v>9.950330853168092E-3</c:v>
                </c:pt>
                <c:pt idx="10">
                  <c:v>9.950330853168092E-3</c:v>
                </c:pt>
                <c:pt idx="11">
                  <c:v>9.950330853168092E-3</c:v>
                </c:pt>
                <c:pt idx="12">
                  <c:v>9.950330853168092E-3</c:v>
                </c:pt>
                <c:pt idx="13">
                  <c:v>9.950330853168092E-3</c:v>
                </c:pt>
                <c:pt idx="14">
                  <c:v>9.950330853168092E-3</c:v>
                </c:pt>
                <c:pt idx="15">
                  <c:v>9.950330853168092E-3</c:v>
                </c:pt>
                <c:pt idx="16">
                  <c:v>9.950330853168092E-3</c:v>
                </c:pt>
                <c:pt idx="17">
                  <c:v>9.950330853168092E-3</c:v>
                </c:pt>
                <c:pt idx="18">
                  <c:v>9.950330853168092E-3</c:v>
                </c:pt>
                <c:pt idx="19">
                  <c:v>9.950330853168092E-3</c:v>
                </c:pt>
                <c:pt idx="20">
                  <c:v>2.0870547363257917E-2</c:v>
                </c:pt>
                <c:pt idx="21">
                  <c:v>2.0870547363257917E-2</c:v>
                </c:pt>
                <c:pt idx="22">
                  <c:v>2.0870547363257917E-2</c:v>
                </c:pt>
                <c:pt idx="23">
                  <c:v>2.0870547363257917E-2</c:v>
                </c:pt>
                <c:pt idx="24">
                  <c:v>2.0870547363257917E-2</c:v>
                </c:pt>
                <c:pt idx="25">
                  <c:v>2.0870547363257917E-2</c:v>
                </c:pt>
                <c:pt idx="26">
                  <c:v>2.0870547363257917E-2</c:v>
                </c:pt>
                <c:pt idx="27">
                  <c:v>2.0870547363257917E-2</c:v>
                </c:pt>
                <c:pt idx="28">
                  <c:v>2.0870547363257917E-2</c:v>
                </c:pt>
                <c:pt idx="29">
                  <c:v>2.0870547363257917E-2</c:v>
                </c:pt>
                <c:pt idx="30">
                  <c:v>2.0870547363257917E-2</c:v>
                </c:pt>
                <c:pt idx="31">
                  <c:v>2.0870547363257917E-2</c:v>
                </c:pt>
                <c:pt idx="32">
                  <c:v>2.0870547363257917E-2</c:v>
                </c:pt>
                <c:pt idx="33">
                  <c:v>2.0870547363257917E-2</c:v>
                </c:pt>
                <c:pt idx="34">
                  <c:v>2.0870547363257917E-2</c:v>
                </c:pt>
                <c:pt idx="35">
                  <c:v>2.0870547363257917E-2</c:v>
                </c:pt>
                <c:pt idx="36">
                  <c:v>2.0870547363257917E-2</c:v>
                </c:pt>
                <c:pt idx="37">
                  <c:v>2.0870547363257917E-2</c:v>
                </c:pt>
                <c:pt idx="38">
                  <c:v>2.0870547363257917E-2</c:v>
                </c:pt>
                <c:pt idx="39">
                  <c:v>2.0870547363257917E-2</c:v>
                </c:pt>
                <c:pt idx="40">
                  <c:v>2.5785333137688705E-2</c:v>
                </c:pt>
                <c:pt idx="41">
                  <c:v>2.5785333137688705E-2</c:v>
                </c:pt>
                <c:pt idx="42">
                  <c:v>2.5785333137688705E-2</c:v>
                </c:pt>
                <c:pt idx="43">
                  <c:v>2.5785333137688705E-2</c:v>
                </c:pt>
                <c:pt idx="44">
                  <c:v>2.5785333137688705E-2</c:v>
                </c:pt>
                <c:pt idx="45">
                  <c:v>2.5785333137688705E-2</c:v>
                </c:pt>
                <c:pt idx="46">
                  <c:v>2.5785333137688705E-2</c:v>
                </c:pt>
                <c:pt idx="47">
                  <c:v>2.5785333137688705E-2</c:v>
                </c:pt>
                <c:pt idx="48">
                  <c:v>2.5785333137688705E-2</c:v>
                </c:pt>
                <c:pt idx="49">
                  <c:v>2.5785333137688705E-2</c:v>
                </c:pt>
                <c:pt idx="50">
                  <c:v>2.5785333137688705E-2</c:v>
                </c:pt>
                <c:pt idx="51">
                  <c:v>2.5785333137688705E-2</c:v>
                </c:pt>
                <c:pt idx="52">
                  <c:v>2.5785333137688705E-2</c:v>
                </c:pt>
                <c:pt idx="53">
                  <c:v>2.5785333137688705E-2</c:v>
                </c:pt>
                <c:pt idx="54">
                  <c:v>2.5785333137688705E-2</c:v>
                </c:pt>
                <c:pt idx="55">
                  <c:v>2.5785333137688705E-2</c:v>
                </c:pt>
                <c:pt idx="56">
                  <c:v>2.5785333137688705E-2</c:v>
                </c:pt>
                <c:pt idx="57">
                  <c:v>2.5785333137688705E-2</c:v>
                </c:pt>
                <c:pt idx="58">
                  <c:v>2.5785333137688705E-2</c:v>
                </c:pt>
                <c:pt idx="59">
                  <c:v>2.5785333137688705E-2</c:v>
                </c:pt>
                <c:pt idx="60">
                  <c:v>3.1825032958371594E-2</c:v>
                </c:pt>
                <c:pt idx="61">
                  <c:v>3.1825032958371594E-2</c:v>
                </c:pt>
                <c:pt idx="62">
                  <c:v>3.1825032958371594E-2</c:v>
                </c:pt>
                <c:pt idx="63">
                  <c:v>3.1825032958371594E-2</c:v>
                </c:pt>
                <c:pt idx="64">
                  <c:v>3.1825032958371594E-2</c:v>
                </c:pt>
                <c:pt idx="65">
                  <c:v>3.1825032958371594E-2</c:v>
                </c:pt>
                <c:pt idx="66">
                  <c:v>3.1825032958371594E-2</c:v>
                </c:pt>
                <c:pt idx="67">
                  <c:v>3.1825032958371594E-2</c:v>
                </c:pt>
                <c:pt idx="68">
                  <c:v>3.1825032958371594E-2</c:v>
                </c:pt>
                <c:pt idx="69">
                  <c:v>3.1825032958371594E-2</c:v>
                </c:pt>
                <c:pt idx="70">
                  <c:v>3.1825032958371594E-2</c:v>
                </c:pt>
                <c:pt idx="71">
                  <c:v>3.1825032958371594E-2</c:v>
                </c:pt>
                <c:pt idx="72">
                  <c:v>3.1825032958371594E-2</c:v>
                </c:pt>
                <c:pt idx="73">
                  <c:v>3.1825032958371594E-2</c:v>
                </c:pt>
                <c:pt idx="74">
                  <c:v>3.1825032958371594E-2</c:v>
                </c:pt>
                <c:pt idx="75">
                  <c:v>3.1825032958371594E-2</c:v>
                </c:pt>
                <c:pt idx="76">
                  <c:v>3.1825032958371594E-2</c:v>
                </c:pt>
                <c:pt idx="77">
                  <c:v>3.1825032958371594E-2</c:v>
                </c:pt>
                <c:pt idx="78">
                  <c:v>3.1825032958371594E-2</c:v>
                </c:pt>
                <c:pt idx="79">
                  <c:v>3.1825032958371594E-2</c:v>
                </c:pt>
                <c:pt idx="80">
                  <c:v>3.8792672689941604E-2</c:v>
                </c:pt>
                <c:pt idx="81">
                  <c:v>3.8792672689941604E-2</c:v>
                </c:pt>
                <c:pt idx="82">
                  <c:v>3.8792672689941604E-2</c:v>
                </c:pt>
                <c:pt idx="83">
                  <c:v>3.8792672689941604E-2</c:v>
                </c:pt>
                <c:pt idx="84">
                  <c:v>3.8792672689941604E-2</c:v>
                </c:pt>
                <c:pt idx="85">
                  <c:v>3.8792672689941604E-2</c:v>
                </c:pt>
                <c:pt idx="86">
                  <c:v>3.8792672689941604E-2</c:v>
                </c:pt>
                <c:pt idx="87">
                  <c:v>3.8792672689941604E-2</c:v>
                </c:pt>
                <c:pt idx="88">
                  <c:v>3.8792672689941604E-2</c:v>
                </c:pt>
                <c:pt idx="89">
                  <c:v>3.8792672689941604E-2</c:v>
                </c:pt>
                <c:pt idx="90">
                  <c:v>3.8792672689941604E-2</c:v>
                </c:pt>
                <c:pt idx="91">
                  <c:v>3.8792672689941604E-2</c:v>
                </c:pt>
                <c:pt idx="92">
                  <c:v>3.8792672689941604E-2</c:v>
                </c:pt>
                <c:pt idx="93">
                  <c:v>3.8792672689941604E-2</c:v>
                </c:pt>
                <c:pt idx="94">
                  <c:v>3.8792672689941604E-2</c:v>
                </c:pt>
                <c:pt idx="95">
                  <c:v>3.8792672689941604E-2</c:v>
                </c:pt>
                <c:pt idx="96">
                  <c:v>3.8792672689941604E-2</c:v>
                </c:pt>
                <c:pt idx="97">
                  <c:v>3.8792672689941604E-2</c:v>
                </c:pt>
                <c:pt idx="98">
                  <c:v>3.8792672689941604E-2</c:v>
                </c:pt>
                <c:pt idx="99">
                  <c:v>3.8792672689941604E-2</c:v>
                </c:pt>
                <c:pt idx="100">
                  <c:v>3.0178477294476452E-2</c:v>
                </c:pt>
                <c:pt idx="101">
                  <c:v>3.0178477294476452E-2</c:v>
                </c:pt>
                <c:pt idx="102">
                  <c:v>3.0178477294476452E-2</c:v>
                </c:pt>
                <c:pt idx="103">
                  <c:v>3.0178477294476452E-2</c:v>
                </c:pt>
                <c:pt idx="104">
                  <c:v>3.0178477294476452E-2</c:v>
                </c:pt>
                <c:pt idx="105">
                  <c:v>3.0178477294476452E-2</c:v>
                </c:pt>
                <c:pt idx="106">
                  <c:v>3.0178477294476452E-2</c:v>
                </c:pt>
                <c:pt idx="107">
                  <c:v>3.0178477294476452E-2</c:v>
                </c:pt>
                <c:pt idx="108">
                  <c:v>3.0178477294476452E-2</c:v>
                </c:pt>
                <c:pt idx="109">
                  <c:v>3.0178477294476452E-2</c:v>
                </c:pt>
                <c:pt idx="110">
                  <c:v>3.0178477294476452E-2</c:v>
                </c:pt>
                <c:pt idx="111">
                  <c:v>3.0178477294476452E-2</c:v>
                </c:pt>
                <c:pt idx="112">
                  <c:v>3.0178477294476452E-2</c:v>
                </c:pt>
                <c:pt idx="113">
                  <c:v>3.0178477294476452E-2</c:v>
                </c:pt>
                <c:pt idx="114">
                  <c:v>3.0178477294476452E-2</c:v>
                </c:pt>
                <c:pt idx="115">
                  <c:v>3.0178477294476452E-2</c:v>
                </c:pt>
                <c:pt idx="116">
                  <c:v>3.0178477294476452E-2</c:v>
                </c:pt>
                <c:pt idx="117">
                  <c:v>3.0178477294476452E-2</c:v>
                </c:pt>
                <c:pt idx="118">
                  <c:v>3.0178477294476452E-2</c:v>
                </c:pt>
                <c:pt idx="119">
                  <c:v>3.0178477294476452E-2</c:v>
                </c:pt>
                <c:pt idx="120">
                  <c:v>3.2079198146137286E-2</c:v>
                </c:pt>
                <c:pt idx="121">
                  <c:v>3.2079198146137286E-2</c:v>
                </c:pt>
                <c:pt idx="122">
                  <c:v>3.2079198146137286E-2</c:v>
                </c:pt>
                <c:pt idx="123">
                  <c:v>3.2079198146137286E-2</c:v>
                </c:pt>
                <c:pt idx="124">
                  <c:v>3.2079198146137286E-2</c:v>
                </c:pt>
                <c:pt idx="125">
                  <c:v>3.2079198146137286E-2</c:v>
                </c:pt>
                <c:pt idx="126">
                  <c:v>3.2079198146137286E-2</c:v>
                </c:pt>
                <c:pt idx="127">
                  <c:v>3.2079198146137286E-2</c:v>
                </c:pt>
                <c:pt idx="128">
                  <c:v>3.2079198146137286E-2</c:v>
                </c:pt>
                <c:pt idx="129">
                  <c:v>3.2079198146137286E-2</c:v>
                </c:pt>
                <c:pt idx="130">
                  <c:v>3.2079198146137286E-2</c:v>
                </c:pt>
                <c:pt idx="131">
                  <c:v>3.2079198146137286E-2</c:v>
                </c:pt>
                <c:pt idx="132">
                  <c:v>3.2079198146137286E-2</c:v>
                </c:pt>
                <c:pt idx="133">
                  <c:v>3.2079198146137286E-2</c:v>
                </c:pt>
                <c:pt idx="134">
                  <c:v>3.2079198146137286E-2</c:v>
                </c:pt>
                <c:pt idx="135">
                  <c:v>3.2079198146137286E-2</c:v>
                </c:pt>
                <c:pt idx="136">
                  <c:v>3.2079198146137286E-2</c:v>
                </c:pt>
                <c:pt idx="137">
                  <c:v>3.2079198146137286E-2</c:v>
                </c:pt>
                <c:pt idx="138">
                  <c:v>3.2079198146137286E-2</c:v>
                </c:pt>
                <c:pt idx="139">
                  <c:v>3.2079198146137286E-2</c:v>
                </c:pt>
                <c:pt idx="140">
                  <c:v>3.2079198146137286E-2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4-49C6-9FD5-F79239265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89444064"/>
        <c:axId val="-1795220960"/>
      </c:scatterChart>
      <c:valAx>
        <c:axId val="-1689444064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795220960"/>
        <c:crosses val="autoZero"/>
        <c:crossBetween val="midCat"/>
      </c:valAx>
      <c:valAx>
        <c:axId val="-17952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Hazard rates</a:t>
                </a:r>
                <a:r>
                  <a:rPr lang="en-US" sz="1400" baseline="0"/>
                  <a:t> (%)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879745767104701E-2"/>
              <c:y val="0.355009540562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89444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Piecewise Exponential PDF (WFC)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935138306974898"/>
          <c:y val="2.0967743932665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WFC!$A$18:$A$158</c:f>
              <c:numCache>
                <c:formatCode>General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</c:numCache>
            </c:numRef>
          </c:xVal>
          <c:yVal>
            <c:numRef>
              <c:f>WFC!$C$18:$C$158</c:f>
              <c:numCache>
                <c:formatCode>General</c:formatCode>
                <c:ptCount val="141"/>
                <c:pt idx="0">
                  <c:v>9.950330853168092E-3</c:v>
                </c:pt>
                <c:pt idx="1">
                  <c:v>9.9453816302259475E-3</c:v>
                </c:pt>
                <c:pt idx="2">
                  <c:v>9.9404348689916683E-3</c:v>
                </c:pt>
                <c:pt idx="3">
                  <c:v>9.9354905682408207E-3</c:v>
                </c:pt>
                <c:pt idx="4">
                  <c:v>9.9305487267495746E-3</c:v>
                </c:pt>
                <c:pt idx="5">
                  <c:v>9.9256093432947157E-3</c:v>
                </c:pt>
                <c:pt idx="6">
                  <c:v>9.9206724166536319E-3</c:v>
                </c:pt>
                <c:pt idx="7">
                  <c:v>9.9157379456043231E-3</c:v>
                </c:pt>
                <c:pt idx="8">
                  <c:v>9.9108059289253949E-3</c:v>
                </c:pt>
                <c:pt idx="9">
                  <c:v>9.9058763653960599E-3</c:v>
                </c:pt>
                <c:pt idx="10">
                  <c:v>9.900949253796143E-3</c:v>
                </c:pt>
                <c:pt idx="11">
                  <c:v>9.8960245929060678E-3</c:v>
                </c:pt>
                <c:pt idx="12">
                  <c:v>9.8911023815068718E-3</c:v>
                </c:pt>
                <c:pt idx="13">
                  <c:v>9.8861826183801928E-3</c:v>
                </c:pt>
                <c:pt idx="14">
                  <c:v>9.881265302308281E-3</c:v>
                </c:pt>
                <c:pt idx="15">
                  <c:v>9.8763504320739885E-3</c:v>
                </c:pt>
                <c:pt idx="16">
                  <c:v>9.8714380064607726E-3</c:v>
                </c:pt>
                <c:pt idx="17">
                  <c:v>9.8665280242526947E-3</c:v>
                </c:pt>
                <c:pt idx="18">
                  <c:v>9.8616204842344266E-3</c:v>
                </c:pt>
                <c:pt idx="19">
                  <c:v>9.8567153851912351E-3</c:v>
                </c:pt>
                <c:pt idx="20">
                  <c:v>2.0439481552573028E-2</c:v>
                </c:pt>
                <c:pt idx="21">
                  <c:v>2.0418163519092068E-2</c:v>
                </c:pt>
                <c:pt idx="22">
                  <c:v>2.0396867719959383E-2</c:v>
                </c:pt>
                <c:pt idx="23">
                  <c:v>2.037559413198493E-2</c:v>
                </c:pt>
                <c:pt idx="24">
                  <c:v>2.0354342732002848E-2</c:v>
                </c:pt>
                <c:pt idx="25">
                  <c:v>2.0333113496871429E-2</c:v>
                </c:pt>
                <c:pt idx="26">
                  <c:v>2.0311906403473117E-2</c:v>
                </c:pt>
                <c:pt idx="27">
                  <c:v>2.0290721428714454E-2</c:v>
                </c:pt>
                <c:pt idx="28">
                  <c:v>2.0269558549526074E-2</c:v>
                </c:pt>
                <c:pt idx="29">
                  <c:v>2.0248417742862672E-2</c:v>
                </c:pt>
                <c:pt idx="30">
                  <c:v>2.0227298985702975E-2</c:v>
                </c:pt>
                <c:pt idx="31">
                  <c:v>2.0206202255049731E-2</c:v>
                </c:pt>
                <c:pt idx="32">
                  <c:v>2.0185127527929655E-2</c:v>
                </c:pt>
                <c:pt idx="33">
                  <c:v>2.0164074781393444E-2</c:v>
                </c:pt>
                <c:pt idx="34">
                  <c:v>2.0143043992515715E-2</c:v>
                </c:pt>
                <c:pt idx="35">
                  <c:v>2.0122035138395004E-2</c:v>
                </c:pt>
                <c:pt idx="36">
                  <c:v>2.0101048196153732E-2</c:v>
                </c:pt>
                <c:pt idx="37">
                  <c:v>2.0080083142938177E-2</c:v>
                </c:pt>
                <c:pt idx="38">
                  <c:v>2.0059139955918456E-2</c:v>
                </c:pt>
                <c:pt idx="39">
                  <c:v>2.0038218612288498E-2</c:v>
                </c:pt>
                <c:pt idx="40">
                  <c:v>2.4489272902817487E-2</c:v>
                </c:pt>
                <c:pt idx="41">
                  <c:v>2.4457720044207428E-2</c:v>
                </c:pt>
                <c:pt idx="42">
                  <c:v>2.4426207839433455E-2</c:v>
                </c:pt>
                <c:pt idx="43">
                  <c:v>2.4394736236115707E-2</c:v>
                </c:pt>
                <c:pt idx="44">
                  <c:v>2.4363305181941807E-2</c:v>
                </c:pt>
                <c:pt idx="45">
                  <c:v>2.4331914624666783E-2</c:v>
                </c:pt>
                <c:pt idx="46">
                  <c:v>2.4300564512112981E-2</c:v>
                </c:pt>
                <c:pt idx="47">
                  <c:v>2.4269254792169962E-2</c:v>
                </c:pt>
                <c:pt idx="48">
                  <c:v>2.4237985412794445E-2</c:v>
                </c:pt>
                <c:pt idx="49">
                  <c:v>2.4206756322010185E-2</c:v>
                </c:pt>
                <c:pt idx="50">
                  <c:v>2.4175567467907919E-2</c:v>
                </c:pt>
                <c:pt idx="51">
                  <c:v>2.4144418798645262E-2</c:v>
                </c:pt>
                <c:pt idx="52">
                  <c:v>2.4113310262446619E-2</c:v>
                </c:pt>
                <c:pt idx="53">
                  <c:v>2.4082241807603114E-2</c:v>
                </c:pt>
                <c:pt idx="54">
                  <c:v>2.4051213382472486E-2</c:v>
                </c:pt>
                <c:pt idx="55">
                  <c:v>2.402022493547902E-2</c:v>
                </c:pt>
                <c:pt idx="56">
                  <c:v>2.3989276415113444E-2</c:v>
                </c:pt>
                <c:pt idx="57">
                  <c:v>2.3958367769932858E-2</c:v>
                </c:pt>
                <c:pt idx="58">
                  <c:v>2.3927498948560642E-2</c:v>
                </c:pt>
                <c:pt idx="59">
                  <c:v>2.3896669899686373E-2</c:v>
                </c:pt>
                <c:pt idx="60">
                  <c:v>2.892707712388895E-2</c:v>
                </c:pt>
                <c:pt idx="61">
                  <c:v>2.8881083468191279E-2</c:v>
                </c:pt>
                <c:pt idx="62">
                  <c:v>2.8835162941775055E-2</c:v>
                </c:pt>
                <c:pt idx="63">
                  <c:v>2.8789315428365724E-2</c:v>
                </c:pt>
                <c:pt idx="64">
                  <c:v>2.8743540811873611E-2</c:v>
                </c:pt>
                <c:pt idx="65">
                  <c:v>2.8697838976393608E-2</c:v>
                </c:pt>
                <c:pt idx="66">
                  <c:v>2.8652209806204913E-2</c:v>
                </c:pt>
                <c:pt idx="67">
                  <c:v>2.8606653185770711E-2</c:v>
                </c:pt>
                <c:pt idx="68">
                  <c:v>2.8561168999737877E-2</c:v>
                </c:pt>
                <c:pt idx="69">
                  <c:v>2.851575713293672E-2</c:v>
                </c:pt>
                <c:pt idx="70">
                  <c:v>2.8470417470380642E-2</c:v>
                </c:pt>
                <c:pt idx="71">
                  <c:v>2.8425149897265894E-2</c:v>
                </c:pt>
                <c:pt idx="72">
                  <c:v>2.8379954298971249E-2</c:v>
                </c:pt>
                <c:pt idx="73">
                  <c:v>2.833483056105773E-2</c:v>
                </c:pt>
                <c:pt idx="74">
                  <c:v>2.8289778569268318E-2</c:v>
                </c:pt>
                <c:pt idx="75">
                  <c:v>2.8244798209527664E-2</c:v>
                </c:pt>
                <c:pt idx="76">
                  <c:v>2.8199889367941787E-2</c:v>
                </c:pt>
                <c:pt idx="77">
                  <c:v>2.8155051930797804E-2</c:v>
                </c:pt>
                <c:pt idx="78">
                  <c:v>2.8110285784563635E-2</c:v>
                </c:pt>
                <c:pt idx="79">
                  <c:v>2.8065590815887706E-2</c:v>
                </c:pt>
                <c:pt idx="80">
                  <c:v>3.3216963354186793E-2</c:v>
                </c:pt>
                <c:pt idx="81">
                  <c:v>3.3152597058524934E-2</c:v>
                </c:pt>
                <c:pt idx="82">
                  <c:v>3.3088355488894577E-2</c:v>
                </c:pt>
                <c:pt idx="83">
                  <c:v>3.302423840360736E-2</c:v>
                </c:pt>
                <c:pt idx="84">
                  <c:v>3.2960245561443294E-2</c:v>
                </c:pt>
                <c:pt idx="85">
                  <c:v>3.28963767216498E-2</c:v>
                </c:pt>
                <c:pt idx="86">
                  <c:v>3.2832631643940811E-2</c:v>
                </c:pt>
                <c:pt idx="87">
                  <c:v>3.2769010088495885E-2</c:v>
                </c:pt>
                <c:pt idx="88">
                  <c:v>3.2705511815959286E-2</c:v>
                </c:pt>
                <c:pt idx="89">
                  <c:v>3.26421365874391E-2</c:v>
                </c:pt>
                <c:pt idx="90">
                  <c:v>3.2578884164506328E-2</c:v>
                </c:pt>
                <c:pt idx="91">
                  <c:v>3.2515754309193963E-2</c:v>
                </c:pt>
                <c:pt idx="92">
                  <c:v>3.2452746783996157E-2</c:v>
                </c:pt>
                <c:pt idx="93">
                  <c:v>3.2389861351867257E-2</c:v>
                </c:pt>
                <c:pt idx="94">
                  <c:v>3.2327097776220962E-2</c:v>
                </c:pt>
                <c:pt idx="95">
                  <c:v>3.2264455820929419E-2</c:v>
                </c:pt>
                <c:pt idx="96">
                  <c:v>3.2201935250322326E-2</c:v>
                </c:pt>
                <c:pt idx="97">
                  <c:v>3.2139535829186057E-2</c:v>
                </c:pt>
                <c:pt idx="98">
                  <c:v>3.2077257322762759E-2</c:v>
                </c:pt>
                <c:pt idx="99">
                  <c:v>3.2015099496749508E-2</c:v>
                </c:pt>
                <c:pt idx="100">
                  <c:v>2.5951686853000956E-2</c:v>
                </c:pt>
                <c:pt idx="101">
                  <c:v>2.5912557262589373E-2</c:v>
                </c:pt>
                <c:pt idx="102">
                  <c:v>2.587348667122685E-2</c:v>
                </c:pt>
                <c:pt idx="103">
                  <c:v>2.583447498995544E-2</c:v>
                </c:pt>
                <c:pt idx="104">
                  <c:v>2.5795522129951336E-2</c:v>
                </c:pt>
                <c:pt idx="105">
                  <c:v>2.5756628002524658E-2</c:v>
                </c:pt>
                <c:pt idx="106">
                  <c:v>2.5717792519119237E-2</c:v>
                </c:pt>
                <c:pt idx="107">
                  <c:v>2.567901559131245E-2</c:v>
                </c:pt>
                <c:pt idx="108">
                  <c:v>2.5640297130814976E-2</c:v>
                </c:pt>
                <c:pt idx="109">
                  <c:v>2.5601637049470626E-2</c:v>
                </c:pt>
                <c:pt idx="110">
                  <c:v>2.5563035259256128E-2</c:v>
                </c:pt>
                <c:pt idx="111">
                  <c:v>2.5524491672280939E-2</c:v>
                </c:pt>
                <c:pt idx="112">
                  <c:v>2.5486006200787024E-2</c:v>
                </c:pt>
                <c:pt idx="113">
                  <c:v>2.5447578757148669E-2</c:v>
                </c:pt>
                <c:pt idx="114">
                  <c:v>2.5409209253872293E-2</c:v>
                </c:pt>
                <c:pt idx="115">
                  <c:v>2.5370897603596222E-2</c:v>
                </c:pt>
                <c:pt idx="116">
                  <c:v>2.5332643719090518E-2</c:v>
                </c:pt>
                <c:pt idx="117">
                  <c:v>2.5294447513256754E-2</c:v>
                </c:pt>
                <c:pt idx="118">
                  <c:v>2.5256308899127836E-2</c:v>
                </c:pt>
                <c:pt idx="119">
                  <c:v>2.5218227789867806E-2</c:v>
                </c:pt>
                <c:pt idx="120">
                  <c:v>2.6462604842079504E-2</c:v>
                </c:pt>
                <c:pt idx="121">
                  <c:v>2.6420193906682415E-2</c:v>
                </c:pt>
                <c:pt idx="122">
                  <c:v>2.6377850942199448E-2</c:v>
                </c:pt>
                <c:pt idx="123">
                  <c:v>2.6335575839695376E-2</c:v>
                </c:pt>
                <c:pt idx="124">
                  <c:v>2.6293368490409547E-2</c:v>
                </c:pt>
                <c:pt idx="125">
                  <c:v>2.6251228785755625E-2</c:v>
                </c:pt>
                <c:pt idx="126">
                  <c:v>2.6209156617321303E-2</c:v>
                </c:pt>
                <c:pt idx="127">
                  <c:v>2.6167151876868019E-2</c:v>
                </c:pt>
                <c:pt idx="128">
                  <c:v>2.6125214456330679E-2</c:v>
                </c:pt>
                <c:pt idx="129">
                  <c:v>2.6083344247817393E-2</c:v>
                </c:pt>
                <c:pt idx="130">
                  <c:v>2.6041541143609178E-2</c:v>
                </c:pt>
                <c:pt idx="131">
                  <c:v>2.5999805036159694E-2</c:v>
                </c:pt>
                <c:pt idx="132">
                  <c:v>2.5958135818094964E-2</c:v>
                </c:pt>
                <c:pt idx="133">
                  <c:v>2.5916533382213083E-2</c:v>
                </c:pt>
                <c:pt idx="134">
                  <c:v>2.5874997621483972E-2</c:v>
                </c:pt>
                <c:pt idx="135">
                  <c:v>2.5833528429049086E-2</c:v>
                </c:pt>
                <c:pt idx="136">
                  <c:v>2.5792125698221129E-2</c:v>
                </c:pt>
                <c:pt idx="137">
                  <c:v>2.5750789322483793E-2</c:v>
                </c:pt>
                <c:pt idx="138">
                  <c:v>2.5709519195491481E-2</c:v>
                </c:pt>
                <c:pt idx="139">
                  <c:v>2.5668315211069041E-2</c:v>
                </c:pt>
                <c:pt idx="140">
                  <c:v>2.5627177263211478E-2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0-4942-A8F7-15348F515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7569024"/>
        <c:axId val="-1677565264"/>
      </c:scatterChart>
      <c:valAx>
        <c:axId val="-1677569024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565264"/>
        <c:crosses val="autoZero"/>
        <c:crossBetween val="midCat"/>
      </c:valAx>
      <c:valAx>
        <c:axId val="-167756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Piecewise Exponential PDF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56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Piecewise Exponential CDF (WFC)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935138306974898"/>
          <c:y val="2.0967743932665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WFC!$A$18:$A$158</c:f>
              <c:numCache>
                <c:formatCode>General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</c:numCache>
            </c:numRef>
          </c:xVal>
          <c:yVal>
            <c:numRef>
              <c:f>WFC!$D$18:$D$158</c:f>
              <c:numCache>
                <c:formatCode>0.000</c:formatCode>
                <c:ptCount val="141"/>
                <c:pt idx="0">
                  <c:v>0</c:v>
                </c:pt>
                <c:pt idx="1">
                  <c:v>4.9739280182514722E-4</c:v>
                </c:pt>
                <c:pt idx="2">
                  <c:v>9.945382040510431E-4</c:v>
                </c:pt>
                <c:pt idx="3">
                  <c:v>1.4914363297323652E-3</c:v>
                </c:pt>
                <c:pt idx="4">
                  <c:v>1.9880873018628398E-3</c:v>
                </c:pt>
                <c:pt idx="5">
                  <c:v>2.4844912433746869E-3</c:v>
                </c:pt>
                <c:pt idx="6">
                  <c:v>2.9806482771391751E-3</c:v>
                </c:pt>
                <c:pt idx="7">
                  <c:v>3.476558525966511E-3</c:v>
                </c:pt>
                <c:pt idx="8">
                  <c:v>3.9722221126057278E-3</c:v>
                </c:pt>
                <c:pt idx="9">
                  <c:v>4.4676391597449072E-3</c:v>
                </c:pt>
                <c:pt idx="10">
                  <c:v>4.962809790010847E-3</c:v>
                </c:pt>
                <c:pt idx="11">
                  <c:v>5.4577341259697265E-3</c:v>
                </c:pt>
                <c:pt idx="12">
                  <c:v>5.9524122901263299E-3</c:v>
                </c:pt>
                <c:pt idx="13">
                  <c:v>6.446844404924934E-3</c:v>
                </c:pt>
                <c:pt idx="14">
                  <c:v>6.9410305927486426E-3</c:v>
                </c:pt>
                <c:pt idx="15">
                  <c:v>7.4349709759197191E-3</c:v>
                </c:pt>
                <c:pt idx="16">
                  <c:v>7.9286656766996977E-3</c:v>
                </c:pt>
                <c:pt idx="17">
                  <c:v>8.4221148172891613E-3</c:v>
                </c:pt>
                <c:pt idx="18">
                  <c:v>8.9153185198280749E-3</c:v>
                </c:pt>
                <c:pt idx="19">
                  <c:v>9.4082769063955629E-3</c:v>
                </c:pt>
                <c:pt idx="20">
                  <c:v>2.0654264748406592E-2</c:v>
                </c:pt>
                <c:pt idx="21">
                  <c:v>2.167570578250666E-2</c:v>
                </c:pt>
                <c:pt idx="22">
                  <c:v>2.2696081470888196E-2</c:v>
                </c:pt>
                <c:pt idx="23">
                  <c:v>2.3715392924688605E-2</c:v>
                </c:pt>
                <c:pt idx="24">
                  <c:v>2.4733641253886551E-2</c:v>
                </c:pt>
                <c:pt idx="25">
                  <c:v>2.575082756730307E-2</c:v>
                </c:pt>
                <c:pt idx="26">
                  <c:v>2.6766952972602565E-2</c:v>
                </c:pt>
                <c:pt idx="27">
                  <c:v>2.7782018576294365E-2</c:v>
                </c:pt>
                <c:pt idx="28">
                  <c:v>2.8796025483733501E-2</c:v>
                </c:pt>
                <c:pt idx="29">
                  <c:v>2.9808974799122367E-2</c:v>
                </c:pt>
                <c:pt idx="30">
                  <c:v>3.0820867625511505E-2</c:v>
                </c:pt>
                <c:pt idx="31">
                  <c:v>3.1831705064801041E-2</c:v>
                </c:pt>
                <c:pt idx="32">
                  <c:v>3.2841488217742021E-2</c:v>
                </c:pt>
                <c:pt idx="33">
                  <c:v>3.3850218183937075E-2</c:v>
                </c:pt>
                <c:pt idx="34">
                  <c:v>3.4857896061842308E-2</c:v>
                </c:pt>
                <c:pt idx="35">
                  <c:v>3.5864522948767963E-2</c:v>
                </c:pt>
                <c:pt idx="36">
                  <c:v>3.6870099940879753E-2</c:v>
                </c:pt>
                <c:pt idx="37">
                  <c:v>3.7874628133200416E-2</c:v>
                </c:pt>
                <c:pt idx="38">
                  <c:v>3.8878108619610163E-2</c:v>
                </c:pt>
                <c:pt idx="39">
                  <c:v>3.988054249284867E-2</c:v>
                </c:pt>
                <c:pt idx="40">
                  <c:v>5.0263466752611063E-2</c:v>
                </c:pt>
                <c:pt idx="41">
                  <c:v>5.1487141406786563E-2</c:v>
                </c:pt>
                <c:pt idx="42">
                  <c:v>5.2709239434595712E-2</c:v>
                </c:pt>
                <c:pt idx="43">
                  <c:v>5.3929762867420794E-2</c:v>
                </c:pt>
                <c:pt idx="44">
                  <c:v>5.51487137340263E-2</c:v>
                </c:pt>
                <c:pt idx="45">
                  <c:v>5.6366094060563254E-2</c:v>
                </c:pt>
                <c:pt idx="46">
                  <c:v>5.7581905870571659E-2</c:v>
                </c:pt>
                <c:pt idx="47">
                  <c:v>5.8796151184984713E-2</c:v>
                </c:pt>
                <c:pt idx="48">
                  <c:v>6.0008832022131364E-2</c:v>
                </c:pt>
                <c:pt idx="49">
                  <c:v>6.1219950397740641E-2</c:v>
                </c:pt>
                <c:pt idx="50">
                  <c:v>6.2429508324943761E-2</c:v>
                </c:pt>
                <c:pt idx="51">
                  <c:v>6.3637507814278682E-2</c:v>
                </c:pt>
                <c:pt idx="52">
                  <c:v>6.4843950873692657E-2</c:v>
                </c:pt>
                <c:pt idx="53">
                  <c:v>6.6048839508545898E-2</c:v>
                </c:pt>
                <c:pt idx="54">
                  <c:v>6.7252175721614793E-2</c:v>
                </c:pt>
                <c:pt idx="55">
                  <c:v>6.8453961513095352E-2</c:v>
                </c:pt>
                <c:pt idx="56">
                  <c:v>6.9654198880606422E-2</c:v>
                </c:pt>
                <c:pt idx="57">
                  <c:v>7.0852889819193132E-2</c:v>
                </c:pt>
                <c:pt idx="58">
                  <c:v>7.2050036321329891E-2</c:v>
                </c:pt>
                <c:pt idx="59">
                  <c:v>7.3245640376924159E-2</c:v>
                </c:pt>
                <c:pt idx="60">
                  <c:v>9.1059004974897717E-2</c:v>
                </c:pt>
                <c:pt idx="61">
                  <c:v>9.2504208684751954E-2</c:v>
                </c:pt>
                <c:pt idx="62">
                  <c:v>9.3947114540538168E-2</c:v>
                </c:pt>
                <c:pt idx="63">
                  <c:v>9.5387726195812816E-2</c:v>
                </c:pt>
                <c:pt idx="64">
                  <c:v>9.6826047298323226E-2</c:v>
                </c:pt>
                <c:pt idx="65">
                  <c:v>9.8262081490016917E-2</c:v>
                </c:pt>
                <c:pt idx="66">
                  <c:v>9.9695832407050711E-2</c:v>
                </c:pt>
                <c:pt idx="67">
                  <c:v>0.10112730367979983</c:v>
                </c:pt>
                <c:pt idx="68">
                  <c:v>0.10255649893286767</c:v>
                </c:pt>
                <c:pt idx="69">
                  <c:v>0.10398342178509412</c:v>
                </c:pt>
                <c:pt idx="70">
                  <c:v>0.10540807584956535</c:v>
                </c:pt>
                <c:pt idx="71">
                  <c:v>0.10683046473362279</c:v>
                </c:pt>
                <c:pt idx="72">
                  <c:v>0.10825059203887211</c:v>
                </c:pt>
                <c:pt idx="73">
                  <c:v>0.10966846136119279</c:v>
                </c:pt>
                <c:pt idx="74">
                  <c:v>0.11108407629074657</c:v>
                </c:pt>
                <c:pt idx="75">
                  <c:v>0.11249744041198695</c:v>
                </c:pt>
                <c:pt idx="76">
                  <c:v>0.11390855730366845</c:v>
                </c:pt>
                <c:pt idx="77">
                  <c:v>0.11531743053885513</c:v>
                </c:pt>
                <c:pt idx="78">
                  <c:v>0.11672406368492994</c:v>
                </c:pt>
                <c:pt idx="79">
                  <c:v>0.11812846030360402</c:v>
                </c:pt>
                <c:pt idx="80">
                  <c:v>0.14373099219844465</c:v>
                </c:pt>
                <c:pt idx="81">
                  <c:v>0.1453902306885666</c:v>
                </c:pt>
                <c:pt idx="82">
                  <c:v>0.14704625398306415</c:v>
                </c:pt>
                <c:pt idx="83">
                  <c:v>0.14869906831219482</c:v>
                </c:pt>
                <c:pt idx="84">
                  <c:v>0.15034867989414336</c:v>
                </c:pt>
                <c:pt idx="85">
                  <c:v>0.15199509493504504</c:v>
                </c:pt>
                <c:pt idx="86">
                  <c:v>0.15363831962900942</c:v>
                </c:pt>
                <c:pt idx="87">
                  <c:v>0.15527836015814322</c:v>
                </c:pt>
                <c:pt idx="88">
                  <c:v>0.15691522269257396</c:v>
                </c:pt>
                <c:pt idx="89">
                  <c:v>0.15854891339047261</c:v>
                </c:pt>
                <c:pt idx="90">
                  <c:v>0.16017943839807736</c:v>
                </c:pt>
                <c:pt idx="91">
                  <c:v>0.16180680384971657</c:v>
                </c:pt>
                <c:pt idx="92">
                  <c:v>0.16343101586783171</c:v>
                </c:pt>
                <c:pt idx="93">
                  <c:v>0.16505208056300047</c:v>
                </c:pt>
                <c:pt idx="94">
                  <c:v>0.1666700040339596</c:v>
                </c:pt>
                <c:pt idx="95">
                  <c:v>0.16828479236762817</c:v>
                </c:pt>
                <c:pt idx="96">
                  <c:v>0.16989645163913036</c:v>
                </c:pt>
                <c:pt idx="97">
                  <c:v>0.17150498791181801</c:v>
                </c:pt>
                <c:pt idx="98">
                  <c:v>0.17311040723729398</c:v>
                </c:pt>
                <c:pt idx="99">
                  <c:v>0.17471271565543423</c:v>
                </c:pt>
                <c:pt idx="100">
                  <c:v>0.14005976511774243</c:v>
                </c:pt>
                <c:pt idx="101">
                  <c:v>0.14135637097461728</c:v>
                </c:pt>
                <c:pt idx="102">
                  <c:v>0.1426510218273187</c:v>
                </c:pt>
                <c:pt idx="103">
                  <c:v>0.14394372062357474</c:v>
                </c:pt>
                <c:pt idx="104">
                  <c:v>0.14523447030666869</c:v>
                </c:pt>
                <c:pt idx="105">
                  <c:v>0.14652327381544605</c:v>
                </c:pt>
                <c:pt idx="106">
                  <c:v>0.14781013408432142</c:v>
                </c:pt>
                <c:pt idx="107">
                  <c:v>0.1490950540432846</c:v>
                </c:pt>
                <c:pt idx="108">
                  <c:v>0.15037803661790772</c:v>
                </c:pt>
                <c:pt idx="109">
                  <c:v>0.15165908472935186</c:v>
                </c:pt>
                <c:pt idx="110">
                  <c:v>0.15293820129437363</c:v>
                </c:pt>
                <c:pt idx="111">
                  <c:v>0.1542153892253314</c:v>
                </c:pt>
                <c:pt idx="112">
                  <c:v>0.15549065143019292</c:v>
                </c:pt>
                <c:pt idx="113">
                  <c:v>0.156763990812541</c:v>
                </c:pt>
                <c:pt idx="114">
                  <c:v>0.15803541027158041</c:v>
                </c:pt>
                <c:pt idx="115">
                  <c:v>0.15930491270214486</c:v>
                </c:pt>
                <c:pt idx="116">
                  <c:v>0.16057250099470277</c:v>
                </c:pt>
                <c:pt idx="117">
                  <c:v>0.16183817803536493</c:v>
                </c:pt>
                <c:pt idx="118">
                  <c:v>0.16310194670589018</c:v>
                </c:pt>
                <c:pt idx="119">
                  <c:v>0.16436380988369215</c:v>
                </c:pt>
                <c:pt idx="120">
                  <c:v>0.17508521498795904</c:v>
                </c:pt>
                <c:pt idx="121">
                  <c:v>0.17640728467323874</c:v>
                </c:pt>
                <c:pt idx="122">
                  <c:v>0.17772723551147573</c:v>
                </c:pt>
                <c:pt idx="123">
                  <c:v>0.17904507089849164</c:v>
                </c:pt>
                <c:pt idx="124">
                  <c:v>0.18036079422466555</c:v>
                </c:pt>
                <c:pt idx="125">
                  <c:v>0.18167440887494302</c:v>
                </c:pt>
                <c:pt idx="126">
                  <c:v>0.18298591822884469</c:v>
                </c:pt>
                <c:pt idx="127">
                  <c:v>0.18429532566047468</c:v>
                </c:pt>
                <c:pt idx="128">
                  <c:v>0.18560263453852999</c:v>
                </c:pt>
                <c:pt idx="129">
                  <c:v>0.18690784822630813</c:v>
                </c:pt>
                <c:pt idx="130">
                  <c:v>0.18821097008171672</c:v>
                </c:pt>
                <c:pt idx="131">
                  <c:v>0.18951200345728159</c:v>
                </c:pt>
                <c:pt idx="132">
                  <c:v>0.19081095170015561</c:v>
                </c:pt>
                <c:pt idx="133">
                  <c:v>0.19210781815212741</c:v>
                </c:pt>
                <c:pt idx="134">
                  <c:v>0.19340260614962945</c:v>
                </c:pt>
                <c:pt idx="135">
                  <c:v>0.19469531902374726</c:v>
                </c:pt>
                <c:pt idx="136">
                  <c:v>0.19598596010022762</c:v>
                </c:pt>
                <c:pt idx="137">
                  <c:v>0.19727453269948736</c:v>
                </c:pt>
                <c:pt idx="138">
                  <c:v>0.19856104013662168</c:v>
                </c:pt>
                <c:pt idx="139">
                  <c:v>0.19984548572141259</c:v>
                </c:pt>
                <c:pt idx="140">
                  <c:v>0.20112787275833788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7-44AA-A179-EB7A132A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7543104"/>
        <c:axId val="-1677539344"/>
      </c:scatterChart>
      <c:valAx>
        <c:axId val="-1677543104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539344"/>
        <c:crosses val="autoZero"/>
        <c:crossBetween val="midCat"/>
      </c:valAx>
      <c:valAx>
        <c:axId val="-167753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Piecewise Exponential CDF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54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Hazard Rates Term Structure (CCMO)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CCMO!$A$18:$A$158</c:f>
              <c:numCache>
                <c:formatCode>General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</c:numCache>
            </c:numRef>
          </c:xVal>
          <c:yVal>
            <c:numRef>
              <c:f>CCMO!$B$18:$B$158</c:f>
              <c:numCache>
                <c:formatCode>0.000%</c:formatCode>
                <c:ptCount val="141"/>
                <c:pt idx="0">
                  <c:v>8.0145266516762639E-2</c:v>
                </c:pt>
                <c:pt idx="1">
                  <c:v>8.0145266516762639E-2</c:v>
                </c:pt>
                <c:pt idx="2">
                  <c:v>8.0145266516762639E-2</c:v>
                </c:pt>
                <c:pt idx="3">
                  <c:v>8.0145266516762639E-2</c:v>
                </c:pt>
                <c:pt idx="4">
                  <c:v>8.0145266516762639E-2</c:v>
                </c:pt>
                <c:pt idx="5">
                  <c:v>8.0145266516762639E-2</c:v>
                </c:pt>
                <c:pt idx="6">
                  <c:v>8.0145266516762639E-2</c:v>
                </c:pt>
                <c:pt idx="7">
                  <c:v>8.0145266516762639E-2</c:v>
                </c:pt>
                <c:pt idx="8">
                  <c:v>8.0145266516762639E-2</c:v>
                </c:pt>
                <c:pt idx="9">
                  <c:v>8.0145266516762639E-2</c:v>
                </c:pt>
                <c:pt idx="10">
                  <c:v>8.0145266516762639E-2</c:v>
                </c:pt>
                <c:pt idx="11">
                  <c:v>8.0145266516762639E-2</c:v>
                </c:pt>
                <c:pt idx="12">
                  <c:v>8.0145266516762639E-2</c:v>
                </c:pt>
                <c:pt idx="13">
                  <c:v>8.0145266516762639E-2</c:v>
                </c:pt>
                <c:pt idx="14">
                  <c:v>8.0145266516762639E-2</c:v>
                </c:pt>
                <c:pt idx="15">
                  <c:v>8.0145266516762639E-2</c:v>
                </c:pt>
                <c:pt idx="16">
                  <c:v>8.0145266516762639E-2</c:v>
                </c:pt>
                <c:pt idx="17">
                  <c:v>8.0145266516762639E-2</c:v>
                </c:pt>
                <c:pt idx="18">
                  <c:v>8.0145266516762639E-2</c:v>
                </c:pt>
                <c:pt idx="19">
                  <c:v>8.0145266516762639E-2</c:v>
                </c:pt>
                <c:pt idx="20">
                  <c:v>0.17013879046748315</c:v>
                </c:pt>
                <c:pt idx="21">
                  <c:v>0.17013879046748315</c:v>
                </c:pt>
                <c:pt idx="22">
                  <c:v>0.17013879046748315</c:v>
                </c:pt>
                <c:pt idx="23">
                  <c:v>0.17013879046748315</c:v>
                </c:pt>
                <c:pt idx="24">
                  <c:v>0.17013879046748315</c:v>
                </c:pt>
                <c:pt idx="25">
                  <c:v>0.17013879046748315</c:v>
                </c:pt>
                <c:pt idx="26">
                  <c:v>0.17013879046748315</c:v>
                </c:pt>
                <c:pt idx="27">
                  <c:v>0.17013879046748315</c:v>
                </c:pt>
                <c:pt idx="28">
                  <c:v>0.17013879046748315</c:v>
                </c:pt>
                <c:pt idx="29">
                  <c:v>0.17013879046748315</c:v>
                </c:pt>
                <c:pt idx="30">
                  <c:v>0.17013879046748315</c:v>
                </c:pt>
                <c:pt idx="31">
                  <c:v>0.17013879046748315</c:v>
                </c:pt>
                <c:pt idx="32">
                  <c:v>0.17013879046748315</c:v>
                </c:pt>
                <c:pt idx="33">
                  <c:v>0.17013879046748315</c:v>
                </c:pt>
                <c:pt idx="34">
                  <c:v>0.17013879046748315</c:v>
                </c:pt>
                <c:pt idx="35">
                  <c:v>0.17013879046748315</c:v>
                </c:pt>
                <c:pt idx="36">
                  <c:v>0.17013879046748315</c:v>
                </c:pt>
                <c:pt idx="37">
                  <c:v>0.17013879046748315</c:v>
                </c:pt>
                <c:pt idx="38">
                  <c:v>0.17013879046748315</c:v>
                </c:pt>
                <c:pt idx="39">
                  <c:v>0.17013879046748315</c:v>
                </c:pt>
                <c:pt idx="40">
                  <c:v>0.386634197143777</c:v>
                </c:pt>
                <c:pt idx="41">
                  <c:v>0.386634197143777</c:v>
                </c:pt>
                <c:pt idx="42">
                  <c:v>0.386634197143777</c:v>
                </c:pt>
                <c:pt idx="43">
                  <c:v>0.386634197143777</c:v>
                </c:pt>
                <c:pt idx="44">
                  <c:v>0.386634197143777</c:v>
                </c:pt>
                <c:pt idx="45">
                  <c:v>0.386634197143777</c:v>
                </c:pt>
                <c:pt idx="46">
                  <c:v>0.386634197143777</c:v>
                </c:pt>
                <c:pt idx="47">
                  <c:v>0.386634197143777</c:v>
                </c:pt>
                <c:pt idx="48">
                  <c:v>0.386634197143777</c:v>
                </c:pt>
                <c:pt idx="49">
                  <c:v>0.386634197143777</c:v>
                </c:pt>
                <c:pt idx="50">
                  <c:v>0.386634197143777</c:v>
                </c:pt>
                <c:pt idx="51">
                  <c:v>0.386634197143777</c:v>
                </c:pt>
                <c:pt idx="52">
                  <c:v>0.386634197143777</c:v>
                </c:pt>
                <c:pt idx="53">
                  <c:v>0.386634197143777</c:v>
                </c:pt>
                <c:pt idx="54">
                  <c:v>0.386634197143777</c:v>
                </c:pt>
                <c:pt idx="55">
                  <c:v>0.386634197143777</c:v>
                </c:pt>
                <c:pt idx="56">
                  <c:v>0.386634197143777</c:v>
                </c:pt>
                <c:pt idx="57">
                  <c:v>0.386634197143777</c:v>
                </c:pt>
                <c:pt idx="58">
                  <c:v>0.386634197143777</c:v>
                </c:pt>
                <c:pt idx="59">
                  <c:v>0.386634197143777</c:v>
                </c:pt>
                <c:pt idx="60">
                  <c:v>1.131961139758475</c:v>
                </c:pt>
                <c:pt idx="61">
                  <c:v>1.131961139758475</c:v>
                </c:pt>
                <c:pt idx="62">
                  <c:v>1.131961139758475</c:v>
                </c:pt>
                <c:pt idx="63">
                  <c:v>1.131961139758475</c:v>
                </c:pt>
                <c:pt idx="64">
                  <c:v>1.131961139758475</c:v>
                </c:pt>
                <c:pt idx="65">
                  <c:v>1.131961139758475</c:v>
                </c:pt>
                <c:pt idx="66">
                  <c:v>1.131961139758475</c:v>
                </c:pt>
                <c:pt idx="67">
                  <c:v>1.131961139758475</c:v>
                </c:pt>
                <c:pt idx="68">
                  <c:v>1.131961139758475</c:v>
                </c:pt>
                <c:pt idx="69">
                  <c:v>1.131961139758475</c:v>
                </c:pt>
                <c:pt idx="70">
                  <c:v>1.131961139758475</c:v>
                </c:pt>
                <c:pt idx="71">
                  <c:v>1.131961139758475</c:v>
                </c:pt>
                <c:pt idx="72">
                  <c:v>1.131961139758475</c:v>
                </c:pt>
                <c:pt idx="73">
                  <c:v>1.131961139758475</c:v>
                </c:pt>
                <c:pt idx="74">
                  <c:v>1.131961139758475</c:v>
                </c:pt>
                <c:pt idx="75">
                  <c:v>1.131961139758475</c:v>
                </c:pt>
                <c:pt idx="76">
                  <c:v>1.131961139758475</c:v>
                </c:pt>
                <c:pt idx="77">
                  <c:v>1.131961139758475</c:v>
                </c:pt>
                <c:pt idx="78">
                  <c:v>1.131961139758475</c:v>
                </c:pt>
                <c:pt idx="79">
                  <c:v>1.131961139758475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C-497C-B069-AB46D8453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7497456"/>
        <c:axId val="-1677493696"/>
      </c:scatterChart>
      <c:valAx>
        <c:axId val="-1677497456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493696"/>
        <c:crosses val="autoZero"/>
        <c:crossBetween val="midCat"/>
      </c:valAx>
      <c:valAx>
        <c:axId val="-167749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Hazard rates</a:t>
                </a:r>
                <a:r>
                  <a:rPr lang="en-US" sz="1400" baseline="0"/>
                  <a:t> (%)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879745767104701E-2"/>
              <c:y val="0.3550095405622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49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Piecewise Exponential PDF (CCMO)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935138306974898"/>
          <c:y val="2.0967743932665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CCMO!$A$18:$A$158</c:f>
              <c:numCache>
                <c:formatCode>General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</c:numCache>
            </c:numRef>
          </c:xVal>
          <c:yVal>
            <c:numRef>
              <c:f>CCMO!$C$18:$C$158</c:f>
              <c:numCache>
                <c:formatCode>General</c:formatCode>
                <c:ptCount val="141"/>
                <c:pt idx="0">
                  <c:v>8.0145266516762639E-2</c:v>
                </c:pt>
                <c:pt idx="1">
                  <c:v>7.9824745963553587E-2</c:v>
                </c:pt>
                <c:pt idx="2">
                  <c:v>7.950550725055161E-2</c:v>
                </c:pt>
                <c:pt idx="3">
                  <c:v>7.9187545251363761E-2</c:v>
                </c:pt>
                <c:pt idx="4">
                  <c:v>7.8870854860098719E-2</c:v>
                </c:pt>
                <c:pt idx="5">
                  <c:v>7.8555430991284925E-2</c:v>
                </c:pt>
                <c:pt idx="6">
                  <c:v>7.8241268579788831E-2</c:v>
                </c:pt>
                <c:pt idx="7">
                  <c:v>7.7928362580733643E-2</c:v>
                </c:pt>
                <c:pt idx="8">
                  <c:v>7.7616707969418219E-2</c:v>
                </c:pt>
                <c:pt idx="9">
                  <c:v>7.7306299741236456E-2</c:v>
                </c:pt>
                <c:pt idx="10">
                  <c:v>7.6997132911596877E-2</c:v>
                </c:pt>
                <c:pt idx="11">
                  <c:v>7.668920251584263E-2</c:v>
                </c:pt>
                <c:pt idx="12">
                  <c:v>7.6382503609171731E-2</c:v>
                </c:pt>
                <c:pt idx="13">
                  <c:v>7.6077031266557654E-2</c:v>
                </c:pt>
                <c:pt idx="14">
                  <c:v>7.5772780582670299E-2</c:v>
                </c:pt>
                <c:pt idx="15">
                  <c:v>7.5469746671797136E-2</c:v>
                </c:pt>
                <c:pt idx="16">
                  <c:v>7.516792466776484E-2</c:v>
                </c:pt>
                <c:pt idx="17">
                  <c:v>7.4867309723861075E-2</c:v>
                </c:pt>
                <c:pt idx="18">
                  <c:v>7.4567897012756706E-2</c:v>
                </c:pt>
                <c:pt idx="19">
                  <c:v>7.4269681726428283E-2</c:v>
                </c:pt>
                <c:pt idx="20">
                  <c:v>0.14352019083893602</c:v>
                </c:pt>
                <c:pt idx="21">
                  <c:v>0.14230445169647735</c:v>
                </c:pt>
                <c:pt idx="22">
                  <c:v>0.14109901090753857</c:v>
                </c:pt>
                <c:pt idx="23">
                  <c:v>0.13990378123623048</c:v>
                </c:pt>
                <c:pt idx="24">
                  <c:v>0.13871867618562653</c:v>
                </c:pt>
                <c:pt idx="25">
                  <c:v>0.1375436099915035</c:v>
                </c:pt>
                <c:pt idx="26">
                  <c:v>0.13637849761613466</c:v>
                </c:pt>
                <c:pt idx="27">
                  <c:v>0.13522325474213576</c:v>
                </c:pt>
                <c:pt idx="28">
                  <c:v>0.13407779776636317</c:v>
                </c:pt>
                <c:pt idx="29">
                  <c:v>0.13294204379386351</c:v>
                </c:pt>
                <c:pt idx="30">
                  <c:v>0.13181591063187492</c:v>
                </c:pt>
                <c:pt idx="31">
                  <c:v>0.13069931678387864</c:v>
                </c:pt>
                <c:pt idx="32">
                  <c:v>0.12959218144370141</c:v>
                </c:pt>
                <c:pt idx="33">
                  <c:v>0.1284944244896675</c:v>
                </c:pt>
                <c:pt idx="34">
                  <c:v>0.12740596647880054</c:v>
                </c:pt>
                <c:pt idx="35">
                  <c:v>0.12632672864107439</c:v>
                </c:pt>
                <c:pt idx="36">
                  <c:v>0.12525663287371255</c:v>
                </c:pt>
                <c:pt idx="37">
                  <c:v>0.12419560173553601</c:v>
                </c:pt>
                <c:pt idx="38">
                  <c:v>0.12314355844135903</c:v>
                </c:pt>
                <c:pt idx="39">
                  <c:v>0.12210042685643228</c:v>
                </c:pt>
                <c:pt idx="40">
                  <c:v>0.17843254394308186</c:v>
                </c:pt>
                <c:pt idx="41">
                  <c:v>0.17501626541931692</c:v>
                </c:pt>
                <c:pt idx="42">
                  <c:v>0.17166539513719906</c:v>
                </c:pt>
                <c:pt idx="43">
                  <c:v>0.1683786807872209</c:v>
                </c:pt>
                <c:pt idx="44">
                  <c:v>0.16515489403665617</c:v>
                </c:pt>
                <c:pt idx="45">
                  <c:v>0.16199283007049942</c:v>
                </c:pt>
                <c:pt idx="46">
                  <c:v>0.15889130714119407</c:v>
                </c:pt>
                <c:pt idx="47">
                  <c:v>0.15584916612698221</c:v>
                </c:pt>
                <c:pt idx="48">
                  <c:v>0.15286527009870993</c:v>
                </c:pt>
                <c:pt idx="49">
                  <c:v>0.14993850389492624</c:v>
                </c:pt>
                <c:pt idx="50">
                  <c:v>0.14706777370511806</c:v>
                </c:pt>
                <c:pt idx="51">
                  <c:v>0.14425200666092355</c:v>
                </c:pt>
                <c:pt idx="52">
                  <c:v>0.14149015043517296</c:v>
                </c:pt>
                <c:pt idx="53">
                  <c:v>0.13878117284860589</c:v>
                </c:pt>
                <c:pt idx="54">
                  <c:v>0.13612406148411821</c:v>
                </c:pt>
                <c:pt idx="55">
                  <c:v>0.13351782330839509</c:v>
                </c:pt>
                <c:pt idx="56">
                  <c:v>0.13096148430078774</c:v>
                </c:pt>
                <c:pt idx="57">
                  <c:v>0.12845408908929606</c:v>
                </c:pt>
                <c:pt idx="58">
                  <c:v>0.12599470059352066</c:v>
                </c:pt>
                <c:pt idx="59">
                  <c:v>0.12358239967445095</c:v>
                </c:pt>
                <c:pt idx="60">
                  <c:v>3.7933078309872449E-2</c:v>
                </c:pt>
                <c:pt idx="61">
                  <c:v>3.5845765864222563E-2</c:v>
                </c:pt>
                <c:pt idx="62">
                  <c:v>3.3873310251708456E-2</c:v>
                </c:pt>
                <c:pt idx="63">
                  <c:v>3.2009391339402574E-2</c:v>
                </c:pt>
                <c:pt idx="64">
                  <c:v>3.0248036767157788E-2</c:v>
                </c:pt>
                <c:pt idx="65">
                  <c:v>2.8583602810999465E-2</c:v>
                </c:pt>
                <c:pt idx="66">
                  <c:v>2.7010756299531806E-2</c:v>
                </c:pt>
                <c:pt idx="67">
                  <c:v>2.5524457525415281E-2</c:v>
                </c:pt>
                <c:pt idx="68">
                  <c:v>2.411994409716035E-2</c:v>
                </c:pt>
                <c:pt idx="69">
                  <c:v>2.2792715679495128E-2</c:v>
                </c:pt>
                <c:pt idx="70">
                  <c:v>2.1538519573412494E-2</c:v>
                </c:pt>
                <c:pt idx="71">
                  <c:v>2.0353337089692013E-2</c:v>
                </c:pt>
                <c:pt idx="72">
                  <c:v>1.9233370672235055E-2</c:v>
                </c:pt>
                <c:pt idx="73">
                  <c:v>1.8175031729953491E-2</c:v>
                </c:pt>
                <c:pt idx="74">
                  <c:v>1.7174929138223136E-2</c:v>
                </c:pt>
                <c:pt idx="75">
                  <c:v>1.622985837305831E-2</c:v>
                </c:pt>
                <c:pt idx="76">
                  <c:v>1.533679124319127E-2</c:v>
                </c:pt>
                <c:pt idx="77">
                  <c:v>1.4492866187156044E-2</c:v>
                </c:pt>
                <c:pt idx="78">
                  <c:v>1.3695379104286831E-2</c:v>
                </c:pt>
                <c:pt idx="79">
                  <c:v>1.2941774690251401E-2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08-443C-A4AC-D9FAC4DB7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7469696"/>
        <c:axId val="-1677465936"/>
      </c:scatterChart>
      <c:valAx>
        <c:axId val="-1677469696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465936"/>
        <c:crosses val="autoZero"/>
        <c:crossBetween val="midCat"/>
      </c:valAx>
      <c:valAx>
        <c:axId val="-167746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Piecewise Exponential PDF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46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Piecewise Exponential CDF (CCMO)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935138306974898"/>
          <c:y val="2.0967743932665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noFill/>
              </a:ln>
              <a:effectLst/>
            </c:spPr>
          </c:marker>
          <c:xVal>
            <c:numRef>
              <c:f>CCMO!$A$18:$A$158</c:f>
              <c:numCache>
                <c:formatCode>General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</c:numCache>
            </c:numRef>
          </c:xVal>
          <c:yVal>
            <c:numRef>
              <c:f>CCMO!$D$18:$D$158</c:f>
              <c:numCache>
                <c:formatCode>0.000</c:formatCode>
                <c:ptCount val="141"/>
                <c:pt idx="0">
                  <c:v>0</c:v>
                </c:pt>
                <c:pt idx="1">
                  <c:v>3.9992449602999081E-3</c:v>
                </c:pt>
                <c:pt idx="2">
                  <c:v>7.9824959603473911E-3</c:v>
                </c:pt>
                <c:pt idx="3">
                  <c:v>1.1949816963907289E-2</c:v>
                </c:pt>
                <c:pt idx="4">
                  <c:v>1.5901271678937734E-2</c:v>
                </c:pt>
                <c:pt idx="5">
                  <c:v>1.9836923558613329E-2</c:v>
                </c:pt>
                <c:pt idx="6">
                  <c:v>2.3756835802343668E-2</c:v>
                </c:pt>
                <c:pt idx="7">
                  <c:v>2.7661071356788414E-2</c:v>
                </c:pt>
                <c:pt idx="8">
                  <c:v>3.1549692916868155E-2</c:v>
                </c:pt>
                <c:pt idx="9">
                  <c:v>3.5422762926771267E-2</c:v>
                </c:pt>
                <c:pt idx="10">
                  <c:v>3.9280343580956445E-2</c:v>
                </c:pt>
                <c:pt idx="11">
                  <c:v>4.3122496825151457E-2</c:v>
                </c:pt>
                <c:pt idx="12">
                  <c:v>4.6949284357347798E-2</c:v>
                </c:pt>
                <c:pt idx="13">
                  <c:v>5.0760767628791892E-2</c:v>
                </c:pt>
                <c:pt idx="14">
                  <c:v>5.4557007844971417E-2</c:v>
                </c:pt>
                <c:pt idx="15">
                  <c:v>5.8338065966598296E-2</c:v>
                </c:pt>
                <c:pt idx="16">
                  <c:v>6.2104002710587691E-2</c:v>
                </c:pt>
                <c:pt idx="17">
                  <c:v>6.5854878551032892E-2</c:v>
                </c:pt>
                <c:pt idx="18">
                  <c:v>6.9590753720176424E-2</c:v>
                </c:pt>
                <c:pt idx="19">
                  <c:v>7.331168820937739E-2</c:v>
                </c:pt>
                <c:pt idx="20">
                  <c:v>0.15645226791261602</c:v>
                </c:pt>
                <c:pt idx="21">
                  <c:v>0.16359784088347262</c:v>
                </c:pt>
                <c:pt idx="22">
                  <c:v>0.17068288472107507</c:v>
                </c:pt>
                <c:pt idx="23">
                  <c:v>0.17770791215910975</c:v>
                </c:pt>
                <c:pt idx="24">
                  <c:v>0.18467343158796945</c:v>
                </c:pt>
                <c:pt idx="25">
                  <c:v>0.19157994709154358</c:v>
                </c:pt>
                <c:pt idx="26">
                  <c:v>0.19842795848369887</c:v>
                </c:pt>
                <c:pt idx="27">
                  <c:v>0.2052179613444497</c:v>
                </c:pt>
                <c:pt idx="28">
                  <c:v>0.21195044705582267</c:v>
                </c:pt>
                <c:pt idx="29">
                  <c:v>0.21862590283741712</c:v>
                </c:pt>
                <c:pt idx="30">
                  <c:v>0.22524481178166411</c:v>
                </c:pt>
                <c:pt idx="31">
                  <c:v>0.23180765288878769</c:v>
                </c:pt>
                <c:pt idx="32">
                  <c:v>0.23831490110146869</c:v>
                </c:pt>
                <c:pt idx="33">
                  <c:v>0.2447670273392164</c:v>
                </c:pt>
                <c:pt idx="34">
                  <c:v>0.25116449853244771</c:v>
                </c:pt>
                <c:pt idx="35">
                  <c:v>0.25750777765627819</c:v>
                </c:pt>
                <c:pt idx="36">
                  <c:v>0.26379732376402698</c:v>
                </c:pt>
                <c:pt idx="37">
                  <c:v>0.27003359202043808</c:v>
                </c:pt>
                <c:pt idx="38">
                  <c:v>0.27621703373461926</c:v>
                </c:pt>
                <c:pt idx="39">
                  <c:v>0.2823480963927032</c:v>
                </c:pt>
                <c:pt idx="40">
                  <c:v>0.53849777060271653</c:v>
                </c:pt>
                <c:pt idx="41">
                  <c:v>0.54733371566138544</c:v>
                </c:pt>
                <c:pt idx="42">
                  <c:v>0.55600048726842921</c:v>
                </c:pt>
                <c:pt idx="43">
                  <c:v>0.56450132442732115</c:v>
                </c:pt>
                <c:pt idx="44">
                  <c:v>0.57283940412741008</c:v>
                </c:pt>
                <c:pt idx="45">
                  <c:v>0.58101784253124555</c:v>
                </c:pt>
                <c:pt idx="46">
                  <c:v>0.58903969613917151</c:v>
                </c:pt>
                <c:pt idx="47">
                  <c:v>0.59690796293162118</c:v>
                </c:pt>
                <c:pt idx="48">
                  <c:v>0.60462558348954276</c:v>
                </c:pt>
                <c:pt idx="49">
                  <c:v>0.61219544209337262</c:v>
                </c:pt>
                <c:pt idx="50">
                  <c:v>0.61962036780096774</c:v>
                </c:pt>
                <c:pt idx="51">
                  <c:v>0.62690313550489996</c:v>
                </c:pt>
                <c:pt idx="52">
                  <c:v>0.63404646696950795</c:v>
                </c:pt>
                <c:pt idx="53">
                  <c:v>0.64105303184809181</c:v>
                </c:pt>
                <c:pt idx="54">
                  <c:v>0.64792544868063495</c:v>
                </c:pt>
                <c:pt idx="55">
                  <c:v>0.65466628587242104</c:v>
                </c:pt>
                <c:pt idx="56">
                  <c:v>0.66127806265391653</c:v>
                </c:pt>
                <c:pt idx="57">
                  <c:v>0.66776325002227344</c:v>
                </c:pt>
                <c:pt idx="58">
                  <c:v>0.67412427166480771</c:v>
                </c:pt>
                <c:pt idx="59">
                  <c:v>0.68036350486479447</c:v>
                </c:pt>
                <c:pt idx="60">
                  <c:v>0.96648906311574778</c:v>
                </c:pt>
                <c:pt idx="61">
                  <c:v>0.96833304200542525</c:v>
                </c:pt>
                <c:pt idx="62">
                  <c:v>0.97007555377834265</c:v>
                </c:pt>
                <c:pt idx="63">
                  <c:v>0.97172218178246617</c:v>
                </c:pt>
                <c:pt idx="64">
                  <c:v>0.97327820213544458</c:v>
                </c:pt>
                <c:pt idx="65">
                  <c:v>0.97474860063031998</c:v>
                </c:pt>
                <c:pt idx="66">
                  <c:v>0.97613808871098251</c:v>
                </c:pt>
                <c:pt idx="67">
                  <c:v>0.97745111856855671</c:v>
                </c:pt>
                <c:pt idx="68">
                  <c:v>0.97869189740709051</c:v>
                </c:pt>
                <c:pt idx="69">
                  <c:v>0.9798644009242593</c:v>
                </c:pt>
                <c:pt idx="70">
                  <c:v>0.98097238605027715</c:v>
                </c:pt>
                <c:pt idx="71">
                  <c:v>0.98201940298583501</c:v>
                </c:pt>
                <c:pt idx="72">
                  <c:v>0.98300880657763667</c:v>
                </c:pt>
                <c:pt idx="73">
                  <c:v>0.98394376706798303</c:v>
                </c:pt>
                <c:pt idx="74">
                  <c:v>0.98482728025284705</c:v>
                </c:pt>
                <c:pt idx="75">
                  <c:v>0.98566217708098947</c:v>
                </c:pt>
                <c:pt idx="76">
                  <c:v>0.98645113272487106</c:v>
                </c:pt>
                <c:pt idx="77">
                  <c:v>0.98719667515242759</c:v>
                </c:pt>
                <c:pt idx="78">
                  <c:v>0.98790119322717296</c:v>
                </c:pt>
                <c:pt idx="79">
                  <c:v>0.98856694436258408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B-4310-A8A2-EE6F818C8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77445520"/>
        <c:axId val="-1677441760"/>
      </c:scatterChart>
      <c:valAx>
        <c:axId val="-1677445520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441760"/>
        <c:crosses val="autoZero"/>
        <c:crossBetween val="midCat"/>
      </c:valAx>
      <c:valAx>
        <c:axId val="-167744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Piecewise Exponential CDF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44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Survival</a:t>
            </a:r>
            <a:r>
              <a:rPr lang="en-US" sz="1800" baseline="0"/>
              <a:t> Probabilities vs. Recovery Rates (WFG)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'WFC RR'!$B$2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RR'!$B$3:$B$10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0.99447513812154698</c:v>
                </c:pt>
                <c:pt idx="2">
                  <c:v>0.98298650137955457</c:v>
                </c:pt>
                <c:pt idx="3">
                  <c:v>0.96898829759983207</c:v>
                </c:pt>
                <c:pt idx="4">
                  <c:v>0.95202254491019478</c:v>
                </c:pt>
                <c:pt idx="5">
                  <c:v>0.93181739275482189</c:v>
                </c:pt>
                <c:pt idx="6">
                  <c:v>0.91632529436559673</c:v>
                </c:pt>
                <c:pt idx="7">
                  <c:v>0.9001733025769928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1-461D-8CAD-54C1B6E319E7}"/>
            </c:ext>
          </c:extLst>
        </c:ser>
        <c:ser>
          <c:idx val="1"/>
          <c:order val="1"/>
          <c:tx>
            <c:strRef>
              <c:f>'WFC RR'!$C$2</c:f>
              <c:strCache>
                <c:ptCount val="1"/>
                <c:pt idx="0">
                  <c:v>20%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RR'!$C$3:$C$10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0.99378881987577639</c:v>
                </c:pt>
                <c:pt idx="2">
                  <c:v>0.98088670433688663</c:v>
                </c:pt>
                <c:pt idx="3">
                  <c:v>0.96518945820635149</c:v>
                </c:pt>
                <c:pt idx="4">
                  <c:v>0.94619609804998539</c:v>
                </c:pt>
                <c:pt idx="5">
                  <c:v>0.92361889961632682</c:v>
                </c:pt>
                <c:pt idx="6">
                  <c:v>0.90636195142807152</c:v>
                </c:pt>
                <c:pt idx="7">
                  <c:v>0.88840311134627115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1-461D-8CAD-54C1B6E319E7}"/>
            </c:ext>
          </c:extLst>
        </c:ser>
        <c:ser>
          <c:idx val="2"/>
          <c:order val="2"/>
          <c:tx>
            <c:strRef>
              <c:f>'WFC RR'!$D$2</c:f>
              <c:strCache>
                <c:ptCount val="1"/>
                <c:pt idx="0">
                  <c:v>30%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RR'!$D$3:$D$10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0.99290780141843971</c:v>
                </c:pt>
                <c:pt idx="2">
                  <c:v>0.97819563494782069</c:v>
                </c:pt>
                <c:pt idx="3">
                  <c:v>0.96033011258321677</c:v>
                </c:pt>
                <c:pt idx="4">
                  <c:v>0.938759301536502</c:v>
                </c:pt>
                <c:pt idx="5">
                  <c:v>0.91318044607190441</c:v>
                </c:pt>
                <c:pt idx="6">
                  <c:v>0.89370747641207615</c:v>
                </c:pt>
                <c:pt idx="7">
                  <c:v>0.87349042082364958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1-461D-8CAD-54C1B6E319E7}"/>
            </c:ext>
          </c:extLst>
        </c:ser>
        <c:ser>
          <c:idx val="3"/>
          <c:order val="3"/>
          <c:tx>
            <c:strRef>
              <c:f>'WFC RR'!$E$2</c:f>
              <c:strCache>
                <c:ptCount val="1"/>
                <c:pt idx="0">
                  <c:v>40%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RR'!$E$3:$E$10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0.99173553719008267</c:v>
                </c:pt>
                <c:pt idx="2">
                  <c:v>0.97462263995621046</c:v>
                </c:pt>
                <c:pt idx="3">
                  <c:v>0.95389420523457125</c:v>
                </c:pt>
                <c:pt idx="4">
                  <c:v>0.92893775529845479</c:v>
                </c:pt>
                <c:pt idx="5">
                  <c:v>0.89943955884207294</c:v>
                </c:pt>
                <c:pt idx="6">
                  <c:v>0.877102831828798</c:v>
                </c:pt>
                <c:pt idx="7">
                  <c:v>0.85398552168890851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1-461D-8CAD-54C1B6E319E7}"/>
            </c:ext>
          </c:extLst>
        </c:ser>
        <c:ser>
          <c:idx val="4"/>
          <c:order val="4"/>
          <c:tx>
            <c:strRef>
              <c:f>'WFC RR'!$F$2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RR'!$F$3:$F$10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0.99009900990099009</c:v>
                </c:pt>
                <c:pt idx="2">
                  <c:v>0.96964924282335985</c:v>
                </c:pt>
                <c:pt idx="3">
                  <c:v>0.94496611303448885</c:v>
                </c:pt>
                <c:pt idx="4">
                  <c:v>0.91536604519418585</c:v>
                </c:pt>
                <c:pt idx="5">
                  <c:v>0.88053648343107904</c:v>
                </c:pt>
                <c:pt idx="6">
                  <c:v>0.85436019996693591</c:v>
                </c:pt>
                <c:pt idx="7">
                  <c:v>0.82738794694804185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D1-461D-8CAD-54C1B6E319E7}"/>
            </c:ext>
          </c:extLst>
        </c:ser>
        <c:ser>
          <c:idx val="5"/>
          <c:order val="5"/>
          <c:tx>
            <c:strRef>
              <c:f>'WFC RR'!$G$2</c:f>
              <c:strCache>
                <c:ptCount val="1"/>
                <c:pt idx="0">
                  <c:v>60%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RR'!$G$3:$G$10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0.98765432098765427</c:v>
                </c:pt>
                <c:pt idx="2">
                  <c:v>0.96225154610109476</c:v>
                </c:pt>
                <c:pt idx="3">
                  <c:v>0.93175126117548646</c:v>
                </c:pt>
                <c:pt idx="4">
                  <c:v>0.89539156579899093</c:v>
                </c:pt>
                <c:pt idx="5">
                  <c:v>0.85289525531212718</c:v>
                </c:pt>
                <c:pt idx="6">
                  <c:v>0.82131608245780718</c:v>
                </c:pt>
                <c:pt idx="7">
                  <c:v>0.78898937183859097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D1-461D-8CAD-54C1B6E319E7}"/>
            </c:ext>
          </c:extLst>
        </c:ser>
        <c:ser>
          <c:idx val="6"/>
          <c:order val="6"/>
          <c:tx>
            <c:strRef>
              <c:f>'WFC RR'!$H$2</c:f>
              <c:strCache>
                <c:ptCount val="1"/>
                <c:pt idx="0">
                  <c:v>70%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RR'!$H$3:$H$10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0.98360655737704916</c:v>
                </c:pt>
                <c:pt idx="2">
                  <c:v>0.95008603159528637</c:v>
                </c:pt>
                <c:pt idx="3">
                  <c:v>0.91018921625549787</c:v>
                </c:pt>
                <c:pt idx="4">
                  <c:v>0.86309297587711087</c:v>
                </c:pt>
                <c:pt idx="5">
                  <c:v>0.80865849299215753</c:v>
                </c:pt>
                <c:pt idx="6">
                  <c:v>0.76896684883659638</c:v>
                </c:pt>
                <c:pt idx="7">
                  <c:v>0.72877389692128436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6D1-461D-8CAD-54C1B6E319E7}"/>
            </c:ext>
          </c:extLst>
        </c:ser>
        <c:ser>
          <c:idx val="7"/>
          <c:order val="7"/>
          <c:tx>
            <c:strRef>
              <c:f>'WFC RR'!$I$2</c:f>
              <c:strCache>
                <c:ptCount val="1"/>
                <c:pt idx="0">
                  <c:v>80%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RR'!$I$3:$I$10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0.97560975609756095</c:v>
                </c:pt>
                <c:pt idx="2">
                  <c:v>0.92635405092821033</c:v>
                </c:pt>
                <c:pt idx="3">
                  <c:v>0.86873495239816978</c:v>
                </c:pt>
                <c:pt idx="4">
                  <c:v>0.80202813126148875</c:v>
                </c:pt>
                <c:pt idx="5">
                  <c:v>0.72660862567270224</c:v>
                </c:pt>
                <c:pt idx="6">
                  <c:v>0.67367985147357656</c:v>
                </c:pt>
                <c:pt idx="7">
                  <c:v>0.62121613007990983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6D1-461D-8CAD-54C1B6E319E7}"/>
            </c:ext>
          </c:extLst>
        </c:ser>
        <c:ser>
          <c:idx val="8"/>
          <c:order val="8"/>
          <c:tx>
            <c:strRef>
              <c:f>'WFC RR'!$J$2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'WFC RR'!$A$3:$A$10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'WFC RR'!$J$3:$J$10</c:f>
              <c:numCache>
                <c:formatCode>0.000</c:formatCode>
                <c:ptCount val="8"/>
                <c:pt idx="0" formatCode="General">
                  <c:v>1</c:v>
                </c:pt>
                <c:pt idx="1">
                  <c:v>0.95238095238095233</c:v>
                </c:pt>
                <c:pt idx="2">
                  <c:v>0.85965273720859559</c:v>
                </c:pt>
                <c:pt idx="3">
                  <c:v>0.75653615132596019</c:v>
                </c:pt>
                <c:pt idx="4">
                  <c:v>0.64373909047365419</c:v>
                </c:pt>
                <c:pt idx="5">
                  <c:v>0.52414252196789557</c:v>
                </c:pt>
                <c:pt idx="6">
                  <c:v>0.44960329435454932</c:v>
                </c:pt>
                <c:pt idx="7">
                  <c:v>0.3801473440841539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6D1-461D-8CAD-54C1B6E31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77377984"/>
        <c:axId val="-1677373952"/>
      </c:lineChart>
      <c:catAx>
        <c:axId val="-1677377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Maturity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373952"/>
        <c:crosses val="autoZero"/>
        <c:auto val="1"/>
        <c:lblAlgn val="ctr"/>
        <c:lblOffset val="100"/>
        <c:noMultiLvlLbl val="0"/>
      </c:catAx>
      <c:valAx>
        <c:axId val="-1677373952"/>
        <c:scaling>
          <c:orientation val="minMax"/>
          <c:max val="1"/>
          <c:min val="0.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Survival</a:t>
                </a:r>
                <a:r>
                  <a:rPr lang="en-US" sz="1400" baseline="0"/>
                  <a:t> Probability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2.22238068593692E-2"/>
              <c:y val="0.2731670485387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167737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1733591094494795E-2"/>
          <c:y val="0.891377661890149"/>
          <c:w val="0.88367120373558306"/>
          <c:h val="5.37575981153421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701431</xdr:colOff>
      <xdr:row>13</xdr:row>
      <xdr:rowOff>87926</xdr:rowOff>
    </xdr:from>
    <xdr:to>
      <xdr:col>14</xdr:col>
      <xdr:colOff>605692</xdr:colOff>
      <xdr:row>32</xdr:row>
      <xdr:rowOff>195385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1773691</xdr:colOff>
      <xdr:row>1</xdr:row>
      <xdr:rowOff>73955</xdr:rowOff>
    </xdr:from>
    <xdr:ext cx="3951078" cy="692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8758691" y="683555"/>
              <a:ext cx="3951078" cy="692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mr-IN" sz="16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600" b="0" i="1">
                            <a:latin typeface="Cambria Math" charset="0"/>
                          </a:rPr>
                          <m:t>𝑛</m:t>
                        </m:r>
                        <m:r>
                          <a:rPr lang="es-ES" sz="1600" b="0" i="1">
                            <a:latin typeface="Cambria Math" charset="0"/>
                          </a:rPr>
                          <m:t>=1</m:t>
                        </m:r>
                      </m:sub>
                      <m:sup>
                        <m:r>
                          <a:rPr lang="es-ES" sz="1600" b="0" i="1">
                            <a:latin typeface="Cambria Math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charset="0"/>
                          </a:rPr>
                          <m:t>−1</m:t>
                        </m:r>
                      </m:sup>
                      <m:e>
                        <m:r>
                          <a:rPr lang="es-ES" sz="1600" b="0" i="1">
                            <a:latin typeface="Cambria Math" charset="0"/>
                          </a:rPr>
                          <m:t>𝐷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600" b="0" i="1">
                                <a:latin typeface="Cambria Math" charset="0"/>
                              </a:rPr>
                              <m:t>0,</m:t>
                            </m:r>
                            <m:r>
                              <a:rPr lang="es-ES" sz="1600" b="0" i="1">
                                <a:latin typeface="Cambria Math" charset="0"/>
                              </a:rPr>
                              <m:t>𝑇𝑛</m:t>
                            </m:r>
                          </m:e>
                        </m:d>
                        <m:r>
                          <a:rPr lang="es-ES" sz="1600" b="0" i="1">
                            <a:latin typeface="Cambria Math" charset="0"/>
                          </a:rPr>
                          <m:t>[</m:t>
                        </m:r>
                        <m:r>
                          <a:rPr lang="es-ES" sz="1600" b="0" i="1">
                            <a:latin typeface="Cambria Math" charset="0"/>
                          </a:rPr>
                          <m:t>𝐿𝑃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𝑛</m:t>
                                </m:r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</a:rPr>
                          <m:t>−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600" b="0" i="1">
                                <a:latin typeface="Cambria Math" charset="0"/>
                              </a:rPr>
                              <m:t>𝐿</m:t>
                            </m:r>
                            <m:r>
                              <a:rPr lang="es-ES" sz="1600" b="0" i="1">
                                <a:latin typeface="Cambria Math" charset="0"/>
                              </a:rPr>
                              <m:t>+∆</m:t>
                            </m:r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charset="0"/>
                                    <a:cs typeface="Cambria Math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𝑛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charset="0"/>
                                    <a:cs typeface="Cambria Math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  <a:ea typeface="Cambria Math" charset="0"/>
                            <a:cs typeface="Cambria Math" charset="0"/>
                          </a:rPr>
                          <m:t>𝑃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charset="0"/>
                                    <a:cs typeface="Cambria Math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  <a:ea typeface="Cambria Math" charset="0"/>
                            <a:cs typeface="Cambria Math" charset="0"/>
                          </a:rPr>
                          <m:t>]</m:t>
                        </m:r>
                      </m:e>
                    </m:nary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8758691" y="683555"/>
              <a:ext cx="3951078" cy="692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mr-IN" sz="1600" i="0">
                  <a:latin typeface="Cambria Math" charset="0"/>
                </a:rPr>
                <a:t>∑</a:t>
              </a:r>
              <a:r>
                <a:rPr lang="es-ES" sz="1600" b="0" i="0">
                  <a:latin typeface="Cambria Math" charset="0"/>
                </a:rPr>
                <a:t>_</a:t>
              </a:r>
              <a:r>
                <a:rPr lang="mr-IN" sz="1600" b="0" i="0">
                  <a:latin typeface="Cambria Math" charset="0"/>
                </a:rPr>
                <a:t>(</a:t>
              </a:r>
              <a:r>
                <a:rPr lang="es-ES" sz="1600" b="0" i="0">
                  <a:latin typeface="Cambria Math" charset="0"/>
                </a:rPr>
                <a:t>𝑛=1</a:t>
              </a:r>
              <a:r>
                <a:rPr lang="mr-IN" sz="1600" b="0" i="0">
                  <a:latin typeface="Cambria Math" charset="0"/>
                </a:rPr>
                <a:t>)</a:t>
              </a:r>
              <a:r>
                <a:rPr lang="es-ES" sz="1600" b="0" i="0">
                  <a:latin typeface="Cambria Math" charset="0"/>
                </a:rPr>
                <a:t>^(𝑁−1)</a:t>
              </a:r>
              <a:r>
                <a:rPr lang="es-ES" sz="1600" b="0" i="0">
                  <a:latin typeface="Cambria Math" charset="0"/>
                  <a:ea typeface="Cambria Math" charset="0"/>
                  <a:cs typeface="Cambria Math" charset="0"/>
                </a:rPr>
                <a:t>▒〖</a:t>
              </a:r>
              <a:r>
                <a:rPr lang="es-ES" sz="1600" b="0" i="0">
                  <a:latin typeface="Cambria Math" charset="0"/>
                </a:rPr>
                <a:t>𝐷(0,𝑇𝑛)[𝐿𝑃(𝑇_(𝑛−1) )−(𝐿+∆</a:t>
              </a:r>
              <a:r>
                <a:rPr lang="es-ES" sz="1600" b="0" i="0">
                  <a:latin typeface="Cambria Math" charset="0"/>
                  <a:ea typeface="Cambria Math" charset="0"/>
                  <a:cs typeface="Cambria Math" charset="0"/>
                </a:rPr>
                <a:t>𝑡_𝑛 𝑆_𝑛 )𝑃(𝑇_𝑛 )]〗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7</xdr:col>
      <xdr:colOff>126999</xdr:colOff>
      <xdr:row>2</xdr:row>
      <xdr:rowOff>68386</xdr:rowOff>
    </xdr:from>
    <xdr:ext cx="1074616" cy="5215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683499" y="1503486"/>
              <a:ext cx="1074616" cy="521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mr-IN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600" i="1">
                            <a:latin typeface="Cambria Math" charset="0"/>
                          </a:rPr>
                          <m:t>𝑃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𝑁</m:t>
                                </m:r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</a:rPr>
                          <m:t>𝐿</m:t>
                        </m:r>
                      </m:num>
                      <m:den>
                        <m:r>
                          <a:rPr lang="es-ES" sz="1600" b="0" i="1">
                            <a:latin typeface="Cambria Math" charset="0"/>
                          </a:rPr>
                          <m:t>(</m:t>
                        </m:r>
                        <m:r>
                          <a:rPr lang="es-ES" sz="1600" b="0" i="1">
                            <a:latin typeface="Cambria Math" charset="0"/>
                          </a:rPr>
                          <m:t>𝐿</m:t>
                        </m:r>
                        <m:r>
                          <a:rPr lang="es-ES" sz="1600" b="0" i="1">
                            <a:latin typeface="Cambria Math" charset="0"/>
                          </a:rPr>
                          <m:t>+∆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𝑁</m:t>
                            </m:r>
                          </m:sub>
                        </m:sSub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𝑁</m:t>
                            </m:r>
                          </m:sub>
                        </m:sSub>
                        <m:r>
                          <a:rPr lang="es-ES" sz="1600" b="0" i="1">
                            <a:latin typeface="Cambria Math" charset="0"/>
                            <a:ea typeface="Cambria Math" charset="0"/>
                            <a:cs typeface="Cambria Math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683499" y="1503486"/>
              <a:ext cx="1074616" cy="521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600" i="0">
                  <a:latin typeface="Cambria Math" charset="0"/>
                </a:rPr>
                <a:t>𝑃</a:t>
              </a:r>
              <a:r>
                <a:rPr lang="es-ES" sz="1600" b="0" i="0">
                  <a:latin typeface="Cambria Math" charset="0"/>
                </a:rPr>
                <a:t>(𝑇_(𝑁−1) )𝐿</a:t>
              </a:r>
              <a:r>
                <a:rPr lang="mr-IN" sz="1600" b="0" i="0">
                  <a:latin typeface="Cambria Math" charset="0"/>
                </a:rPr>
                <a:t>/(</a:t>
              </a:r>
              <a:r>
                <a:rPr lang="es-ES" sz="1600" b="0" i="0">
                  <a:latin typeface="Cambria Math" charset="0"/>
                </a:rPr>
                <a:t>(𝐿+∆</a:t>
              </a:r>
              <a:r>
                <a:rPr lang="es-ES" sz="1600" b="0" i="0">
                  <a:latin typeface="Cambria Math" charset="0"/>
                  <a:ea typeface="Cambria Math" charset="0"/>
                  <a:cs typeface="Cambria Math" charset="0"/>
                </a:rPr>
                <a:t>𝑡_𝑁 𝑆_𝑁)</a:t>
              </a:r>
              <a:r>
                <a:rPr lang="mr-IN" sz="1600" b="0" i="0">
                  <a:latin typeface="Cambria Math" charset="0"/>
                  <a:ea typeface="Cambria Math" charset="0"/>
                  <a:cs typeface="Cambria Math" charset="0"/>
                </a:rPr>
                <a:t>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78152</xdr:colOff>
      <xdr:row>2</xdr:row>
      <xdr:rowOff>205155</xdr:rowOff>
    </xdr:from>
    <xdr:ext cx="1914770" cy="500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2752752" y="1640255"/>
              <a:ext cx="1914770" cy="5009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0" i="1">
                        <a:latin typeface="Cambria Math" charset="0"/>
                      </a:rPr>
                      <m:t>𝐷</m:t>
                    </m:r>
                    <m:d>
                      <m:d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600" b="0" i="1">
                            <a:latin typeface="Cambria Math" charset="0"/>
                          </a:rPr>
                          <m:t>0,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</a:rPr>
                              <m:t>𝑁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600" b="0" i="1">
                            <a:latin typeface="Cambria Math" charset="0"/>
                          </a:rPr>
                          <m:t>𝐿</m:t>
                        </m:r>
                        <m:r>
                          <a:rPr lang="es-ES" sz="1600" b="0" i="1">
                            <a:latin typeface="Cambria Math" charset="0"/>
                          </a:rPr>
                          <m:t>+∆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𝑁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ES" sz="1600" b="0">
                <a:ea typeface="Cambria Math" charset="0"/>
                <a:cs typeface="Cambria Math" charset="0"/>
              </a:endParaRPr>
            </a:p>
            <a:p>
              <a:endParaRPr lang="en-US" sz="16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2752752" y="1640255"/>
              <a:ext cx="1914770" cy="5009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600" b="0" i="0">
                  <a:latin typeface="Cambria Math" charset="0"/>
                </a:rPr>
                <a:t>𝐷(0,𝑇_𝑁 )(𝐿+∆</a:t>
              </a:r>
              <a:r>
                <a:rPr lang="es-ES" sz="1600" b="0" i="0">
                  <a:latin typeface="Cambria Math" charset="0"/>
                  <a:ea typeface="Cambria Math" charset="0"/>
                  <a:cs typeface="Cambria Math" charset="0"/>
                </a:rPr>
                <a:t>𝑡_𝑛 𝑆_𝑁 )</a:t>
              </a:r>
              <a:endParaRPr lang="es-ES" sz="1600" b="0">
                <a:ea typeface="Cambria Math" charset="0"/>
                <a:cs typeface="Cambria Math" charset="0"/>
              </a:endParaRPr>
            </a:p>
            <a:p>
              <a:endParaRPr lang="en-US" sz="1600"/>
            </a:p>
          </xdr:txBody>
        </xdr:sp>
      </mc:Fallback>
    </mc:AlternateContent>
    <xdr:clientData/>
  </xdr:oneCellAnchor>
  <xdr:twoCellAnchor>
    <xdr:from>
      <xdr:col>4</xdr:col>
      <xdr:colOff>791309</xdr:colOff>
      <xdr:row>32</xdr:row>
      <xdr:rowOff>166078</xdr:rowOff>
    </xdr:from>
    <xdr:to>
      <xdr:col>14</xdr:col>
      <xdr:colOff>957386</xdr:colOff>
      <xdr:row>56</xdr:row>
      <xdr:rowOff>87923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1367692</xdr:colOff>
      <xdr:row>32</xdr:row>
      <xdr:rowOff>97693</xdr:rowOff>
    </xdr:from>
    <xdr:to>
      <xdr:col>27</xdr:col>
      <xdr:colOff>87923</xdr:colOff>
      <xdr:row>56</xdr:row>
      <xdr:rowOff>19538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701431</xdr:colOff>
      <xdr:row>13</xdr:row>
      <xdr:rowOff>87926</xdr:rowOff>
    </xdr:from>
    <xdr:to>
      <xdr:col>14</xdr:col>
      <xdr:colOff>605692</xdr:colOff>
      <xdr:row>32</xdr:row>
      <xdr:rowOff>195385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1773691</xdr:colOff>
      <xdr:row>1</xdr:row>
      <xdr:rowOff>73955</xdr:rowOff>
    </xdr:from>
    <xdr:ext cx="3951078" cy="692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590291" y="73955"/>
              <a:ext cx="3951078" cy="692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mr-IN" sz="16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ES" sz="1600" b="0" i="1">
                            <a:latin typeface="Cambria Math" charset="0"/>
                          </a:rPr>
                          <m:t>𝑛</m:t>
                        </m:r>
                        <m:r>
                          <a:rPr lang="es-ES" sz="1600" b="0" i="1">
                            <a:latin typeface="Cambria Math" charset="0"/>
                          </a:rPr>
                          <m:t>=1</m:t>
                        </m:r>
                      </m:sub>
                      <m:sup>
                        <m:r>
                          <a:rPr lang="es-ES" sz="1600" b="0" i="1">
                            <a:latin typeface="Cambria Math" charset="0"/>
                          </a:rPr>
                          <m:t>𝑁</m:t>
                        </m:r>
                        <m:r>
                          <a:rPr lang="es-ES" sz="1600" b="0" i="1">
                            <a:latin typeface="Cambria Math" charset="0"/>
                          </a:rPr>
                          <m:t>−1</m:t>
                        </m:r>
                      </m:sup>
                      <m:e>
                        <m:r>
                          <a:rPr lang="es-ES" sz="1600" b="0" i="1">
                            <a:latin typeface="Cambria Math" charset="0"/>
                          </a:rPr>
                          <m:t>𝐷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600" b="0" i="1">
                                <a:latin typeface="Cambria Math" charset="0"/>
                              </a:rPr>
                              <m:t>0,</m:t>
                            </m:r>
                            <m:r>
                              <a:rPr lang="es-ES" sz="1600" b="0" i="1">
                                <a:latin typeface="Cambria Math" charset="0"/>
                              </a:rPr>
                              <m:t>𝑇𝑛</m:t>
                            </m:r>
                          </m:e>
                        </m:d>
                        <m:r>
                          <a:rPr lang="es-ES" sz="1600" b="0" i="1">
                            <a:latin typeface="Cambria Math" charset="0"/>
                          </a:rPr>
                          <m:t>[</m:t>
                        </m:r>
                        <m:r>
                          <a:rPr lang="es-ES" sz="1600" b="0" i="1">
                            <a:latin typeface="Cambria Math" charset="0"/>
                          </a:rPr>
                          <m:t>𝐿𝑃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𝑛</m:t>
                                </m:r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</a:rPr>
                          <m:t>−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s-ES" sz="1600" b="0" i="1">
                                <a:latin typeface="Cambria Math" charset="0"/>
                              </a:rPr>
                              <m:t>𝐿</m:t>
                            </m:r>
                            <m:r>
                              <a:rPr lang="es-ES" sz="1600" b="0" i="1">
                                <a:latin typeface="Cambria Math" charset="0"/>
                              </a:rPr>
                              <m:t>+∆</m:t>
                            </m:r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charset="0"/>
                                    <a:cs typeface="Cambria Math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𝑛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charset="0"/>
                                    <a:cs typeface="Cambria Math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  <a:ea typeface="Cambria Math" charset="0"/>
                            <a:cs typeface="Cambria Math" charset="0"/>
                          </a:rPr>
                          <m:t>𝑃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  <a:ea typeface="Cambria Math" charset="0"/>
                                    <a:cs typeface="Cambria Math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  <a:ea typeface="Cambria Math" charset="0"/>
                                    <a:cs typeface="Cambria Math" charset="0"/>
                                  </a:rPr>
                                  <m:t>𝑛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  <a:ea typeface="Cambria Math" charset="0"/>
                            <a:cs typeface="Cambria Math" charset="0"/>
                          </a:rPr>
                          <m:t>]</m:t>
                        </m:r>
                      </m:e>
                    </m:nary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7590291" y="73955"/>
              <a:ext cx="3951078" cy="692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mr-IN" sz="1600" i="0">
                  <a:latin typeface="Cambria Math" charset="0"/>
                </a:rPr>
                <a:t>∑24_(</a:t>
              </a:r>
              <a:r>
                <a:rPr lang="es-ES" sz="1600" b="0" i="0">
                  <a:latin typeface="Cambria Math" charset="0"/>
                </a:rPr>
                <a:t>𝑛=1</a:t>
              </a:r>
              <a:r>
                <a:rPr lang="mr-IN" sz="1600" b="0" i="0">
                  <a:latin typeface="Cambria Math" charset="0"/>
                </a:rPr>
                <a:t>)^(</a:t>
              </a:r>
              <a:r>
                <a:rPr lang="es-ES" sz="1600" b="0" i="0">
                  <a:latin typeface="Cambria Math" charset="0"/>
                </a:rPr>
                <a:t>𝑁−1</a:t>
              </a:r>
              <a:r>
                <a:rPr lang="mr-IN" sz="1600" b="0" i="0">
                  <a:latin typeface="Cambria Math" charset="0"/>
                </a:rPr>
                <a:t>)▒〖</a:t>
              </a:r>
              <a:r>
                <a:rPr lang="es-ES" sz="1600" b="0" i="0">
                  <a:latin typeface="Cambria Math" charset="0"/>
                </a:rPr>
                <a:t>𝐷(0,𝑇𝑛)[𝐿𝑃(𝑇_(𝑛−1) )−(𝐿+</a:t>
              </a:r>
              <a:r>
                <a:rPr lang="es-ES" sz="1600" b="0" i="0">
                  <a:latin typeface="Cambria Math" charset="0"/>
                  <a:ea typeface="Cambria Math" charset="0"/>
                  <a:cs typeface="Cambria Math" charset="0"/>
                </a:rPr>
                <a:t>∆𝑡_𝑛 𝑆_𝑛 )𝑃(𝑇_𝑛 )]</a:t>
              </a:r>
              <a:r>
                <a:rPr lang="mr-IN" sz="1600" b="0" i="0">
                  <a:latin typeface="Cambria Math" charset="0"/>
                  <a:ea typeface="Cambria Math" charset="0"/>
                  <a:cs typeface="Cambria Math" charset="0"/>
                </a:rPr>
                <a:t>〗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7</xdr:col>
      <xdr:colOff>126999</xdr:colOff>
      <xdr:row>2</xdr:row>
      <xdr:rowOff>68386</xdr:rowOff>
    </xdr:from>
    <xdr:ext cx="1074616" cy="5215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7365999" y="898771"/>
              <a:ext cx="1074616" cy="521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mr-IN" sz="16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600" i="1">
                            <a:latin typeface="Cambria Math" charset="0"/>
                          </a:rPr>
                          <m:t>𝑃</m:t>
                        </m:r>
                        <m:d>
                          <m:d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E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𝑁</m:t>
                                </m:r>
                                <m:r>
                                  <a:rPr lang="es-ES" sz="1600" b="0" i="1">
                                    <a:latin typeface="Cambria Math" charset="0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  <m:r>
                          <a:rPr lang="es-ES" sz="1600" b="0" i="1">
                            <a:latin typeface="Cambria Math" charset="0"/>
                          </a:rPr>
                          <m:t>𝐿</m:t>
                        </m:r>
                      </m:num>
                      <m:den>
                        <m:r>
                          <a:rPr lang="es-ES" sz="1600" b="0" i="1">
                            <a:latin typeface="Cambria Math" charset="0"/>
                          </a:rPr>
                          <m:t>(</m:t>
                        </m:r>
                        <m:r>
                          <a:rPr lang="es-ES" sz="1600" b="0" i="1">
                            <a:latin typeface="Cambria Math" charset="0"/>
                          </a:rPr>
                          <m:t>𝐿</m:t>
                        </m:r>
                        <m:r>
                          <a:rPr lang="es-ES" sz="1600" b="0" i="1">
                            <a:latin typeface="Cambria Math" charset="0"/>
                          </a:rPr>
                          <m:t>+∆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𝑁</m:t>
                            </m:r>
                          </m:sub>
                        </m:sSub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𝑁</m:t>
                            </m:r>
                          </m:sub>
                        </m:sSub>
                        <m:r>
                          <a:rPr lang="es-ES" sz="1600" b="0" i="1">
                            <a:latin typeface="Cambria Math" charset="0"/>
                            <a:ea typeface="Cambria Math" charset="0"/>
                            <a:cs typeface="Cambria Math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6197599" y="913424"/>
              <a:ext cx="1074616" cy="521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600" i="0">
                  <a:latin typeface="Cambria Math" charset="0"/>
                </a:rPr>
                <a:t>𝑃</a:t>
              </a:r>
              <a:r>
                <a:rPr lang="es-ES" sz="1600" b="0" i="0">
                  <a:latin typeface="Cambria Math" charset="0"/>
                </a:rPr>
                <a:t>(𝑇_(𝑁−1) )𝐿</a:t>
              </a:r>
              <a:r>
                <a:rPr lang="mr-IN" sz="1600" b="0" i="0">
                  <a:latin typeface="Cambria Math" charset="0"/>
                </a:rPr>
                <a:t>/(</a:t>
              </a:r>
              <a:r>
                <a:rPr lang="es-ES" sz="1600" b="0" i="0">
                  <a:latin typeface="Cambria Math" charset="0"/>
                </a:rPr>
                <a:t>(𝐿+∆</a:t>
              </a:r>
              <a:r>
                <a:rPr lang="es-ES" sz="1600" b="0" i="0">
                  <a:latin typeface="Cambria Math" charset="0"/>
                  <a:ea typeface="Cambria Math" charset="0"/>
                  <a:cs typeface="Cambria Math" charset="0"/>
                </a:rPr>
                <a:t>𝑡_𝑁 𝑆_𝑁)</a:t>
              </a:r>
              <a:r>
                <a:rPr lang="mr-IN" sz="1600" b="0" i="0">
                  <a:latin typeface="Cambria Math" charset="0"/>
                  <a:ea typeface="Cambria Math" charset="0"/>
                  <a:cs typeface="Cambria Math" charset="0"/>
                </a:rPr>
                <a:t>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78152</xdr:colOff>
      <xdr:row>2</xdr:row>
      <xdr:rowOff>205155</xdr:rowOff>
    </xdr:from>
    <xdr:ext cx="1914770" cy="500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1597052" y="1030655"/>
              <a:ext cx="1914770" cy="5009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0" i="1">
                        <a:latin typeface="Cambria Math" charset="0"/>
                      </a:rPr>
                      <m:t>𝐷</m:t>
                    </m:r>
                    <m:d>
                      <m:d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600" b="0" i="1">
                            <a:latin typeface="Cambria Math" charset="0"/>
                          </a:rPr>
                          <m:t>0,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</a:rPr>
                              <m:t>𝑁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s-E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ES" sz="1600" b="0" i="1">
                            <a:latin typeface="Cambria Math" charset="0"/>
                          </a:rPr>
                          <m:t>𝐿</m:t>
                        </m:r>
                        <m:r>
                          <a:rPr lang="es-ES" sz="1600" b="0" i="1">
                            <a:latin typeface="Cambria Math" charset="0"/>
                          </a:rPr>
                          <m:t>+∆</m:t>
                        </m:r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s-ES" sz="1600" b="0" i="1">
                                <a:latin typeface="Cambria Math" panose="02040503050406030204" pitchFamily="18" charset="0"/>
                                <a:ea typeface="Cambria Math" charset="0"/>
                                <a:cs typeface="Cambria Math" charset="0"/>
                              </a:rPr>
                            </m:ctrlPr>
                          </m:sSubPr>
                          <m:e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s-ES" sz="1600" b="0" i="1">
                                <a:latin typeface="Cambria Math" charset="0"/>
                                <a:ea typeface="Cambria Math" charset="0"/>
                                <a:cs typeface="Cambria Math" charset="0"/>
                              </a:rPr>
                              <m:t>𝑁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ES" sz="1600" b="0">
                <a:ea typeface="Cambria Math" charset="0"/>
                <a:cs typeface="Cambria Math" charset="0"/>
              </a:endParaRPr>
            </a:p>
            <a:p>
              <a:endParaRPr lang="en-US" sz="16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1597052" y="1030655"/>
              <a:ext cx="1914770" cy="5009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600" b="0" i="0">
                  <a:latin typeface="Cambria Math" charset="0"/>
                </a:rPr>
                <a:t>𝐷(0,𝑇_𝑁 )(𝐿+</a:t>
              </a:r>
              <a:r>
                <a:rPr lang="es-ES" sz="1600" b="0" i="0">
                  <a:latin typeface="Cambria Math" charset="0"/>
                  <a:ea typeface="Cambria Math" charset="0"/>
                  <a:cs typeface="Cambria Math" charset="0"/>
                </a:rPr>
                <a:t>∆𝑡_𝑛 𝑆_𝑁 )</a:t>
              </a:r>
              <a:endParaRPr lang="es-ES" sz="1600" b="0">
                <a:ea typeface="Cambria Math" charset="0"/>
                <a:cs typeface="Cambria Math" charset="0"/>
              </a:endParaRPr>
            </a:p>
            <a:p>
              <a:endParaRPr lang="en-US" sz="1600"/>
            </a:p>
          </xdr:txBody>
        </xdr:sp>
      </mc:Fallback>
    </mc:AlternateContent>
    <xdr:clientData/>
  </xdr:oneCellAnchor>
  <xdr:twoCellAnchor>
    <xdr:from>
      <xdr:col>4</xdr:col>
      <xdr:colOff>791309</xdr:colOff>
      <xdr:row>32</xdr:row>
      <xdr:rowOff>166078</xdr:rowOff>
    </xdr:from>
    <xdr:to>
      <xdr:col>14</xdr:col>
      <xdr:colOff>957386</xdr:colOff>
      <xdr:row>56</xdr:row>
      <xdr:rowOff>87923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801076</xdr:colOff>
      <xdr:row>11</xdr:row>
      <xdr:rowOff>19539</xdr:rowOff>
    </xdr:from>
    <xdr:ext cx="1846385" cy="43961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552461" y="3204308"/>
          <a:ext cx="1846385" cy="4396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/>
            <a:t>Neg.</a:t>
          </a:r>
          <a:r>
            <a:rPr lang="en-US" sz="1100" b="1" baseline="0"/>
            <a:t> survival probabilities. Market implies default</a:t>
          </a:r>
        </a:p>
        <a:p>
          <a:endParaRPr lang="en-US" sz="1100" b="1"/>
        </a:p>
      </xdr:txBody>
    </xdr:sp>
    <xdr:clientData/>
  </xdr:oneCellAnchor>
  <xdr:twoCellAnchor>
    <xdr:from>
      <xdr:col>14</xdr:col>
      <xdr:colOff>1367692</xdr:colOff>
      <xdr:row>32</xdr:row>
      <xdr:rowOff>97693</xdr:rowOff>
    </xdr:from>
    <xdr:to>
      <xdr:col>27</xdr:col>
      <xdr:colOff>87923</xdr:colOff>
      <xdr:row>56</xdr:row>
      <xdr:rowOff>19538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498720</xdr:colOff>
      <xdr:row>11</xdr:row>
      <xdr:rowOff>54218</xdr:rowOff>
    </xdr:from>
    <xdr:to>
      <xdr:col>12</xdr:col>
      <xdr:colOff>947616</xdr:colOff>
      <xdr:row>32</xdr:row>
      <xdr:rowOff>78153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58"/>
  <sheetViews>
    <sheetView showGridLines="0" tabSelected="1" zoomScaleNormal="100" zoomScalePageLayoutView="130" workbookViewId="0"/>
  </sheetViews>
  <sheetFormatPr baseColWidth="10" defaultColWidth="10.875" defaultRowHeight="15.75" x14ac:dyDescent="0.25"/>
  <cols>
    <col min="1" max="1" width="8.125" style="2" bestFit="1" customWidth="1"/>
    <col min="2" max="2" width="17.5" style="2" bestFit="1" customWidth="1"/>
    <col min="3" max="3" width="17.5" style="2" customWidth="1"/>
    <col min="4" max="4" width="5.875" style="2" bestFit="1" customWidth="1"/>
    <col min="5" max="5" width="20.5" style="2" customWidth="1"/>
    <col min="6" max="6" width="12" style="2" customWidth="1"/>
    <col min="7" max="7" width="17.625" style="2" customWidth="1"/>
    <col min="8" max="8" width="15.875" style="2" customWidth="1"/>
    <col min="9" max="9" width="8.875" style="2" bestFit="1" customWidth="1"/>
    <col min="10" max="14" width="8.5" style="2" bestFit="1" customWidth="1"/>
    <col min="15" max="15" width="27.125" style="2" customWidth="1"/>
    <col min="16" max="16" width="8.125" style="2" bestFit="1" customWidth="1"/>
    <col min="17" max="16384" width="10.875" style="2"/>
  </cols>
  <sheetData>
    <row r="1" spans="1:25" ht="48" customHeight="1" x14ac:dyDescent="0.25">
      <c r="G1" s="65" t="s">
        <v>21</v>
      </c>
      <c r="H1" s="66"/>
      <c r="I1" s="66"/>
      <c r="J1" s="66"/>
      <c r="K1" s="66"/>
      <c r="L1" s="66"/>
      <c r="M1" s="66"/>
      <c r="N1" s="66"/>
      <c r="O1" s="67"/>
    </row>
    <row r="2" spans="1:25" ht="65.099999999999994" customHeight="1" x14ac:dyDescent="0.25">
      <c r="G2" s="42"/>
      <c r="H2" s="43"/>
      <c r="I2" s="68"/>
      <c r="J2" s="69"/>
      <c r="K2" s="69"/>
      <c r="L2" s="69"/>
      <c r="M2" s="69"/>
      <c r="N2" s="70"/>
      <c r="O2" s="44"/>
    </row>
    <row r="3" spans="1:25" ht="62.25" customHeight="1" thickBot="1" x14ac:dyDescent="0.3">
      <c r="A3" s="9" t="s">
        <v>0</v>
      </c>
      <c r="B3" s="9" t="s">
        <v>9</v>
      </c>
      <c r="C3" s="10" t="s">
        <v>4</v>
      </c>
      <c r="D3" s="9" t="s">
        <v>1</v>
      </c>
      <c r="E3" s="64" t="s">
        <v>20</v>
      </c>
      <c r="F3" s="11" t="s">
        <v>5</v>
      </c>
      <c r="G3" s="41" t="s">
        <v>18</v>
      </c>
      <c r="H3" s="12"/>
      <c r="I3" s="12" t="s">
        <v>10</v>
      </c>
      <c r="J3" s="9" t="s">
        <v>11</v>
      </c>
      <c r="K3" s="9" t="s">
        <v>12</v>
      </c>
      <c r="L3" s="9" t="s">
        <v>13</v>
      </c>
      <c r="M3" s="9" t="s">
        <v>14</v>
      </c>
      <c r="N3" s="11" t="s">
        <v>15</v>
      </c>
      <c r="O3" s="25"/>
      <c r="Q3" s="3"/>
      <c r="R3" s="3"/>
      <c r="S3" s="3"/>
      <c r="T3" s="3"/>
      <c r="U3" s="3"/>
      <c r="V3" s="3"/>
      <c r="W3" s="3"/>
      <c r="X3" s="3"/>
      <c r="Y3" s="3"/>
    </row>
    <row r="4" spans="1:25" ht="16.5" thickTop="1" x14ac:dyDescent="0.25">
      <c r="A4" s="45">
        <v>0</v>
      </c>
      <c r="B4" s="45"/>
      <c r="C4" s="46"/>
      <c r="D4" s="45"/>
      <c r="E4" s="45">
        <f t="array" ref="E4:E11">PrSurv(B4:B11,C4:C11,D4:D11,B15)</f>
        <v>1</v>
      </c>
      <c r="F4" s="47"/>
      <c r="G4" s="48">
        <v>1</v>
      </c>
      <c r="H4" s="49">
        <v>1</v>
      </c>
      <c r="I4" s="50"/>
      <c r="J4" s="45"/>
      <c r="K4" s="45"/>
      <c r="L4" s="45"/>
      <c r="M4" s="45"/>
      <c r="N4" s="51"/>
      <c r="O4" s="52"/>
    </row>
    <row r="5" spans="1:25" x14ac:dyDescent="0.25">
      <c r="A5" s="38">
        <v>1</v>
      </c>
      <c r="B5" s="38">
        <f>A5-A4</f>
        <v>1</v>
      </c>
      <c r="C5" s="38">
        <v>50</v>
      </c>
      <c r="D5" s="38">
        <v>0.97</v>
      </c>
      <c r="E5" s="53">
        <v>0.99009900990099009</v>
      </c>
      <c r="F5" s="13">
        <f>-LN(E5)/B5</f>
        <v>9.950330853168092E-3</v>
      </c>
      <c r="G5" s="18">
        <f>H5</f>
        <v>0.99009900990099009</v>
      </c>
      <c r="H5" s="18">
        <f>$G4*L/(L+$B5*C5/10000)</f>
        <v>0.99009900990099009</v>
      </c>
      <c r="I5" s="15"/>
      <c r="J5" s="16"/>
      <c r="K5" s="16"/>
      <c r="L5" s="16"/>
      <c r="M5" s="16"/>
      <c r="N5" s="22"/>
      <c r="O5" s="26"/>
      <c r="P5" s="6"/>
    </row>
    <row r="6" spans="1:25" x14ac:dyDescent="0.25">
      <c r="A6" s="38">
        <v>2</v>
      </c>
      <c r="B6" s="38">
        <f t="shared" ref="B6:B11" si="0">A6-A5</f>
        <v>1</v>
      </c>
      <c r="C6" s="38">
        <v>77</v>
      </c>
      <c r="D6" s="38">
        <v>0.94</v>
      </c>
      <c r="E6" s="53">
        <v>0.96964924282335985</v>
      </c>
      <c r="F6" s="13">
        <f>(-LN(E6)-$F$5*$B$5)/B6</f>
        <v>2.0870547363257917E-2</v>
      </c>
      <c r="G6" s="18">
        <f t="shared" ref="G6:G11" si="1">SUM(I6:N6)/O6+H6</f>
        <v>0.96964924282335985</v>
      </c>
      <c r="H6" s="18">
        <f>$G5*L/(L+$B6*$C6/10000)</f>
        <v>0.97508273577013005</v>
      </c>
      <c r="I6" s="17">
        <f>$D$5*(L*$G$4-(L+$B$5*$C6/10000)*$G$5)</f>
        <v>-2.5930693069306952E-3</v>
      </c>
      <c r="J6" s="16"/>
      <c r="K6" s="16"/>
      <c r="L6" s="16"/>
      <c r="M6" s="16"/>
      <c r="N6" s="22"/>
      <c r="O6" s="27">
        <f t="shared" ref="O6:O8" si="2">$D6*(L+$B6*$C6/10000)</f>
        <v>0.477238</v>
      </c>
      <c r="P6" s="6"/>
      <c r="R6" s="40"/>
    </row>
    <row r="7" spans="1:25" x14ac:dyDescent="0.25">
      <c r="A7" s="38">
        <v>3</v>
      </c>
      <c r="B7" s="38">
        <f t="shared" si="0"/>
        <v>1</v>
      </c>
      <c r="C7" s="38">
        <v>94</v>
      </c>
      <c r="D7" s="38">
        <v>0.92</v>
      </c>
      <c r="E7" s="53">
        <v>0.94496611303448885</v>
      </c>
      <c r="F7" s="13">
        <f>(-LN(E7)-$F$5*$B$5-$F$6*$B$6)/B7</f>
        <v>2.5785333137688705E-2</v>
      </c>
      <c r="G7" s="18">
        <f t="shared" si="1"/>
        <v>0.94496611303448885</v>
      </c>
      <c r="H7" s="18">
        <f>$G6*L/(L+$B7*C7/10000)</f>
        <v>0.95175622577871999</v>
      </c>
      <c r="I7" s="17">
        <f>$D$5*(L*$G$4-(L+$B$5*$C7/10000)*$G$5)</f>
        <v>-4.2257425742574291E-3</v>
      </c>
      <c r="J7" s="18">
        <f>$D$6*(L*$G$5-(L+$B$6*$C7/10000)*$G$6)</f>
        <v>1.043569816899017E-3</v>
      </c>
      <c r="K7" s="16"/>
      <c r="L7" s="16"/>
      <c r="M7" s="16"/>
      <c r="N7" s="22"/>
      <c r="O7" s="27">
        <f t="shared" si="2"/>
        <v>0.46864800000000001</v>
      </c>
      <c r="P7" s="6"/>
      <c r="R7" s="40"/>
    </row>
    <row r="8" spans="1:25" x14ac:dyDescent="0.25">
      <c r="A8" s="54">
        <v>4</v>
      </c>
      <c r="B8" s="54">
        <f t="shared" si="0"/>
        <v>1</v>
      </c>
      <c r="C8" s="54">
        <f>(A8-A7)/(A9-A7)*C9+(A9-A8)/(A9-A7)*C7</f>
        <v>109.5</v>
      </c>
      <c r="D8" s="55">
        <f>EXP((A8-A7)/(A9-A7)*LN(D9)+(A9-A8)/(A9-A7)*LN(D7))</f>
        <v>0.88949423831748342</v>
      </c>
      <c r="E8" s="56">
        <v>0.91536604519418585</v>
      </c>
      <c r="F8" s="14">
        <f>(-LN(E8)-$F$5*$B$5-$F$6*$B$6-$F$7*$B$7)/B8</f>
        <v>3.1825032958371594E-2</v>
      </c>
      <c r="G8" s="20">
        <f t="shared" si="1"/>
        <v>0.91536604519418585</v>
      </c>
      <c r="H8" s="20">
        <f>$G7*L/(L+$B8*C8/10000)</f>
        <v>0.92471485765191197</v>
      </c>
      <c r="I8" s="19">
        <f>$D$5*(L*$G$4-(L+$B$5*$C8/10000)*$G$5)</f>
        <v>-5.7143564356435693E-3</v>
      </c>
      <c r="J8" s="20">
        <f>$D$6*(L*$G$5-(L+$B$6*$C8/10000)*$G$6)</f>
        <v>-3.6920912989466643E-4</v>
      </c>
      <c r="K8" s="20">
        <f>$D$7*(L*$G$6-(L+$B$7*$C8/10000)*$G$7)</f>
        <v>1.8346510801711814E-3</v>
      </c>
      <c r="L8" s="21"/>
      <c r="M8" s="21"/>
      <c r="N8" s="23"/>
      <c r="O8" s="28">
        <f t="shared" si="2"/>
        <v>0.45448708106831814</v>
      </c>
      <c r="P8" s="6"/>
      <c r="R8" s="40"/>
    </row>
    <row r="9" spans="1:25" x14ac:dyDescent="0.25">
      <c r="A9" s="38">
        <v>5</v>
      </c>
      <c r="B9" s="38">
        <f t="shared" si="0"/>
        <v>1</v>
      </c>
      <c r="C9" s="38">
        <v>125</v>
      </c>
      <c r="D9" s="38">
        <v>0.86</v>
      </c>
      <c r="E9" s="53">
        <v>0.88053648343107904</v>
      </c>
      <c r="F9" s="13">
        <f>(-LN(E9)-$F$5*$B$5-$F$6*$B$6-$F$7*$B$7-$F$8*$B$8)/B9</f>
        <v>3.8792672689941604E-2</v>
      </c>
      <c r="G9" s="18">
        <f t="shared" si="1"/>
        <v>0.88053648343107904</v>
      </c>
      <c r="H9" s="18">
        <f>$G8*L/(L+$B9*C9/10000)</f>
        <v>0.89304004409188875</v>
      </c>
      <c r="I9" s="17">
        <f t="array" ref="I9">$D$5*(L*$G$4-(L+$B$5*$C9/10000)*$G$5)</f>
        <v>-7.2029702970297094E-3</v>
      </c>
      <c r="J9" s="18">
        <f>$D$6*(L*$G$5-(L+$B$6*$C9/10000)*$G$6)</f>
        <v>-1.7819880766882456E-3</v>
      </c>
      <c r="K9" s="18">
        <f>$D$7*(L*$G$6-(L+$B$7*$C9/10000)*$G$7)</f>
        <v>4.8712940298406115E-4</v>
      </c>
      <c r="L9" s="18">
        <f>$D$8*(L*$G$7-(L+$B$8*$C9/10000)*$G$8)</f>
        <v>2.9868846094820087E-3</v>
      </c>
      <c r="M9" s="16"/>
      <c r="N9" s="22"/>
      <c r="O9" s="27">
        <f t="shared" ref="O9:O11" si="3">$D9*(L+$B9*$C9/10000)</f>
        <v>0.44074999999999998</v>
      </c>
      <c r="P9" s="6"/>
      <c r="R9" s="40"/>
    </row>
    <row r="10" spans="1:25" x14ac:dyDescent="0.25">
      <c r="A10" s="54">
        <v>6</v>
      </c>
      <c r="B10" s="54">
        <f t="shared" si="0"/>
        <v>1</v>
      </c>
      <c r="C10" s="54">
        <f>(A10-A9)/(A11-A9)*C11+(A11-A10)/(A11-A9)*C9</f>
        <v>129</v>
      </c>
      <c r="D10" s="55">
        <f>EXP((A10-A9)/(A11-A9)*LN(D11)+(A11-A10)/(A11-A9)*LN(D9))</f>
        <v>0.8346256645946134</v>
      </c>
      <c r="E10" s="56">
        <v>0.85436019996693591</v>
      </c>
      <c r="F10" s="14">
        <f>(-LN(E10)-$F$5*$B$5-$F$6*$B$6-$F$7*$B$7-$F$8*$B$8-$F$9*$B$9)/B10</f>
        <v>3.0178477294476452E-2</v>
      </c>
      <c r="G10" s="20">
        <f t="shared" si="1"/>
        <v>0.85436019996693591</v>
      </c>
      <c r="H10" s="20">
        <f>$G9*L/(L+$B10*C10/10000)</f>
        <v>0.85839002089206373</v>
      </c>
      <c r="I10" s="19">
        <f>$D$5*(L*$G$4-(L+$B$5*$C10/10000)*$G$5)</f>
        <v>-7.5871287128712935E-3</v>
      </c>
      <c r="J10" s="20">
        <f>$D$6*(L*$G$5-(L+$B$6*$C10/10000)*$G$6)</f>
        <v>-2.1465761919898818E-3</v>
      </c>
      <c r="K10" s="20">
        <f>$D$7*(L*$G$6-(L+$B$7*$C10/10000)*$G$7)</f>
        <v>1.3938187338730757E-4</v>
      </c>
      <c r="L10" s="20">
        <f>$D$8*(L*$G$7-(L+$B$8*$C10/10000)*$G$8)</f>
        <v>2.661199480221265E-3</v>
      </c>
      <c r="M10" s="20">
        <f>$D$9*(L*$G$8-(L+$B$9*$C10/10000)*$G$9)</f>
        <v>5.2080398109515301E-3</v>
      </c>
      <c r="N10" s="24"/>
      <c r="O10" s="28">
        <f t="shared" si="3"/>
        <v>0.42807950337057721</v>
      </c>
      <c r="P10" s="6"/>
      <c r="R10" s="40"/>
    </row>
    <row r="11" spans="1:25" x14ac:dyDescent="0.25">
      <c r="A11" s="57">
        <v>7</v>
      </c>
      <c r="B11" s="57">
        <f t="shared" si="0"/>
        <v>1</v>
      </c>
      <c r="C11" s="57">
        <v>133</v>
      </c>
      <c r="D11" s="57">
        <v>0.81</v>
      </c>
      <c r="E11" s="58">
        <v>0.82738794694804185</v>
      </c>
      <c r="F11" s="59">
        <f>(-LN(E11)-$F$5*$B$5-$F$6*$B$6-$F$7*$B$7-$F$8*$B$8-$F$9*$B$9-$F$10*$B$10)/B11</f>
        <v>3.2079198146137286E-2</v>
      </c>
      <c r="G11" s="60">
        <f t="shared" si="1"/>
        <v>0.82738794694804185</v>
      </c>
      <c r="H11" s="60">
        <f>$G10*L/(L+$B11*C11/10000)</f>
        <v>0.83222306640067789</v>
      </c>
      <c r="I11" s="61">
        <f>$D$5*(L*$G$4-(L+$B$5*$C11/10000)*$G$5)</f>
        <v>-7.9712871287128777E-3</v>
      </c>
      <c r="J11" s="60">
        <f>$D$6*(L*$G$5-(L+$B$6*$C11/10000)*$G$6)</f>
        <v>-2.5111643072914134E-3</v>
      </c>
      <c r="K11" s="60">
        <f>$D$7*(L*$G$6-(L+$B$7*$C11/10000)*$G$7)</f>
        <v>-2.083656562093439E-4</v>
      </c>
      <c r="L11" s="60">
        <f>$D$8*(L*$G$7-(L+$B$8*$C11/10000)*$G$8)</f>
        <v>2.3355143509606198E-3</v>
      </c>
      <c r="M11" s="60">
        <f>$D$9*(L*$G$8-(L+$B$9*$C11/10000)*$G$9)</f>
        <v>4.9051352606512451E-3</v>
      </c>
      <c r="N11" s="62">
        <f>$D$10*(L*$G$9-(L+$B$10*$C11/10000)*$G$10)</f>
        <v>1.4398553604209091E-3</v>
      </c>
      <c r="O11" s="63">
        <f t="shared" si="3"/>
        <v>0.415773</v>
      </c>
      <c r="P11" s="6"/>
      <c r="R11" s="40"/>
    </row>
    <row r="12" spans="1:25" x14ac:dyDescent="0.25">
      <c r="R12" s="40"/>
    </row>
    <row r="13" spans="1:25" x14ac:dyDescent="0.25">
      <c r="A13" s="7"/>
      <c r="B13" s="4" t="s">
        <v>16</v>
      </c>
      <c r="R13" s="40"/>
    </row>
    <row r="14" spans="1:25" x14ac:dyDescent="0.25">
      <c r="A14" s="8" t="s">
        <v>3</v>
      </c>
      <c r="B14" s="5">
        <v>0.5</v>
      </c>
      <c r="R14" s="40"/>
    </row>
    <row r="15" spans="1:25" x14ac:dyDescent="0.25">
      <c r="A15" s="8" t="s">
        <v>2</v>
      </c>
      <c r="B15" s="5">
        <f>1-B14</f>
        <v>0.5</v>
      </c>
      <c r="R15" s="40"/>
    </row>
    <row r="16" spans="1:25" x14ac:dyDescent="0.25">
      <c r="Q16" s="40"/>
    </row>
    <row r="17" spans="1:17" ht="16.5" thickBot="1" x14ac:dyDescent="0.3">
      <c r="A17" s="30" t="s">
        <v>8</v>
      </c>
      <c r="B17" s="30" t="s">
        <v>6</v>
      </c>
      <c r="C17" s="30" t="s">
        <v>7</v>
      </c>
      <c r="D17" s="30" t="s">
        <v>17</v>
      </c>
      <c r="Q17" s="40"/>
    </row>
    <row r="18" spans="1:17" ht="16.5" thickTop="1" x14ac:dyDescent="0.25">
      <c r="A18" s="4">
        <v>0</v>
      </c>
      <c r="B18" s="29">
        <f>IFERROR($F$5,"")</f>
        <v>9.950330853168092E-3</v>
      </c>
      <c r="C18" s="4">
        <f>B18*EXP(-B18*A18)</f>
        <v>9.950330853168092E-3</v>
      </c>
      <c r="D18" s="39">
        <f>1-EXP(-B18*A18)</f>
        <v>0</v>
      </c>
      <c r="Q18" s="40"/>
    </row>
    <row r="19" spans="1:17" x14ac:dyDescent="0.25">
      <c r="A19" s="4">
        <v>0.05</v>
      </c>
      <c r="B19" s="29">
        <f t="shared" ref="B19:B37" si="4">$F$5</f>
        <v>9.950330853168092E-3</v>
      </c>
      <c r="C19" s="4">
        <f t="shared" ref="C19:C82" si="5">B19*EXP(-B19*A19)</f>
        <v>9.9453816302259475E-3</v>
      </c>
      <c r="D19" s="39">
        <f t="shared" ref="D19:D82" si="6">1-EXP(-B19*A19)</f>
        <v>4.9739280182514722E-4</v>
      </c>
    </row>
    <row r="20" spans="1:17" x14ac:dyDescent="0.25">
      <c r="A20" s="4">
        <v>0.1</v>
      </c>
      <c r="B20" s="29">
        <f t="shared" si="4"/>
        <v>9.950330853168092E-3</v>
      </c>
      <c r="C20" s="4">
        <f t="shared" si="5"/>
        <v>9.9404348689916683E-3</v>
      </c>
      <c r="D20" s="39">
        <f t="shared" si="6"/>
        <v>9.945382040510431E-4</v>
      </c>
    </row>
    <row r="21" spans="1:17" x14ac:dyDescent="0.25">
      <c r="A21" s="4">
        <v>0.15</v>
      </c>
      <c r="B21" s="29">
        <f t="shared" si="4"/>
        <v>9.950330853168092E-3</v>
      </c>
      <c r="C21" s="4">
        <f t="shared" si="5"/>
        <v>9.9354905682408207E-3</v>
      </c>
      <c r="D21" s="39">
        <f t="shared" si="6"/>
        <v>1.4914363297323652E-3</v>
      </c>
    </row>
    <row r="22" spans="1:17" x14ac:dyDescent="0.25">
      <c r="A22" s="4">
        <v>0.2</v>
      </c>
      <c r="B22" s="29">
        <f t="shared" si="4"/>
        <v>9.950330853168092E-3</v>
      </c>
      <c r="C22" s="4">
        <f t="shared" si="5"/>
        <v>9.9305487267495746E-3</v>
      </c>
      <c r="D22" s="39">
        <f t="shared" si="6"/>
        <v>1.9880873018628398E-3</v>
      </c>
    </row>
    <row r="23" spans="1:17" x14ac:dyDescent="0.25">
      <c r="A23" s="4">
        <v>0.25</v>
      </c>
      <c r="B23" s="29">
        <f t="shared" si="4"/>
        <v>9.950330853168092E-3</v>
      </c>
      <c r="C23" s="4">
        <f t="shared" si="5"/>
        <v>9.9256093432947157E-3</v>
      </c>
      <c r="D23" s="39">
        <f t="shared" si="6"/>
        <v>2.4844912433746869E-3</v>
      </c>
    </row>
    <row r="24" spans="1:17" x14ac:dyDescent="0.25">
      <c r="A24" s="4">
        <v>0.3</v>
      </c>
      <c r="B24" s="29">
        <f t="shared" si="4"/>
        <v>9.950330853168092E-3</v>
      </c>
      <c r="C24" s="4">
        <f t="shared" si="5"/>
        <v>9.9206724166536319E-3</v>
      </c>
      <c r="D24" s="39">
        <f t="shared" si="6"/>
        <v>2.9806482771391751E-3</v>
      </c>
    </row>
    <row r="25" spans="1:17" x14ac:dyDescent="0.25">
      <c r="A25" s="4">
        <v>0.35</v>
      </c>
      <c r="B25" s="29">
        <f t="shared" si="4"/>
        <v>9.950330853168092E-3</v>
      </c>
      <c r="C25" s="4">
        <f t="shared" si="5"/>
        <v>9.9157379456043231E-3</v>
      </c>
      <c r="D25" s="39">
        <f t="shared" si="6"/>
        <v>3.476558525966511E-3</v>
      </c>
    </row>
    <row r="26" spans="1:17" x14ac:dyDescent="0.25">
      <c r="A26" s="4">
        <v>0.4</v>
      </c>
      <c r="B26" s="29">
        <f t="shared" si="4"/>
        <v>9.950330853168092E-3</v>
      </c>
      <c r="C26" s="4">
        <f t="shared" si="5"/>
        <v>9.9108059289253949E-3</v>
      </c>
      <c r="D26" s="39">
        <f t="shared" si="6"/>
        <v>3.9722221126057278E-3</v>
      </c>
    </row>
    <row r="27" spans="1:17" x14ac:dyDescent="0.25">
      <c r="A27" s="4">
        <v>0.45</v>
      </c>
      <c r="B27" s="29">
        <f t="shared" si="4"/>
        <v>9.950330853168092E-3</v>
      </c>
      <c r="C27" s="4">
        <f t="shared" si="5"/>
        <v>9.9058763653960599E-3</v>
      </c>
      <c r="D27" s="39">
        <f t="shared" si="6"/>
        <v>4.4676391597449072E-3</v>
      </c>
    </row>
    <row r="28" spans="1:17" x14ac:dyDescent="0.25">
      <c r="A28" s="4">
        <v>0.5</v>
      </c>
      <c r="B28" s="29">
        <f t="shared" si="4"/>
        <v>9.950330853168092E-3</v>
      </c>
      <c r="C28" s="4">
        <f t="shared" si="5"/>
        <v>9.900949253796143E-3</v>
      </c>
      <c r="D28" s="39">
        <f t="shared" si="6"/>
        <v>4.962809790010847E-3</v>
      </c>
    </row>
    <row r="29" spans="1:17" x14ac:dyDescent="0.25">
      <c r="A29" s="4">
        <v>0.55000000000000004</v>
      </c>
      <c r="B29" s="29">
        <f t="shared" si="4"/>
        <v>9.950330853168092E-3</v>
      </c>
      <c r="C29" s="4">
        <f t="shared" si="5"/>
        <v>9.8960245929060678E-3</v>
      </c>
      <c r="D29" s="39">
        <f t="shared" si="6"/>
        <v>5.4577341259697265E-3</v>
      </c>
    </row>
    <row r="30" spans="1:17" x14ac:dyDescent="0.25">
      <c r="A30" s="4">
        <v>0.6</v>
      </c>
      <c r="B30" s="29">
        <f t="shared" si="4"/>
        <v>9.950330853168092E-3</v>
      </c>
      <c r="C30" s="4">
        <f t="shared" si="5"/>
        <v>9.8911023815068718E-3</v>
      </c>
      <c r="D30" s="39">
        <f t="shared" si="6"/>
        <v>5.9524122901263299E-3</v>
      </c>
    </row>
    <row r="31" spans="1:17" x14ac:dyDescent="0.25">
      <c r="A31" s="4">
        <v>0.65</v>
      </c>
      <c r="B31" s="29">
        <f t="shared" si="4"/>
        <v>9.950330853168092E-3</v>
      </c>
      <c r="C31" s="4">
        <f t="shared" si="5"/>
        <v>9.8861826183801928E-3</v>
      </c>
      <c r="D31" s="39">
        <f t="shared" si="6"/>
        <v>6.446844404924934E-3</v>
      </c>
    </row>
    <row r="32" spans="1:17" x14ac:dyDescent="0.25">
      <c r="A32" s="4">
        <v>0.7</v>
      </c>
      <c r="B32" s="29">
        <f t="shared" si="4"/>
        <v>9.950330853168092E-3</v>
      </c>
      <c r="C32" s="4">
        <f t="shared" si="5"/>
        <v>9.881265302308281E-3</v>
      </c>
      <c r="D32" s="39">
        <f t="shared" si="6"/>
        <v>6.9410305927486426E-3</v>
      </c>
    </row>
    <row r="33" spans="1:4" x14ac:dyDescent="0.25">
      <c r="A33" s="4">
        <v>0.75</v>
      </c>
      <c r="B33" s="29">
        <f t="shared" si="4"/>
        <v>9.950330853168092E-3</v>
      </c>
      <c r="C33" s="4">
        <f t="shared" si="5"/>
        <v>9.8763504320739885E-3</v>
      </c>
      <c r="D33" s="39">
        <f t="shared" si="6"/>
        <v>7.4349709759197191E-3</v>
      </c>
    </row>
    <row r="34" spans="1:4" x14ac:dyDescent="0.25">
      <c r="A34" s="4">
        <v>0.8</v>
      </c>
      <c r="B34" s="29">
        <f t="shared" si="4"/>
        <v>9.950330853168092E-3</v>
      </c>
      <c r="C34" s="4">
        <f t="shared" si="5"/>
        <v>9.8714380064607726E-3</v>
      </c>
      <c r="D34" s="39">
        <f t="shared" si="6"/>
        <v>7.9286656766996977E-3</v>
      </c>
    </row>
    <row r="35" spans="1:4" x14ac:dyDescent="0.25">
      <c r="A35" s="4">
        <v>0.85</v>
      </c>
      <c r="B35" s="29">
        <f t="shared" si="4"/>
        <v>9.950330853168092E-3</v>
      </c>
      <c r="C35" s="4">
        <f t="shared" si="5"/>
        <v>9.8665280242526947E-3</v>
      </c>
      <c r="D35" s="39">
        <f t="shared" si="6"/>
        <v>8.4221148172891613E-3</v>
      </c>
    </row>
    <row r="36" spans="1:4" x14ac:dyDescent="0.25">
      <c r="A36" s="4">
        <v>0.9</v>
      </c>
      <c r="B36" s="29">
        <f t="shared" si="4"/>
        <v>9.950330853168092E-3</v>
      </c>
      <c r="C36" s="4">
        <f t="shared" si="5"/>
        <v>9.8616204842344266E-3</v>
      </c>
      <c r="D36" s="39">
        <f t="shared" si="6"/>
        <v>8.9153185198280749E-3</v>
      </c>
    </row>
    <row r="37" spans="1:4" x14ac:dyDescent="0.25">
      <c r="A37" s="4">
        <v>0.95</v>
      </c>
      <c r="B37" s="29">
        <f t="shared" si="4"/>
        <v>9.950330853168092E-3</v>
      </c>
      <c r="C37" s="4">
        <f t="shared" si="5"/>
        <v>9.8567153851912351E-3</v>
      </c>
      <c r="D37" s="39">
        <f t="shared" si="6"/>
        <v>9.4082769063955629E-3</v>
      </c>
    </row>
    <row r="38" spans="1:4" x14ac:dyDescent="0.25">
      <c r="A38" s="4">
        <v>1</v>
      </c>
      <c r="B38" s="29">
        <f t="shared" ref="B38:B57" si="7">$F$6</f>
        <v>2.0870547363257917E-2</v>
      </c>
      <c r="C38" s="4">
        <f t="shared" si="5"/>
        <v>2.0439481552573028E-2</v>
      </c>
      <c r="D38" s="39">
        <f t="shared" si="6"/>
        <v>2.0654264748406592E-2</v>
      </c>
    </row>
    <row r="39" spans="1:4" x14ac:dyDescent="0.25">
      <c r="A39" s="4">
        <v>1.05</v>
      </c>
      <c r="B39" s="29">
        <f t="shared" si="7"/>
        <v>2.0870547363257917E-2</v>
      </c>
      <c r="C39" s="4">
        <f t="shared" si="5"/>
        <v>2.0418163519092068E-2</v>
      </c>
      <c r="D39" s="39">
        <f t="shared" si="6"/>
        <v>2.167570578250666E-2</v>
      </c>
    </row>
    <row r="40" spans="1:4" x14ac:dyDescent="0.25">
      <c r="A40" s="4">
        <v>1.1000000000000001</v>
      </c>
      <c r="B40" s="29">
        <f t="shared" si="7"/>
        <v>2.0870547363257917E-2</v>
      </c>
      <c r="C40" s="4">
        <f t="shared" si="5"/>
        <v>2.0396867719959383E-2</v>
      </c>
      <c r="D40" s="39">
        <f t="shared" si="6"/>
        <v>2.2696081470888196E-2</v>
      </c>
    </row>
    <row r="41" spans="1:4" x14ac:dyDescent="0.25">
      <c r="A41" s="4">
        <v>1.1499999999999999</v>
      </c>
      <c r="B41" s="29">
        <f t="shared" si="7"/>
        <v>2.0870547363257917E-2</v>
      </c>
      <c r="C41" s="4">
        <f t="shared" si="5"/>
        <v>2.037559413198493E-2</v>
      </c>
      <c r="D41" s="39">
        <f t="shared" si="6"/>
        <v>2.3715392924688605E-2</v>
      </c>
    </row>
    <row r="42" spans="1:4" x14ac:dyDescent="0.25">
      <c r="A42" s="4">
        <v>1.2</v>
      </c>
      <c r="B42" s="29">
        <f t="shared" si="7"/>
        <v>2.0870547363257917E-2</v>
      </c>
      <c r="C42" s="4">
        <f t="shared" si="5"/>
        <v>2.0354342732002848E-2</v>
      </c>
      <c r="D42" s="39">
        <f t="shared" si="6"/>
        <v>2.4733641253886551E-2</v>
      </c>
    </row>
    <row r="43" spans="1:4" x14ac:dyDescent="0.25">
      <c r="A43" s="4">
        <v>1.25</v>
      </c>
      <c r="B43" s="29">
        <f t="shared" si="7"/>
        <v>2.0870547363257917E-2</v>
      </c>
      <c r="C43" s="4">
        <f t="shared" si="5"/>
        <v>2.0333113496871429E-2</v>
      </c>
      <c r="D43" s="39">
        <f t="shared" si="6"/>
        <v>2.575082756730307E-2</v>
      </c>
    </row>
    <row r="44" spans="1:4" x14ac:dyDescent="0.25">
      <c r="A44" s="4">
        <v>1.3</v>
      </c>
      <c r="B44" s="29">
        <f t="shared" si="7"/>
        <v>2.0870547363257917E-2</v>
      </c>
      <c r="C44" s="4">
        <f t="shared" si="5"/>
        <v>2.0311906403473117E-2</v>
      </c>
      <c r="D44" s="39">
        <f t="shared" si="6"/>
        <v>2.6766952972602565E-2</v>
      </c>
    </row>
    <row r="45" spans="1:4" x14ac:dyDescent="0.25">
      <c r="A45" s="4">
        <v>1.35</v>
      </c>
      <c r="B45" s="29">
        <f t="shared" si="7"/>
        <v>2.0870547363257917E-2</v>
      </c>
      <c r="C45" s="4">
        <f t="shared" si="5"/>
        <v>2.0290721428714454E-2</v>
      </c>
      <c r="D45" s="39">
        <f t="shared" si="6"/>
        <v>2.7782018576294365E-2</v>
      </c>
    </row>
    <row r="46" spans="1:4" x14ac:dyDescent="0.25">
      <c r="A46" s="4">
        <v>1.4</v>
      </c>
      <c r="B46" s="29">
        <f t="shared" si="7"/>
        <v>2.0870547363257917E-2</v>
      </c>
      <c r="C46" s="4">
        <f t="shared" si="5"/>
        <v>2.0269558549526074E-2</v>
      </c>
      <c r="D46" s="39">
        <f t="shared" si="6"/>
        <v>2.8796025483733501E-2</v>
      </c>
    </row>
    <row r="47" spans="1:4" x14ac:dyDescent="0.25">
      <c r="A47" s="4">
        <v>1.45</v>
      </c>
      <c r="B47" s="29">
        <f t="shared" si="7"/>
        <v>2.0870547363257917E-2</v>
      </c>
      <c r="C47" s="4">
        <f t="shared" si="5"/>
        <v>2.0248417742862672E-2</v>
      </c>
      <c r="D47" s="39">
        <f t="shared" si="6"/>
        <v>2.9808974799122367E-2</v>
      </c>
    </row>
    <row r="48" spans="1:4" x14ac:dyDescent="0.25">
      <c r="A48" s="4">
        <v>1.5</v>
      </c>
      <c r="B48" s="29">
        <f t="shared" si="7"/>
        <v>2.0870547363257917E-2</v>
      </c>
      <c r="C48" s="4">
        <f t="shared" si="5"/>
        <v>2.0227298985702975E-2</v>
      </c>
      <c r="D48" s="39">
        <f t="shared" si="6"/>
        <v>3.0820867625511505E-2</v>
      </c>
    </row>
    <row r="49" spans="1:4" x14ac:dyDescent="0.25">
      <c r="A49" s="4">
        <v>1.55</v>
      </c>
      <c r="B49" s="29">
        <f t="shared" si="7"/>
        <v>2.0870547363257917E-2</v>
      </c>
      <c r="C49" s="4">
        <f t="shared" si="5"/>
        <v>2.0206202255049731E-2</v>
      </c>
      <c r="D49" s="39">
        <f t="shared" si="6"/>
        <v>3.1831705064801041E-2</v>
      </c>
    </row>
    <row r="50" spans="1:4" x14ac:dyDescent="0.25">
      <c r="A50" s="4">
        <v>1.6</v>
      </c>
      <c r="B50" s="29">
        <f t="shared" si="7"/>
        <v>2.0870547363257917E-2</v>
      </c>
      <c r="C50" s="4">
        <f t="shared" si="5"/>
        <v>2.0185127527929655E-2</v>
      </c>
      <c r="D50" s="39">
        <f t="shared" si="6"/>
        <v>3.2841488217742021E-2</v>
      </c>
    </row>
    <row r="51" spans="1:4" x14ac:dyDescent="0.25">
      <c r="A51" s="4">
        <v>1.65</v>
      </c>
      <c r="B51" s="29">
        <f t="shared" si="7"/>
        <v>2.0870547363257917E-2</v>
      </c>
      <c r="C51" s="4">
        <f t="shared" si="5"/>
        <v>2.0164074781393444E-2</v>
      </c>
      <c r="D51" s="39">
        <f t="shared" si="6"/>
        <v>3.3850218183937075E-2</v>
      </c>
    </row>
    <row r="52" spans="1:4" x14ac:dyDescent="0.25">
      <c r="A52" s="4">
        <v>1.7</v>
      </c>
      <c r="B52" s="29">
        <f t="shared" si="7"/>
        <v>2.0870547363257917E-2</v>
      </c>
      <c r="C52" s="4">
        <f t="shared" si="5"/>
        <v>2.0143043992515715E-2</v>
      </c>
      <c r="D52" s="39">
        <f t="shared" si="6"/>
        <v>3.4857896061842308E-2</v>
      </c>
    </row>
    <row r="53" spans="1:4" x14ac:dyDescent="0.25">
      <c r="A53" s="4">
        <v>1.75</v>
      </c>
      <c r="B53" s="29">
        <f t="shared" si="7"/>
        <v>2.0870547363257917E-2</v>
      </c>
      <c r="C53" s="4">
        <f t="shared" si="5"/>
        <v>2.0122035138395004E-2</v>
      </c>
      <c r="D53" s="39">
        <f t="shared" si="6"/>
        <v>3.5864522948767963E-2</v>
      </c>
    </row>
    <row r="54" spans="1:4" x14ac:dyDescent="0.25">
      <c r="A54" s="4">
        <v>1.8</v>
      </c>
      <c r="B54" s="29">
        <f t="shared" si="7"/>
        <v>2.0870547363257917E-2</v>
      </c>
      <c r="C54" s="4">
        <f t="shared" si="5"/>
        <v>2.0101048196153732E-2</v>
      </c>
      <c r="D54" s="39">
        <f t="shared" si="6"/>
        <v>3.6870099940879753E-2</v>
      </c>
    </row>
    <row r="55" spans="1:4" x14ac:dyDescent="0.25">
      <c r="A55" s="4">
        <v>1.85</v>
      </c>
      <c r="B55" s="29">
        <f t="shared" si="7"/>
        <v>2.0870547363257917E-2</v>
      </c>
      <c r="C55" s="4">
        <f t="shared" si="5"/>
        <v>2.0080083142938177E-2</v>
      </c>
      <c r="D55" s="39">
        <f t="shared" si="6"/>
        <v>3.7874628133200416E-2</v>
      </c>
    </row>
    <row r="56" spans="1:4" x14ac:dyDescent="0.25">
      <c r="A56" s="4">
        <v>1.9</v>
      </c>
      <c r="B56" s="29">
        <f t="shared" si="7"/>
        <v>2.0870547363257917E-2</v>
      </c>
      <c r="C56" s="4">
        <f t="shared" si="5"/>
        <v>2.0059139955918456E-2</v>
      </c>
      <c r="D56" s="39">
        <f t="shared" si="6"/>
        <v>3.8878108619610163E-2</v>
      </c>
    </row>
    <row r="57" spans="1:4" x14ac:dyDescent="0.25">
      <c r="A57" s="4">
        <v>1.95</v>
      </c>
      <c r="B57" s="29">
        <f t="shared" si="7"/>
        <v>2.0870547363257917E-2</v>
      </c>
      <c r="C57" s="4">
        <f t="shared" si="5"/>
        <v>2.0038218612288498E-2</v>
      </c>
      <c r="D57" s="39">
        <f t="shared" si="6"/>
        <v>3.988054249284867E-2</v>
      </c>
    </row>
    <row r="58" spans="1:4" x14ac:dyDescent="0.25">
      <c r="A58" s="4">
        <v>2</v>
      </c>
      <c r="B58" s="29">
        <f t="shared" ref="B58:B77" si="8">$F$7</f>
        <v>2.5785333137688705E-2</v>
      </c>
      <c r="C58" s="4">
        <f t="shared" si="5"/>
        <v>2.4489272902817487E-2</v>
      </c>
      <c r="D58" s="39">
        <f t="shared" si="6"/>
        <v>5.0263466752611063E-2</v>
      </c>
    </row>
    <row r="59" spans="1:4" x14ac:dyDescent="0.25">
      <c r="A59" s="4">
        <v>2.0499999999999998</v>
      </c>
      <c r="B59" s="29">
        <f t="shared" si="8"/>
        <v>2.5785333137688705E-2</v>
      </c>
      <c r="C59" s="4">
        <f t="shared" si="5"/>
        <v>2.4457720044207428E-2</v>
      </c>
      <c r="D59" s="39">
        <f t="shared" si="6"/>
        <v>5.1487141406786563E-2</v>
      </c>
    </row>
    <row r="60" spans="1:4" x14ac:dyDescent="0.25">
      <c r="A60" s="4">
        <v>2.1</v>
      </c>
      <c r="B60" s="29">
        <f t="shared" si="8"/>
        <v>2.5785333137688705E-2</v>
      </c>
      <c r="C60" s="4">
        <f t="shared" si="5"/>
        <v>2.4426207839433455E-2</v>
      </c>
      <c r="D60" s="39">
        <f t="shared" si="6"/>
        <v>5.2709239434595712E-2</v>
      </c>
    </row>
    <row r="61" spans="1:4" x14ac:dyDescent="0.25">
      <c r="A61" s="4">
        <v>2.15</v>
      </c>
      <c r="B61" s="29">
        <f t="shared" si="8"/>
        <v>2.5785333137688705E-2</v>
      </c>
      <c r="C61" s="4">
        <f t="shared" si="5"/>
        <v>2.4394736236115707E-2</v>
      </c>
      <c r="D61" s="39">
        <f t="shared" si="6"/>
        <v>5.3929762867420794E-2</v>
      </c>
    </row>
    <row r="62" spans="1:4" x14ac:dyDescent="0.25">
      <c r="A62" s="4">
        <v>2.2000000000000002</v>
      </c>
      <c r="B62" s="29">
        <f t="shared" si="8"/>
        <v>2.5785333137688705E-2</v>
      </c>
      <c r="C62" s="4">
        <f t="shared" si="5"/>
        <v>2.4363305181941807E-2</v>
      </c>
      <c r="D62" s="39">
        <f t="shared" si="6"/>
        <v>5.51487137340263E-2</v>
      </c>
    </row>
    <row r="63" spans="1:4" x14ac:dyDescent="0.25">
      <c r="A63" s="4">
        <v>2.25</v>
      </c>
      <c r="B63" s="29">
        <f t="shared" si="8"/>
        <v>2.5785333137688705E-2</v>
      </c>
      <c r="C63" s="4">
        <f t="shared" si="5"/>
        <v>2.4331914624666783E-2</v>
      </c>
      <c r="D63" s="39">
        <f t="shared" si="6"/>
        <v>5.6366094060563254E-2</v>
      </c>
    </row>
    <row r="64" spans="1:4" x14ac:dyDescent="0.25">
      <c r="A64" s="4">
        <v>2.2999999999999998</v>
      </c>
      <c r="B64" s="29">
        <f t="shared" si="8"/>
        <v>2.5785333137688705E-2</v>
      </c>
      <c r="C64" s="4">
        <f t="shared" si="5"/>
        <v>2.4300564512112981E-2</v>
      </c>
      <c r="D64" s="39">
        <f t="shared" si="6"/>
        <v>5.7581905870571659E-2</v>
      </c>
    </row>
    <row r="65" spans="1:4" x14ac:dyDescent="0.25">
      <c r="A65" s="4">
        <v>2.35</v>
      </c>
      <c r="B65" s="29">
        <f t="shared" si="8"/>
        <v>2.5785333137688705E-2</v>
      </c>
      <c r="C65" s="4">
        <f t="shared" si="5"/>
        <v>2.4269254792169962E-2</v>
      </c>
      <c r="D65" s="39">
        <f t="shared" si="6"/>
        <v>5.8796151184984713E-2</v>
      </c>
    </row>
    <row r="66" spans="1:4" x14ac:dyDescent="0.25">
      <c r="A66" s="4">
        <v>2.4</v>
      </c>
      <c r="B66" s="29">
        <f t="shared" si="8"/>
        <v>2.5785333137688705E-2</v>
      </c>
      <c r="C66" s="4">
        <f t="shared" si="5"/>
        <v>2.4237985412794445E-2</v>
      </c>
      <c r="D66" s="39">
        <f t="shared" si="6"/>
        <v>6.0008832022131364E-2</v>
      </c>
    </row>
    <row r="67" spans="1:4" x14ac:dyDescent="0.25">
      <c r="A67" s="4">
        <v>2.4500000000000002</v>
      </c>
      <c r="B67" s="29">
        <f t="shared" si="8"/>
        <v>2.5785333137688705E-2</v>
      </c>
      <c r="C67" s="4">
        <f t="shared" si="5"/>
        <v>2.4206756322010185E-2</v>
      </c>
      <c r="D67" s="39">
        <f t="shared" si="6"/>
        <v>6.1219950397740641E-2</v>
      </c>
    </row>
    <row r="68" spans="1:4" x14ac:dyDescent="0.25">
      <c r="A68" s="4">
        <v>2.5</v>
      </c>
      <c r="B68" s="29">
        <f t="shared" si="8"/>
        <v>2.5785333137688705E-2</v>
      </c>
      <c r="C68" s="4">
        <f t="shared" si="5"/>
        <v>2.4175567467907919E-2</v>
      </c>
      <c r="D68" s="39">
        <f t="shared" si="6"/>
        <v>6.2429508324943761E-2</v>
      </c>
    </row>
    <row r="69" spans="1:4" x14ac:dyDescent="0.25">
      <c r="A69" s="4">
        <v>2.5499999999999998</v>
      </c>
      <c r="B69" s="29">
        <f t="shared" si="8"/>
        <v>2.5785333137688705E-2</v>
      </c>
      <c r="C69" s="4">
        <f t="shared" si="5"/>
        <v>2.4144418798645262E-2</v>
      </c>
      <c r="D69" s="39">
        <f t="shared" si="6"/>
        <v>6.3637507814278682E-2</v>
      </c>
    </row>
    <row r="70" spans="1:4" x14ac:dyDescent="0.25">
      <c r="A70" s="4">
        <v>2.6</v>
      </c>
      <c r="B70" s="29">
        <f t="shared" si="8"/>
        <v>2.5785333137688705E-2</v>
      </c>
      <c r="C70" s="4">
        <f t="shared" si="5"/>
        <v>2.4113310262446619E-2</v>
      </c>
      <c r="D70" s="39">
        <f t="shared" si="6"/>
        <v>6.4843950873692657E-2</v>
      </c>
    </row>
    <row r="71" spans="1:4" x14ac:dyDescent="0.25">
      <c r="A71" s="4">
        <v>2.65</v>
      </c>
      <c r="B71" s="29">
        <f t="shared" si="8"/>
        <v>2.5785333137688705E-2</v>
      </c>
      <c r="C71" s="4">
        <f t="shared" si="5"/>
        <v>2.4082241807603114E-2</v>
      </c>
      <c r="D71" s="39">
        <f t="shared" si="6"/>
        <v>6.6048839508545898E-2</v>
      </c>
    </row>
    <row r="72" spans="1:4" x14ac:dyDescent="0.25">
      <c r="A72" s="4">
        <v>2.7</v>
      </c>
      <c r="B72" s="29">
        <f t="shared" si="8"/>
        <v>2.5785333137688705E-2</v>
      </c>
      <c r="C72" s="4">
        <f t="shared" si="5"/>
        <v>2.4051213382472486E-2</v>
      </c>
      <c r="D72" s="39">
        <f t="shared" si="6"/>
        <v>6.7252175721614793E-2</v>
      </c>
    </row>
    <row r="73" spans="1:4" x14ac:dyDescent="0.25">
      <c r="A73" s="4">
        <v>2.75</v>
      </c>
      <c r="B73" s="29">
        <f t="shared" si="8"/>
        <v>2.5785333137688705E-2</v>
      </c>
      <c r="C73" s="4">
        <f t="shared" si="5"/>
        <v>2.402022493547902E-2</v>
      </c>
      <c r="D73" s="39">
        <f t="shared" si="6"/>
        <v>6.8453961513095352E-2</v>
      </c>
    </row>
    <row r="74" spans="1:4" x14ac:dyDescent="0.25">
      <c r="A74" s="4">
        <v>2.8</v>
      </c>
      <c r="B74" s="29">
        <f t="shared" si="8"/>
        <v>2.5785333137688705E-2</v>
      </c>
      <c r="C74" s="4">
        <f t="shared" si="5"/>
        <v>2.3989276415113444E-2</v>
      </c>
      <c r="D74" s="39">
        <f t="shared" si="6"/>
        <v>6.9654198880606422E-2</v>
      </c>
    </row>
    <row r="75" spans="1:4" x14ac:dyDescent="0.25">
      <c r="A75" s="4">
        <v>2.85</v>
      </c>
      <c r="B75" s="29">
        <f t="shared" si="8"/>
        <v>2.5785333137688705E-2</v>
      </c>
      <c r="C75" s="4">
        <f t="shared" si="5"/>
        <v>2.3958367769932858E-2</v>
      </c>
      <c r="D75" s="39">
        <f t="shared" si="6"/>
        <v>7.0852889819193132E-2</v>
      </c>
    </row>
    <row r="76" spans="1:4" x14ac:dyDescent="0.25">
      <c r="A76" s="4">
        <v>2.9</v>
      </c>
      <c r="B76" s="29">
        <f t="shared" si="8"/>
        <v>2.5785333137688705E-2</v>
      </c>
      <c r="C76" s="4">
        <f t="shared" si="5"/>
        <v>2.3927498948560642E-2</v>
      </c>
      <c r="D76" s="39">
        <f t="shared" si="6"/>
        <v>7.2050036321329891E-2</v>
      </c>
    </row>
    <row r="77" spans="1:4" x14ac:dyDescent="0.25">
      <c r="A77" s="4">
        <v>2.95</v>
      </c>
      <c r="B77" s="29">
        <f t="shared" si="8"/>
        <v>2.5785333137688705E-2</v>
      </c>
      <c r="C77" s="4">
        <f t="shared" si="5"/>
        <v>2.3896669899686373E-2</v>
      </c>
      <c r="D77" s="39">
        <f t="shared" si="6"/>
        <v>7.3245640376924159E-2</v>
      </c>
    </row>
    <row r="78" spans="1:4" x14ac:dyDescent="0.25">
      <c r="A78" s="4">
        <v>3</v>
      </c>
      <c r="B78" s="29">
        <f t="shared" ref="B78:B97" si="9">$F$8</f>
        <v>3.1825032958371594E-2</v>
      </c>
      <c r="C78" s="4">
        <f t="shared" si="5"/>
        <v>2.892707712388895E-2</v>
      </c>
      <c r="D78" s="39">
        <f t="shared" si="6"/>
        <v>9.1059004974897717E-2</v>
      </c>
    </row>
    <row r="79" spans="1:4" x14ac:dyDescent="0.25">
      <c r="A79" s="4">
        <v>3.05</v>
      </c>
      <c r="B79" s="29">
        <f t="shared" si="9"/>
        <v>3.1825032958371594E-2</v>
      </c>
      <c r="C79" s="4">
        <f t="shared" si="5"/>
        <v>2.8881083468191279E-2</v>
      </c>
      <c r="D79" s="39">
        <f t="shared" si="6"/>
        <v>9.2504208684751954E-2</v>
      </c>
    </row>
    <row r="80" spans="1:4" x14ac:dyDescent="0.25">
      <c r="A80" s="4">
        <v>3.1</v>
      </c>
      <c r="B80" s="29">
        <f t="shared" si="9"/>
        <v>3.1825032958371594E-2</v>
      </c>
      <c r="C80" s="4">
        <f t="shared" si="5"/>
        <v>2.8835162941775055E-2</v>
      </c>
      <c r="D80" s="39">
        <f t="shared" si="6"/>
        <v>9.3947114540538168E-2</v>
      </c>
    </row>
    <row r="81" spans="1:4" x14ac:dyDescent="0.25">
      <c r="A81" s="4">
        <v>3.15</v>
      </c>
      <c r="B81" s="29">
        <f t="shared" si="9"/>
        <v>3.1825032958371594E-2</v>
      </c>
      <c r="C81" s="4">
        <f t="shared" si="5"/>
        <v>2.8789315428365724E-2</v>
      </c>
      <c r="D81" s="39">
        <f t="shared" si="6"/>
        <v>9.5387726195812816E-2</v>
      </c>
    </row>
    <row r="82" spans="1:4" x14ac:dyDescent="0.25">
      <c r="A82" s="4">
        <v>3.2</v>
      </c>
      <c r="B82" s="29">
        <f t="shared" si="9"/>
        <v>3.1825032958371594E-2</v>
      </c>
      <c r="C82" s="4">
        <f t="shared" si="5"/>
        <v>2.8743540811873611E-2</v>
      </c>
      <c r="D82" s="39">
        <f t="shared" si="6"/>
        <v>9.6826047298323226E-2</v>
      </c>
    </row>
    <row r="83" spans="1:4" x14ac:dyDescent="0.25">
      <c r="A83" s="4">
        <v>3.25</v>
      </c>
      <c r="B83" s="29">
        <f t="shared" si="9"/>
        <v>3.1825032958371594E-2</v>
      </c>
      <c r="C83" s="4">
        <f t="shared" ref="C83:C146" si="10">B83*EXP(-B83*A83)</f>
        <v>2.8697838976393608E-2</v>
      </c>
      <c r="D83" s="39">
        <f t="shared" ref="D83:D146" si="11">1-EXP(-B83*A83)</f>
        <v>9.8262081490016917E-2</v>
      </c>
    </row>
    <row r="84" spans="1:4" x14ac:dyDescent="0.25">
      <c r="A84" s="4">
        <v>3.3</v>
      </c>
      <c r="B84" s="29">
        <f t="shared" si="9"/>
        <v>3.1825032958371594E-2</v>
      </c>
      <c r="C84" s="4">
        <f t="shared" si="10"/>
        <v>2.8652209806204913E-2</v>
      </c>
      <c r="D84" s="39">
        <f t="shared" si="11"/>
        <v>9.9695832407050711E-2</v>
      </c>
    </row>
    <row r="85" spans="1:4" x14ac:dyDescent="0.25">
      <c r="A85" s="4">
        <v>3.35</v>
      </c>
      <c r="B85" s="29">
        <f t="shared" si="9"/>
        <v>3.1825032958371594E-2</v>
      </c>
      <c r="C85" s="4">
        <f t="shared" si="10"/>
        <v>2.8606653185770711E-2</v>
      </c>
      <c r="D85" s="39">
        <f t="shared" si="11"/>
        <v>0.10112730367979983</v>
      </c>
    </row>
    <row r="86" spans="1:4" x14ac:dyDescent="0.25">
      <c r="A86" s="4">
        <v>3.4</v>
      </c>
      <c r="B86" s="29">
        <f t="shared" si="9"/>
        <v>3.1825032958371594E-2</v>
      </c>
      <c r="C86" s="4">
        <f t="shared" si="10"/>
        <v>2.8561168999737877E-2</v>
      </c>
      <c r="D86" s="39">
        <f t="shared" si="11"/>
        <v>0.10255649893286767</v>
      </c>
    </row>
    <row r="87" spans="1:4" x14ac:dyDescent="0.25">
      <c r="A87" s="4">
        <v>3.45</v>
      </c>
      <c r="B87" s="29">
        <f t="shared" si="9"/>
        <v>3.1825032958371594E-2</v>
      </c>
      <c r="C87" s="4">
        <f t="shared" si="10"/>
        <v>2.851575713293672E-2</v>
      </c>
      <c r="D87" s="39">
        <f t="shared" si="11"/>
        <v>0.10398342178509412</v>
      </c>
    </row>
    <row r="88" spans="1:4" x14ac:dyDescent="0.25">
      <c r="A88" s="4">
        <v>3.5</v>
      </c>
      <c r="B88" s="29">
        <f t="shared" si="9"/>
        <v>3.1825032958371594E-2</v>
      </c>
      <c r="C88" s="4">
        <f t="shared" si="10"/>
        <v>2.8470417470380642E-2</v>
      </c>
      <c r="D88" s="39">
        <f t="shared" si="11"/>
        <v>0.10540807584956535</v>
      </c>
    </row>
    <row r="89" spans="1:4" x14ac:dyDescent="0.25">
      <c r="A89" s="4">
        <v>3.55</v>
      </c>
      <c r="B89" s="29">
        <f t="shared" si="9"/>
        <v>3.1825032958371594E-2</v>
      </c>
      <c r="C89" s="4">
        <f t="shared" si="10"/>
        <v>2.8425149897265894E-2</v>
      </c>
      <c r="D89" s="39">
        <f t="shared" si="11"/>
        <v>0.10683046473362279</v>
      </c>
    </row>
    <row r="90" spans="1:4" x14ac:dyDescent="0.25">
      <c r="A90" s="4">
        <v>3.6</v>
      </c>
      <c r="B90" s="29">
        <f t="shared" si="9"/>
        <v>3.1825032958371594E-2</v>
      </c>
      <c r="C90" s="4">
        <f t="shared" si="10"/>
        <v>2.8379954298971249E-2</v>
      </c>
      <c r="D90" s="39">
        <f t="shared" si="11"/>
        <v>0.10825059203887211</v>
      </c>
    </row>
    <row r="91" spans="1:4" x14ac:dyDescent="0.25">
      <c r="A91" s="4">
        <v>3.65</v>
      </c>
      <c r="B91" s="29">
        <f t="shared" si="9"/>
        <v>3.1825032958371594E-2</v>
      </c>
      <c r="C91" s="4">
        <f t="shared" si="10"/>
        <v>2.833483056105773E-2</v>
      </c>
      <c r="D91" s="39">
        <f t="shared" si="11"/>
        <v>0.10966846136119279</v>
      </c>
    </row>
    <row r="92" spans="1:4" x14ac:dyDescent="0.25">
      <c r="A92" s="4">
        <v>3.7</v>
      </c>
      <c r="B92" s="29">
        <f t="shared" si="9"/>
        <v>3.1825032958371594E-2</v>
      </c>
      <c r="C92" s="4">
        <f t="shared" si="10"/>
        <v>2.8289778569268318E-2</v>
      </c>
      <c r="D92" s="39">
        <f t="shared" si="11"/>
        <v>0.11108407629074657</v>
      </c>
    </row>
    <row r="93" spans="1:4" x14ac:dyDescent="0.25">
      <c r="A93" s="4">
        <v>3.75</v>
      </c>
      <c r="B93" s="29">
        <f t="shared" si="9"/>
        <v>3.1825032958371594E-2</v>
      </c>
      <c r="C93" s="4">
        <f t="shared" si="10"/>
        <v>2.8244798209527664E-2</v>
      </c>
      <c r="D93" s="39">
        <f t="shared" si="11"/>
        <v>0.11249744041198695</v>
      </c>
    </row>
    <row r="94" spans="1:4" x14ac:dyDescent="0.25">
      <c r="A94" s="4">
        <v>3.8</v>
      </c>
      <c r="B94" s="29">
        <f t="shared" si="9"/>
        <v>3.1825032958371594E-2</v>
      </c>
      <c r="C94" s="4">
        <f t="shared" si="10"/>
        <v>2.8199889367941787E-2</v>
      </c>
      <c r="D94" s="39">
        <f t="shared" si="11"/>
        <v>0.11390855730366845</v>
      </c>
    </row>
    <row r="95" spans="1:4" x14ac:dyDescent="0.25">
      <c r="A95" s="4">
        <v>3.85</v>
      </c>
      <c r="B95" s="29">
        <f t="shared" si="9"/>
        <v>3.1825032958371594E-2</v>
      </c>
      <c r="C95" s="4">
        <f t="shared" si="10"/>
        <v>2.8155051930797804E-2</v>
      </c>
      <c r="D95" s="39">
        <f t="shared" si="11"/>
        <v>0.11531743053885513</v>
      </c>
    </row>
    <row r="96" spans="1:4" x14ac:dyDescent="0.25">
      <c r="A96" s="4">
        <v>3.9</v>
      </c>
      <c r="B96" s="29">
        <f t="shared" si="9"/>
        <v>3.1825032958371594E-2</v>
      </c>
      <c r="C96" s="4">
        <f t="shared" si="10"/>
        <v>2.8110285784563635E-2</v>
      </c>
      <c r="D96" s="39">
        <f t="shared" si="11"/>
        <v>0.11672406368492994</v>
      </c>
    </row>
    <row r="97" spans="1:4" x14ac:dyDescent="0.25">
      <c r="A97" s="4">
        <v>3.95</v>
      </c>
      <c r="B97" s="29">
        <f t="shared" si="9"/>
        <v>3.1825032958371594E-2</v>
      </c>
      <c r="C97" s="4">
        <f t="shared" si="10"/>
        <v>2.8065590815887706E-2</v>
      </c>
      <c r="D97" s="39">
        <f t="shared" si="11"/>
        <v>0.11812846030360402</v>
      </c>
    </row>
    <row r="98" spans="1:4" x14ac:dyDescent="0.25">
      <c r="A98" s="4">
        <v>4</v>
      </c>
      <c r="B98" s="29">
        <f t="shared" ref="B98:B117" si="12">$F$9</f>
        <v>3.8792672689941604E-2</v>
      </c>
      <c r="C98" s="4">
        <f t="shared" si="10"/>
        <v>3.3216963354186793E-2</v>
      </c>
      <c r="D98" s="39">
        <f t="shared" si="11"/>
        <v>0.14373099219844465</v>
      </c>
    </row>
    <row r="99" spans="1:4" x14ac:dyDescent="0.25">
      <c r="A99" s="4">
        <v>4.05</v>
      </c>
      <c r="B99" s="29">
        <f t="shared" si="12"/>
        <v>3.8792672689941604E-2</v>
      </c>
      <c r="C99" s="4">
        <f t="shared" si="10"/>
        <v>3.3152597058524934E-2</v>
      </c>
      <c r="D99" s="39">
        <f t="shared" si="11"/>
        <v>0.1453902306885666</v>
      </c>
    </row>
    <row r="100" spans="1:4" x14ac:dyDescent="0.25">
      <c r="A100" s="4">
        <v>4.0999999999999996</v>
      </c>
      <c r="B100" s="29">
        <f t="shared" si="12"/>
        <v>3.8792672689941604E-2</v>
      </c>
      <c r="C100" s="4">
        <f t="shared" si="10"/>
        <v>3.3088355488894577E-2</v>
      </c>
      <c r="D100" s="39">
        <f t="shared" si="11"/>
        <v>0.14704625398306415</v>
      </c>
    </row>
    <row r="101" spans="1:4" x14ac:dyDescent="0.25">
      <c r="A101" s="4">
        <v>4.1500000000000004</v>
      </c>
      <c r="B101" s="29">
        <f t="shared" si="12"/>
        <v>3.8792672689941604E-2</v>
      </c>
      <c r="C101" s="4">
        <f t="shared" si="10"/>
        <v>3.302423840360736E-2</v>
      </c>
      <c r="D101" s="39">
        <f t="shared" si="11"/>
        <v>0.14869906831219482</v>
      </c>
    </row>
    <row r="102" spans="1:4" x14ac:dyDescent="0.25">
      <c r="A102" s="4">
        <v>4.2</v>
      </c>
      <c r="B102" s="29">
        <f t="shared" si="12"/>
        <v>3.8792672689941604E-2</v>
      </c>
      <c r="C102" s="4">
        <f t="shared" si="10"/>
        <v>3.2960245561443294E-2</v>
      </c>
      <c r="D102" s="39">
        <f t="shared" si="11"/>
        <v>0.15034867989414336</v>
      </c>
    </row>
    <row r="103" spans="1:4" x14ac:dyDescent="0.25">
      <c r="A103" s="4">
        <v>4.25</v>
      </c>
      <c r="B103" s="29">
        <f t="shared" si="12"/>
        <v>3.8792672689941604E-2</v>
      </c>
      <c r="C103" s="4">
        <f t="shared" si="10"/>
        <v>3.28963767216498E-2</v>
      </c>
      <c r="D103" s="39">
        <f t="shared" si="11"/>
        <v>0.15199509493504504</v>
      </c>
    </row>
    <row r="104" spans="1:4" x14ac:dyDescent="0.25">
      <c r="A104" s="4">
        <v>4.3</v>
      </c>
      <c r="B104" s="29">
        <f t="shared" si="12"/>
        <v>3.8792672689941604E-2</v>
      </c>
      <c r="C104" s="4">
        <f t="shared" si="10"/>
        <v>3.2832631643940811E-2</v>
      </c>
      <c r="D104" s="39">
        <f t="shared" si="11"/>
        <v>0.15363831962900942</v>
      </c>
    </row>
    <row r="105" spans="1:4" x14ac:dyDescent="0.25">
      <c r="A105" s="4">
        <v>4.3499999999999996</v>
      </c>
      <c r="B105" s="29">
        <f t="shared" si="12"/>
        <v>3.8792672689941604E-2</v>
      </c>
      <c r="C105" s="4">
        <f t="shared" si="10"/>
        <v>3.2769010088495885E-2</v>
      </c>
      <c r="D105" s="39">
        <f t="shared" si="11"/>
        <v>0.15527836015814322</v>
      </c>
    </row>
    <row r="106" spans="1:4" x14ac:dyDescent="0.25">
      <c r="A106" s="4">
        <v>4.4000000000000004</v>
      </c>
      <c r="B106" s="29">
        <f t="shared" si="12"/>
        <v>3.8792672689941604E-2</v>
      </c>
      <c r="C106" s="4">
        <f t="shared" si="10"/>
        <v>3.2705511815959286E-2</v>
      </c>
      <c r="D106" s="39">
        <f t="shared" si="11"/>
        <v>0.15691522269257396</v>
      </c>
    </row>
    <row r="107" spans="1:4" x14ac:dyDescent="0.25">
      <c r="A107" s="4">
        <v>4.45</v>
      </c>
      <c r="B107" s="29">
        <f t="shared" si="12"/>
        <v>3.8792672689941604E-2</v>
      </c>
      <c r="C107" s="4">
        <f t="shared" si="10"/>
        <v>3.26421365874391E-2</v>
      </c>
      <c r="D107" s="39">
        <f t="shared" si="11"/>
        <v>0.15854891339047261</v>
      </c>
    </row>
    <row r="108" spans="1:4" x14ac:dyDescent="0.25">
      <c r="A108" s="4">
        <v>4.5</v>
      </c>
      <c r="B108" s="29">
        <f t="shared" si="12"/>
        <v>3.8792672689941604E-2</v>
      </c>
      <c r="C108" s="4">
        <f t="shared" si="10"/>
        <v>3.2578884164506328E-2</v>
      </c>
      <c r="D108" s="39">
        <f t="shared" si="11"/>
        <v>0.16017943839807736</v>
      </c>
    </row>
    <row r="109" spans="1:4" x14ac:dyDescent="0.25">
      <c r="A109" s="4">
        <v>4.55</v>
      </c>
      <c r="B109" s="29">
        <f t="shared" si="12"/>
        <v>3.8792672689941604E-2</v>
      </c>
      <c r="C109" s="4">
        <f t="shared" si="10"/>
        <v>3.2515754309193963E-2</v>
      </c>
      <c r="D109" s="39">
        <f t="shared" si="11"/>
        <v>0.16180680384971657</v>
      </c>
    </row>
    <row r="110" spans="1:4" x14ac:dyDescent="0.25">
      <c r="A110" s="4">
        <v>4.5999999999999996</v>
      </c>
      <c r="B110" s="29">
        <f t="shared" si="12"/>
        <v>3.8792672689941604E-2</v>
      </c>
      <c r="C110" s="4">
        <f t="shared" si="10"/>
        <v>3.2452746783996157E-2</v>
      </c>
      <c r="D110" s="39">
        <f t="shared" si="11"/>
        <v>0.16343101586783171</v>
      </c>
    </row>
    <row r="111" spans="1:4" x14ac:dyDescent="0.25">
      <c r="A111" s="4">
        <v>4.6500000000000004</v>
      </c>
      <c r="B111" s="29">
        <f t="shared" si="12"/>
        <v>3.8792672689941604E-2</v>
      </c>
      <c r="C111" s="4">
        <f t="shared" si="10"/>
        <v>3.2389861351867257E-2</v>
      </c>
      <c r="D111" s="39">
        <f t="shared" si="11"/>
        <v>0.16505208056300047</v>
      </c>
    </row>
    <row r="112" spans="1:4" x14ac:dyDescent="0.25">
      <c r="A112" s="4">
        <v>4.7</v>
      </c>
      <c r="B112" s="29">
        <f t="shared" si="12"/>
        <v>3.8792672689941604E-2</v>
      </c>
      <c r="C112" s="4">
        <f t="shared" si="10"/>
        <v>3.2327097776220962E-2</v>
      </c>
      <c r="D112" s="39">
        <f t="shared" si="11"/>
        <v>0.1666700040339596</v>
      </c>
    </row>
    <row r="113" spans="1:4" x14ac:dyDescent="0.25">
      <c r="A113" s="4">
        <v>4.75</v>
      </c>
      <c r="B113" s="29">
        <f t="shared" si="12"/>
        <v>3.8792672689941604E-2</v>
      </c>
      <c r="C113" s="4">
        <f t="shared" si="10"/>
        <v>3.2264455820929419E-2</v>
      </c>
      <c r="D113" s="39">
        <f t="shared" si="11"/>
        <v>0.16828479236762817</v>
      </c>
    </row>
    <row r="114" spans="1:4" x14ac:dyDescent="0.25">
      <c r="A114" s="4">
        <v>4.8</v>
      </c>
      <c r="B114" s="29">
        <f t="shared" si="12"/>
        <v>3.8792672689941604E-2</v>
      </c>
      <c r="C114" s="4">
        <f t="shared" si="10"/>
        <v>3.2201935250322326E-2</v>
      </c>
      <c r="D114" s="39">
        <f t="shared" si="11"/>
        <v>0.16989645163913036</v>
      </c>
    </row>
    <row r="115" spans="1:4" x14ac:dyDescent="0.25">
      <c r="A115" s="4">
        <v>4.8499999999999996</v>
      </c>
      <c r="B115" s="29">
        <f t="shared" si="12"/>
        <v>3.8792672689941604E-2</v>
      </c>
      <c r="C115" s="4">
        <f t="shared" si="10"/>
        <v>3.2139535829186057E-2</v>
      </c>
      <c r="D115" s="39">
        <f t="shared" si="11"/>
        <v>0.17150498791181801</v>
      </c>
    </row>
    <row r="116" spans="1:4" x14ac:dyDescent="0.25">
      <c r="A116" s="4">
        <v>4.9000000000000004</v>
      </c>
      <c r="B116" s="29">
        <f t="shared" si="12"/>
        <v>3.8792672689941604E-2</v>
      </c>
      <c r="C116" s="4">
        <f t="shared" si="10"/>
        <v>3.2077257322762759E-2</v>
      </c>
      <c r="D116" s="39">
        <f t="shared" si="11"/>
        <v>0.17311040723729398</v>
      </c>
    </row>
    <row r="117" spans="1:4" x14ac:dyDescent="0.25">
      <c r="A117" s="4">
        <v>4.95</v>
      </c>
      <c r="B117" s="29">
        <f t="shared" si="12"/>
        <v>3.8792672689941604E-2</v>
      </c>
      <c r="C117" s="4">
        <f t="shared" si="10"/>
        <v>3.2015099496749508E-2</v>
      </c>
      <c r="D117" s="39">
        <f t="shared" si="11"/>
        <v>0.17471271565543423</v>
      </c>
    </row>
    <row r="118" spans="1:4" x14ac:dyDescent="0.25">
      <c r="A118" s="4">
        <v>5</v>
      </c>
      <c r="B118" s="29">
        <f t="shared" ref="B118:B137" si="13">$F$10</f>
        <v>3.0178477294476452E-2</v>
      </c>
      <c r="C118" s="4">
        <f t="shared" si="10"/>
        <v>2.5951686853000956E-2</v>
      </c>
      <c r="D118" s="39">
        <f t="shared" si="11"/>
        <v>0.14005976511774243</v>
      </c>
    </row>
    <row r="119" spans="1:4" x14ac:dyDescent="0.25">
      <c r="A119" s="4">
        <v>5.05</v>
      </c>
      <c r="B119" s="29">
        <f t="shared" si="13"/>
        <v>3.0178477294476452E-2</v>
      </c>
      <c r="C119" s="4">
        <f t="shared" si="10"/>
        <v>2.5912557262589373E-2</v>
      </c>
      <c r="D119" s="39">
        <f t="shared" si="11"/>
        <v>0.14135637097461728</v>
      </c>
    </row>
    <row r="120" spans="1:4" x14ac:dyDescent="0.25">
      <c r="A120" s="4">
        <v>5.0999999999999996</v>
      </c>
      <c r="B120" s="29">
        <f t="shared" si="13"/>
        <v>3.0178477294476452E-2</v>
      </c>
      <c r="C120" s="4">
        <f t="shared" si="10"/>
        <v>2.587348667122685E-2</v>
      </c>
      <c r="D120" s="39">
        <f t="shared" si="11"/>
        <v>0.1426510218273187</v>
      </c>
    </row>
    <row r="121" spans="1:4" x14ac:dyDescent="0.25">
      <c r="A121" s="4">
        <v>5.15</v>
      </c>
      <c r="B121" s="29">
        <f t="shared" si="13"/>
        <v>3.0178477294476452E-2</v>
      </c>
      <c r="C121" s="4">
        <f t="shared" si="10"/>
        <v>2.583447498995544E-2</v>
      </c>
      <c r="D121" s="39">
        <f t="shared" si="11"/>
        <v>0.14394372062357474</v>
      </c>
    </row>
    <row r="122" spans="1:4" x14ac:dyDescent="0.25">
      <c r="A122" s="4">
        <v>5.2</v>
      </c>
      <c r="B122" s="29">
        <f t="shared" si="13"/>
        <v>3.0178477294476452E-2</v>
      </c>
      <c r="C122" s="4">
        <f t="shared" si="10"/>
        <v>2.5795522129951336E-2</v>
      </c>
      <c r="D122" s="39">
        <f t="shared" si="11"/>
        <v>0.14523447030666869</v>
      </c>
    </row>
    <row r="123" spans="1:4" x14ac:dyDescent="0.25">
      <c r="A123" s="4">
        <v>5.25</v>
      </c>
      <c r="B123" s="29">
        <f t="shared" si="13"/>
        <v>3.0178477294476452E-2</v>
      </c>
      <c r="C123" s="4">
        <f t="shared" si="10"/>
        <v>2.5756628002524658E-2</v>
      </c>
      <c r="D123" s="39">
        <f t="shared" si="11"/>
        <v>0.14652327381544605</v>
      </c>
    </row>
    <row r="124" spans="1:4" x14ac:dyDescent="0.25">
      <c r="A124" s="4">
        <v>5.3</v>
      </c>
      <c r="B124" s="29">
        <f t="shared" si="13"/>
        <v>3.0178477294476452E-2</v>
      </c>
      <c r="C124" s="4">
        <f t="shared" si="10"/>
        <v>2.5717792519119237E-2</v>
      </c>
      <c r="D124" s="39">
        <f t="shared" si="11"/>
        <v>0.14781013408432142</v>
      </c>
    </row>
    <row r="125" spans="1:4" x14ac:dyDescent="0.25">
      <c r="A125" s="4">
        <v>5.35</v>
      </c>
      <c r="B125" s="29">
        <f t="shared" si="13"/>
        <v>3.0178477294476452E-2</v>
      </c>
      <c r="C125" s="4">
        <f t="shared" si="10"/>
        <v>2.567901559131245E-2</v>
      </c>
      <c r="D125" s="39">
        <f t="shared" si="11"/>
        <v>0.1490950540432846</v>
      </c>
    </row>
    <row r="126" spans="1:4" x14ac:dyDescent="0.25">
      <c r="A126" s="4">
        <v>5.4</v>
      </c>
      <c r="B126" s="29">
        <f t="shared" si="13"/>
        <v>3.0178477294476452E-2</v>
      </c>
      <c r="C126" s="4">
        <f t="shared" si="10"/>
        <v>2.5640297130814976E-2</v>
      </c>
      <c r="D126" s="39">
        <f t="shared" si="11"/>
        <v>0.15037803661790772</v>
      </c>
    </row>
    <row r="127" spans="1:4" x14ac:dyDescent="0.25">
      <c r="A127" s="4">
        <v>5.45</v>
      </c>
      <c r="B127" s="29">
        <f t="shared" si="13"/>
        <v>3.0178477294476452E-2</v>
      </c>
      <c r="C127" s="4">
        <f t="shared" si="10"/>
        <v>2.5601637049470626E-2</v>
      </c>
      <c r="D127" s="39">
        <f t="shared" si="11"/>
        <v>0.15165908472935186</v>
      </c>
    </row>
    <row r="128" spans="1:4" x14ac:dyDescent="0.25">
      <c r="A128" s="4">
        <v>5.5</v>
      </c>
      <c r="B128" s="29">
        <f t="shared" si="13"/>
        <v>3.0178477294476452E-2</v>
      </c>
      <c r="C128" s="4">
        <f t="shared" si="10"/>
        <v>2.5563035259256128E-2</v>
      </c>
      <c r="D128" s="39">
        <f t="shared" si="11"/>
        <v>0.15293820129437363</v>
      </c>
    </row>
    <row r="129" spans="1:4" x14ac:dyDescent="0.25">
      <c r="A129" s="4">
        <v>5.55</v>
      </c>
      <c r="B129" s="29">
        <f t="shared" si="13"/>
        <v>3.0178477294476452E-2</v>
      </c>
      <c r="C129" s="4">
        <f t="shared" si="10"/>
        <v>2.5524491672280939E-2</v>
      </c>
      <c r="D129" s="39">
        <f t="shared" si="11"/>
        <v>0.1542153892253314</v>
      </c>
    </row>
    <row r="130" spans="1:4" x14ac:dyDescent="0.25">
      <c r="A130" s="4">
        <v>5.6</v>
      </c>
      <c r="B130" s="29">
        <f t="shared" si="13"/>
        <v>3.0178477294476452E-2</v>
      </c>
      <c r="C130" s="4">
        <f t="shared" si="10"/>
        <v>2.5486006200787024E-2</v>
      </c>
      <c r="D130" s="39">
        <f t="shared" si="11"/>
        <v>0.15549065143019292</v>
      </c>
    </row>
    <row r="131" spans="1:4" x14ac:dyDescent="0.25">
      <c r="A131" s="4">
        <v>5.65</v>
      </c>
      <c r="B131" s="29">
        <f t="shared" si="13"/>
        <v>3.0178477294476452E-2</v>
      </c>
      <c r="C131" s="4">
        <f t="shared" si="10"/>
        <v>2.5447578757148669E-2</v>
      </c>
      <c r="D131" s="39">
        <f t="shared" si="11"/>
        <v>0.156763990812541</v>
      </c>
    </row>
    <row r="132" spans="1:4" x14ac:dyDescent="0.25">
      <c r="A132" s="4">
        <v>5.7</v>
      </c>
      <c r="B132" s="29">
        <f t="shared" si="13"/>
        <v>3.0178477294476452E-2</v>
      </c>
      <c r="C132" s="4">
        <f t="shared" si="10"/>
        <v>2.5409209253872293E-2</v>
      </c>
      <c r="D132" s="39">
        <f t="shared" si="11"/>
        <v>0.15803541027158041</v>
      </c>
    </row>
    <row r="133" spans="1:4" x14ac:dyDescent="0.25">
      <c r="A133" s="4">
        <v>5.75</v>
      </c>
      <c r="B133" s="29">
        <f t="shared" si="13"/>
        <v>3.0178477294476452E-2</v>
      </c>
      <c r="C133" s="4">
        <f t="shared" si="10"/>
        <v>2.5370897603596222E-2</v>
      </c>
      <c r="D133" s="39">
        <f t="shared" si="11"/>
        <v>0.15930491270214486</v>
      </c>
    </row>
    <row r="134" spans="1:4" x14ac:dyDescent="0.25">
      <c r="A134" s="4">
        <v>5.8</v>
      </c>
      <c r="B134" s="29">
        <f t="shared" si="13"/>
        <v>3.0178477294476452E-2</v>
      </c>
      <c r="C134" s="4">
        <f t="shared" si="10"/>
        <v>2.5332643719090518E-2</v>
      </c>
      <c r="D134" s="39">
        <f t="shared" si="11"/>
        <v>0.16057250099470277</v>
      </c>
    </row>
    <row r="135" spans="1:4" x14ac:dyDescent="0.25">
      <c r="A135" s="4">
        <v>5.85</v>
      </c>
      <c r="B135" s="29">
        <f t="shared" si="13"/>
        <v>3.0178477294476452E-2</v>
      </c>
      <c r="C135" s="4">
        <f t="shared" si="10"/>
        <v>2.5294447513256754E-2</v>
      </c>
      <c r="D135" s="39">
        <f t="shared" si="11"/>
        <v>0.16183817803536493</v>
      </c>
    </row>
    <row r="136" spans="1:4" x14ac:dyDescent="0.25">
      <c r="A136" s="4">
        <v>5.9</v>
      </c>
      <c r="B136" s="29">
        <f t="shared" si="13"/>
        <v>3.0178477294476452E-2</v>
      </c>
      <c r="C136" s="4">
        <f t="shared" si="10"/>
        <v>2.5256308899127836E-2</v>
      </c>
      <c r="D136" s="39">
        <f t="shared" si="11"/>
        <v>0.16310194670589018</v>
      </c>
    </row>
    <row r="137" spans="1:4" x14ac:dyDescent="0.25">
      <c r="A137" s="4">
        <v>5.95</v>
      </c>
      <c r="B137" s="29">
        <f t="shared" si="13"/>
        <v>3.0178477294476452E-2</v>
      </c>
      <c r="C137" s="4">
        <f t="shared" si="10"/>
        <v>2.5218227789867806E-2</v>
      </c>
      <c r="D137" s="39">
        <f t="shared" si="11"/>
        <v>0.16436380988369215</v>
      </c>
    </row>
    <row r="138" spans="1:4" x14ac:dyDescent="0.25">
      <c r="A138" s="4">
        <v>6</v>
      </c>
      <c r="B138" s="29">
        <f t="shared" ref="B138:B158" si="14">$F$11</f>
        <v>3.2079198146137286E-2</v>
      </c>
      <c r="C138" s="4">
        <f t="shared" si="10"/>
        <v>2.6462604842079504E-2</v>
      </c>
      <c r="D138" s="39">
        <f t="shared" si="11"/>
        <v>0.17508521498795904</v>
      </c>
    </row>
    <row r="139" spans="1:4" x14ac:dyDescent="0.25">
      <c r="A139" s="4">
        <v>6.05</v>
      </c>
      <c r="B139" s="29">
        <f t="shared" si="14"/>
        <v>3.2079198146137286E-2</v>
      </c>
      <c r="C139" s="4">
        <f t="shared" si="10"/>
        <v>2.6420193906682415E-2</v>
      </c>
      <c r="D139" s="39">
        <f t="shared" si="11"/>
        <v>0.17640728467323874</v>
      </c>
    </row>
    <row r="140" spans="1:4" x14ac:dyDescent="0.25">
      <c r="A140" s="4">
        <v>6.1</v>
      </c>
      <c r="B140" s="29">
        <f t="shared" si="14"/>
        <v>3.2079198146137286E-2</v>
      </c>
      <c r="C140" s="4">
        <f t="shared" si="10"/>
        <v>2.6377850942199448E-2</v>
      </c>
      <c r="D140" s="39">
        <f t="shared" si="11"/>
        <v>0.17772723551147573</v>
      </c>
    </row>
    <row r="141" spans="1:4" x14ac:dyDescent="0.25">
      <c r="A141" s="4">
        <v>6.15</v>
      </c>
      <c r="B141" s="29">
        <f t="shared" si="14"/>
        <v>3.2079198146137286E-2</v>
      </c>
      <c r="C141" s="4">
        <f t="shared" si="10"/>
        <v>2.6335575839695376E-2</v>
      </c>
      <c r="D141" s="39">
        <f t="shared" si="11"/>
        <v>0.17904507089849164</v>
      </c>
    </row>
    <row r="142" spans="1:4" x14ac:dyDescent="0.25">
      <c r="A142" s="4">
        <v>6.2</v>
      </c>
      <c r="B142" s="29">
        <f t="shared" si="14"/>
        <v>3.2079198146137286E-2</v>
      </c>
      <c r="C142" s="4">
        <f t="shared" si="10"/>
        <v>2.6293368490409547E-2</v>
      </c>
      <c r="D142" s="39">
        <f t="shared" si="11"/>
        <v>0.18036079422466555</v>
      </c>
    </row>
    <row r="143" spans="1:4" x14ac:dyDescent="0.25">
      <c r="A143" s="4">
        <v>6.25</v>
      </c>
      <c r="B143" s="29">
        <f t="shared" si="14"/>
        <v>3.2079198146137286E-2</v>
      </c>
      <c r="C143" s="4">
        <f t="shared" si="10"/>
        <v>2.6251228785755625E-2</v>
      </c>
      <c r="D143" s="39">
        <f t="shared" si="11"/>
        <v>0.18167440887494302</v>
      </c>
    </row>
    <row r="144" spans="1:4" x14ac:dyDescent="0.25">
      <c r="A144" s="4">
        <v>6.3</v>
      </c>
      <c r="B144" s="29">
        <f t="shared" si="14"/>
        <v>3.2079198146137286E-2</v>
      </c>
      <c r="C144" s="4">
        <f t="shared" si="10"/>
        <v>2.6209156617321303E-2</v>
      </c>
      <c r="D144" s="39">
        <f t="shared" si="11"/>
        <v>0.18298591822884469</v>
      </c>
    </row>
    <row r="145" spans="1:4" x14ac:dyDescent="0.25">
      <c r="A145" s="4">
        <v>6.35</v>
      </c>
      <c r="B145" s="29">
        <f t="shared" si="14"/>
        <v>3.2079198146137286E-2</v>
      </c>
      <c r="C145" s="4">
        <f t="shared" si="10"/>
        <v>2.6167151876868019E-2</v>
      </c>
      <c r="D145" s="39">
        <f t="shared" si="11"/>
        <v>0.18429532566047468</v>
      </c>
    </row>
    <row r="146" spans="1:4" x14ac:dyDescent="0.25">
      <c r="A146" s="4">
        <v>6.4</v>
      </c>
      <c r="B146" s="29">
        <f t="shared" si="14"/>
        <v>3.2079198146137286E-2</v>
      </c>
      <c r="C146" s="4">
        <f t="shared" si="10"/>
        <v>2.6125214456330679E-2</v>
      </c>
      <c r="D146" s="39">
        <f t="shared" si="11"/>
        <v>0.18560263453852999</v>
      </c>
    </row>
    <row r="147" spans="1:4" x14ac:dyDescent="0.25">
      <c r="A147" s="4">
        <v>6.45</v>
      </c>
      <c r="B147" s="29">
        <f t="shared" si="14"/>
        <v>3.2079198146137286E-2</v>
      </c>
      <c r="C147" s="4">
        <f t="shared" ref="C147:C158" si="15">B147*EXP(-B147*A147)</f>
        <v>2.6083344247817393E-2</v>
      </c>
      <c r="D147" s="39">
        <f t="shared" ref="D147:D158" si="16">1-EXP(-B147*A147)</f>
        <v>0.18690784822630813</v>
      </c>
    </row>
    <row r="148" spans="1:4" x14ac:dyDescent="0.25">
      <c r="A148" s="4">
        <v>6.5</v>
      </c>
      <c r="B148" s="29">
        <f t="shared" si="14"/>
        <v>3.2079198146137286E-2</v>
      </c>
      <c r="C148" s="4">
        <f t="shared" si="15"/>
        <v>2.6041541143609178E-2</v>
      </c>
      <c r="D148" s="39">
        <f t="shared" si="16"/>
        <v>0.18821097008171672</v>
      </c>
    </row>
    <row r="149" spans="1:4" x14ac:dyDescent="0.25">
      <c r="A149" s="4">
        <v>6.55</v>
      </c>
      <c r="B149" s="29">
        <f t="shared" si="14"/>
        <v>3.2079198146137286E-2</v>
      </c>
      <c r="C149" s="4">
        <f t="shared" si="15"/>
        <v>2.5999805036159694E-2</v>
      </c>
      <c r="D149" s="39">
        <f t="shared" si="16"/>
        <v>0.18951200345728159</v>
      </c>
    </row>
    <row r="150" spans="1:4" x14ac:dyDescent="0.25">
      <c r="A150" s="4">
        <v>6.6</v>
      </c>
      <c r="B150" s="29">
        <f t="shared" si="14"/>
        <v>3.2079198146137286E-2</v>
      </c>
      <c r="C150" s="4">
        <f t="shared" si="15"/>
        <v>2.5958135818094964E-2</v>
      </c>
      <c r="D150" s="39">
        <f t="shared" si="16"/>
        <v>0.19081095170015561</v>
      </c>
    </row>
    <row r="151" spans="1:4" x14ac:dyDescent="0.25">
      <c r="A151" s="4">
        <v>6.65</v>
      </c>
      <c r="B151" s="29">
        <f t="shared" si="14"/>
        <v>3.2079198146137286E-2</v>
      </c>
      <c r="C151" s="4">
        <f t="shared" si="15"/>
        <v>2.5916533382213083E-2</v>
      </c>
      <c r="D151" s="39">
        <f t="shared" si="16"/>
        <v>0.19210781815212741</v>
      </c>
    </row>
    <row r="152" spans="1:4" x14ac:dyDescent="0.25">
      <c r="A152" s="4">
        <v>6.7</v>
      </c>
      <c r="B152" s="29">
        <f t="shared" si="14"/>
        <v>3.2079198146137286E-2</v>
      </c>
      <c r="C152" s="4">
        <f t="shared" si="15"/>
        <v>2.5874997621483972E-2</v>
      </c>
      <c r="D152" s="39">
        <f t="shared" si="16"/>
        <v>0.19340260614962945</v>
      </c>
    </row>
    <row r="153" spans="1:4" x14ac:dyDescent="0.25">
      <c r="A153" s="4">
        <v>6.75</v>
      </c>
      <c r="B153" s="29">
        <f t="shared" si="14"/>
        <v>3.2079198146137286E-2</v>
      </c>
      <c r="C153" s="4">
        <f t="shared" si="15"/>
        <v>2.5833528429049086E-2</v>
      </c>
      <c r="D153" s="39">
        <f t="shared" si="16"/>
        <v>0.19469531902374726</v>
      </c>
    </row>
    <row r="154" spans="1:4" x14ac:dyDescent="0.25">
      <c r="A154" s="4">
        <v>6.8</v>
      </c>
      <c r="B154" s="29">
        <f t="shared" si="14"/>
        <v>3.2079198146137286E-2</v>
      </c>
      <c r="C154" s="4">
        <f t="shared" si="15"/>
        <v>2.5792125698221129E-2</v>
      </c>
      <c r="D154" s="39">
        <f t="shared" si="16"/>
        <v>0.19598596010022762</v>
      </c>
    </row>
    <row r="155" spans="1:4" x14ac:dyDescent="0.25">
      <c r="A155" s="4">
        <v>6.85</v>
      </c>
      <c r="B155" s="29">
        <f t="shared" si="14"/>
        <v>3.2079198146137286E-2</v>
      </c>
      <c r="C155" s="4">
        <f t="shared" si="15"/>
        <v>2.5750789322483793E-2</v>
      </c>
      <c r="D155" s="39">
        <f t="shared" si="16"/>
        <v>0.19727453269948736</v>
      </c>
    </row>
    <row r="156" spans="1:4" x14ac:dyDescent="0.25">
      <c r="A156" s="4">
        <v>6.9</v>
      </c>
      <c r="B156" s="29">
        <f t="shared" si="14"/>
        <v>3.2079198146137286E-2</v>
      </c>
      <c r="C156" s="4">
        <f t="shared" si="15"/>
        <v>2.5709519195491481E-2</v>
      </c>
      <c r="D156" s="39">
        <f t="shared" si="16"/>
        <v>0.19856104013662168</v>
      </c>
    </row>
    <row r="157" spans="1:4" x14ac:dyDescent="0.25">
      <c r="A157" s="4">
        <v>6.95</v>
      </c>
      <c r="B157" s="29">
        <f t="shared" si="14"/>
        <v>3.2079198146137286E-2</v>
      </c>
      <c r="C157" s="4">
        <f t="shared" si="15"/>
        <v>2.5668315211069041E-2</v>
      </c>
      <c r="D157" s="39">
        <f t="shared" si="16"/>
        <v>0.19984548572141259</v>
      </c>
    </row>
    <row r="158" spans="1:4" x14ac:dyDescent="0.25">
      <c r="A158" s="4">
        <v>7</v>
      </c>
      <c r="B158" s="29">
        <f t="shared" si="14"/>
        <v>3.2079198146137286E-2</v>
      </c>
      <c r="C158" s="4">
        <f t="shared" si="15"/>
        <v>2.5627177263211478E-2</v>
      </c>
      <c r="D158" s="39">
        <f t="shared" si="16"/>
        <v>0.20112787275833788</v>
      </c>
    </row>
  </sheetData>
  <mergeCells count="2">
    <mergeCell ref="G1:O1"/>
    <mergeCell ref="I2:N2"/>
  </mergeCell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58"/>
  <sheetViews>
    <sheetView showGridLines="0" zoomScaleNormal="100" zoomScalePageLayoutView="130" workbookViewId="0">
      <selection activeCell="E15" sqref="E15"/>
    </sheetView>
  </sheetViews>
  <sheetFormatPr baseColWidth="10" defaultColWidth="10.875" defaultRowHeight="15.75" x14ac:dyDescent="0.25"/>
  <cols>
    <col min="1" max="1" width="8.125" style="2" bestFit="1" customWidth="1"/>
    <col min="2" max="2" width="17.5" style="2" bestFit="1" customWidth="1"/>
    <col min="3" max="3" width="17.5" style="2" customWidth="1"/>
    <col min="4" max="4" width="5.875" style="2" bestFit="1" customWidth="1"/>
    <col min="5" max="5" width="20.5" style="2" customWidth="1"/>
    <col min="6" max="6" width="12" style="2" customWidth="1"/>
    <col min="7" max="7" width="17.625" style="2" customWidth="1"/>
    <col min="8" max="8" width="15.875" style="2" customWidth="1"/>
    <col min="9" max="9" width="8.875" style="2" bestFit="1" customWidth="1"/>
    <col min="10" max="14" width="8.5" style="2" bestFit="1" customWidth="1"/>
    <col min="15" max="15" width="27.125" style="2" customWidth="1"/>
    <col min="16" max="16" width="8.125" style="2" bestFit="1" customWidth="1"/>
    <col min="17" max="16384" width="10.875" style="2"/>
  </cols>
  <sheetData>
    <row r="1" spans="1:25" ht="48" customHeight="1" x14ac:dyDescent="0.25">
      <c r="G1" s="65" t="s">
        <v>21</v>
      </c>
      <c r="H1" s="66"/>
      <c r="I1" s="66"/>
      <c r="J1" s="66"/>
      <c r="K1" s="66"/>
      <c r="L1" s="66"/>
      <c r="M1" s="66"/>
      <c r="N1" s="66"/>
      <c r="O1" s="67"/>
    </row>
    <row r="2" spans="1:25" ht="65.099999999999994" customHeight="1" x14ac:dyDescent="0.25">
      <c r="G2" s="42"/>
      <c r="H2" s="43"/>
      <c r="I2" s="68"/>
      <c r="J2" s="69"/>
      <c r="K2" s="69"/>
      <c r="L2" s="69"/>
      <c r="M2" s="69"/>
      <c r="N2" s="70"/>
      <c r="O2" s="44"/>
    </row>
    <row r="3" spans="1:25" ht="66" customHeight="1" thickBot="1" x14ac:dyDescent="0.3">
      <c r="A3" s="9" t="s">
        <v>0</v>
      </c>
      <c r="B3" s="9" t="s">
        <v>9</v>
      </c>
      <c r="C3" s="10" t="s">
        <v>19</v>
      </c>
      <c r="D3" s="9" t="s">
        <v>1</v>
      </c>
      <c r="E3" s="64" t="s">
        <v>20</v>
      </c>
      <c r="F3" s="11" t="s">
        <v>5</v>
      </c>
      <c r="G3" s="41" t="s">
        <v>18</v>
      </c>
      <c r="H3" s="12"/>
      <c r="I3" s="12" t="s">
        <v>10</v>
      </c>
      <c r="J3" s="9" t="s">
        <v>11</v>
      </c>
      <c r="K3" s="9" t="s">
        <v>12</v>
      </c>
      <c r="L3" s="9" t="s">
        <v>13</v>
      </c>
      <c r="M3" s="9" t="s">
        <v>14</v>
      </c>
      <c r="N3" s="11" t="s">
        <v>15</v>
      </c>
      <c r="O3" s="25"/>
      <c r="Q3" s="3"/>
      <c r="R3" s="3"/>
      <c r="S3" s="3"/>
      <c r="T3" s="3"/>
      <c r="U3" s="3"/>
      <c r="V3" s="3"/>
      <c r="W3" s="3"/>
      <c r="X3" s="3"/>
      <c r="Y3" s="3"/>
    </row>
    <row r="4" spans="1:25" ht="16.5" thickTop="1" x14ac:dyDescent="0.25">
      <c r="A4" s="45">
        <v>0</v>
      </c>
      <c r="B4" s="45"/>
      <c r="C4" s="46"/>
      <c r="D4" s="45"/>
      <c r="E4" s="45">
        <f t="array" ref="E4:E11">PrSurv(B4:B11,C4:C11,D4:D11,B15)</f>
        <v>1</v>
      </c>
      <c r="F4" s="47"/>
      <c r="G4" s="48">
        <v>1</v>
      </c>
      <c r="H4" s="49">
        <v>1</v>
      </c>
      <c r="I4" s="50"/>
      <c r="J4" s="45"/>
      <c r="K4" s="45"/>
      <c r="L4" s="45"/>
      <c r="M4" s="45"/>
      <c r="N4" s="51"/>
      <c r="O4" s="52"/>
    </row>
    <row r="5" spans="1:25" x14ac:dyDescent="0.25">
      <c r="A5" s="38">
        <v>1</v>
      </c>
      <c r="B5" s="38">
        <f>A5-A4</f>
        <v>1</v>
      </c>
      <c r="C5" s="38">
        <v>751</v>
      </c>
      <c r="D5" s="38">
        <v>0.97</v>
      </c>
      <c r="E5" s="53">
        <v>0.92298225822992508</v>
      </c>
      <c r="F5" s="13">
        <f>-LN(E5)/B5</f>
        <v>8.0145266516762639E-2</v>
      </c>
      <c r="G5" s="18">
        <f>H5</f>
        <v>0.92298225822992508</v>
      </c>
      <c r="H5" s="18">
        <f>$G4*L/(L+$B5*C5/10000)</f>
        <v>0.92298225822992508</v>
      </c>
      <c r="I5" s="15"/>
      <c r="J5" s="16"/>
      <c r="K5" s="16"/>
      <c r="L5" s="16"/>
      <c r="M5" s="16"/>
      <c r="N5" s="22"/>
      <c r="O5" s="26"/>
      <c r="P5" s="6"/>
    </row>
    <row r="6" spans="1:25" x14ac:dyDescent="0.25">
      <c r="A6" s="38">
        <v>2</v>
      </c>
      <c r="B6" s="38">
        <f t="shared" ref="B6:B11" si="0">A6-A5</f>
        <v>1</v>
      </c>
      <c r="C6" s="38">
        <v>1164</v>
      </c>
      <c r="D6" s="38">
        <v>0.94</v>
      </c>
      <c r="E6" s="53">
        <v>0.77857959068674554</v>
      </c>
      <c r="F6" s="13">
        <f>(-LN(E6)-$F$5*$B$5)/B6</f>
        <v>0.17013879046748315</v>
      </c>
      <c r="G6" s="18">
        <f t="shared" ref="G6:G11" si="1">SUM(I6:N6)/O6+H6</f>
        <v>0.77857959068674554</v>
      </c>
      <c r="H6" s="18">
        <f>$G5*L/(L+$B6*$C6/10000)</f>
        <v>0.81728063007372354</v>
      </c>
      <c r="I6" s="17">
        <f t="array" ref="I6">$D$5*(L*$G$4-(L+$B$5*$C6/10000)*$G$5)</f>
        <v>-3.6975592246948963E-2</v>
      </c>
      <c r="J6" s="16"/>
      <c r="K6" s="16"/>
      <c r="L6" s="16"/>
      <c r="M6" s="16"/>
      <c r="N6" s="22"/>
      <c r="O6" s="27">
        <f t="shared" ref="O6:O11" si="2">$D6*(L+$B6*$C6/10000)</f>
        <v>0.95541599999999993</v>
      </c>
      <c r="P6" s="6"/>
      <c r="R6" s="40"/>
    </row>
    <row r="7" spans="1:25" x14ac:dyDescent="0.25">
      <c r="A7" s="38">
        <v>3</v>
      </c>
      <c r="B7" s="38">
        <f t="shared" si="0"/>
        <v>1</v>
      </c>
      <c r="C7" s="38">
        <v>1874</v>
      </c>
      <c r="D7" s="38">
        <v>0.92</v>
      </c>
      <c r="E7" s="53">
        <v>0.52891991175789943</v>
      </c>
      <c r="F7" s="13">
        <f>(-LN(E7)-$F$5*$B$5-$F$6*$B$6)/B7</f>
        <v>0.386634197143777</v>
      </c>
      <c r="G7" s="18">
        <f t="shared" si="1"/>
        <v>0.52891991175789943</v>
      </c>
      <c r="H7" s="18">
        <f>$G6*L/(L+$B7*C7/10000)</f>
        <v>0.64440098548654667</v>
      </c>
      <c r="I7" s="17">
        <f>$D$5*(L*$G$4-(L+$B$5*$C7/10000)*$G$5)</f>
        <v>-0.10054138037124395</v>
      </c>
      <c r="J7" s="18">
        <f>$D$6*(L*$G$5-(L+$B$6*$C7/10000)*$G$6)</f>
        <v>-1.4986809635484613E-2</v>
      </c>
      <c r="K7" s="16"/>
      <c r="L7" s="16"/>
      <c r="M7" s="16"/>
      <c r="N7" s="22"/>
      <c r="O7" s="27">
        <f t="shared" si="2"/>
        <v>1.0004080000000002</v>
      </c>
      <c r="P7" s="6"/>
      <c r="R7" s="40"/>
    </row>
    <row r="8" spans="1:25" x14ac:dyDescent="0.25">
      <c r="A8" s="54">
        <v>4</v>
      </c>
      <c r="B8" s="54">
        <f t="shared" si="0"/>
        <v>1</v>
      </c>
      <c r="C8" s="54">
        <f>(A8-A7)/(A9-A7)*C9+(A9-A8)/(A9-A7)*C7</f>
        <v>3015</v>
      </c>
      <c r="D8" s="55">
        <f>EXP((A8-A7)/(A9-A7)*LN(D9)+(A9-A8)/(A9-A7)*LN(D7))</f>
        <v>0.88949423831748342</v>
      </c>
      <c r="E8" s="56">
        <v>0.1705239720024905</v>
      </c>
      <c r="F8" s="14">
        <f>(-LN(E8)-$F$5*$B$5-$F$6*$B$6-$F$7*$B$7)/B8</f>
        <v>1.131961139758475</v>
      </c>
      <c r="G8" s="20">
        <f t="shared" si="1"/>
        <v>0.1705239720024905</v>
      </c>
      <c r="H8" s="20">
        <f>$G7*L/(L+$B8*C8/10000)</f>
        <v>0.39619469045535538</v>
      </c>
      <c r="I8" s="19">
        <f>$D$5*(L*$G$4-(L+$B$5*$C8/10000)*$G$5)</f>
        <v>-0.20269428776535725</v>
      </c>
      <c r="J8" s="20">
        <f>$D$6*(L*$G$5-(L+$B$6*$C8/10000)*$G$6)</f>
        <v>-9.849258505500072E-2</v>
      </c>
      <c r="K8" s="20">
        <f>$D$7*(L*$G$6-(L+$B$7*$C8/10000)*$G$7)</f>
        <v>6.0006409029678416E-2</v>
      </c>
      <c r="L8" s="21"/>
      <c r="M8" s="21"/>
      <c r="N8" s="23"/>
      <c r="O8" s="28">
        <f t="shared" si="2"/>
        <v>1.0687273273384563</v>
      </c>
      <c r="P8" s="6"/>
      <c r="R8" s="40"/>
    </row>
    <row r="9" spans="1:25" x14ac:dyDescent="0.25">
      <c r="A9" s="38">
        <v>5</v>
      </c>
      <c r="B9" s="38">
        <f t="shared" si="0"/>
        <v>1</v>
      </c>
      <c r="C9" s="38">
        <v>4156</v>
      </c>
      <c r="D9" s="38">
        <v>0.86</v>
      </c>
      <c r="E9" s="53">
        <v>-0.11180821890198785</v>
      </c>
      <c r="F9" s="13" t="e">
        <f>(-LN(E9)-$F$5*$B$5-$F$6*$B$6-$F$7*$B$7-$F$8*$B$8)/B9</f>
        <v>#NUM!</v>
      </c>
      <c r="G9" s="18">
        <f t="shared" si="1"/>
        <v>-0.11180821890198785</v>
      </c>
      <c r="H9" s="18">
        <f>$G8*L/(L+$B9*C9/10000)</f>
        <v>0.11665519519781199</v>
      </c>
      <c r="I9" s="17">
        <f t="array" ref="I9">$D$5*(L*$G$4-(L+$B$5*$C9/10000)*$G$5)</f>
        <v>-0.30484719515947079</v>
      </c>
      <c r="J9" s="18">
        <f>$D$6*(L*$G$5-(L+$B$6*$C9/10000)*$G$6)</f>
        <v>-0.18199836047451703</v>
      </c>
      <c r="K9" s="18">
        <f>$D$7*(L*$G$6-(L+$B$7*$C9/10000)*$G$7)</f>
        <v>4.4846280526281528E-3</v>
      </c>
      <c r="L9" s="18">
        <f>$D$8*(L*$G$7-(L+$B$8*$C9/10000)*$G$8)</f>
        <v>0.2238737654542205</v>
      </c>
      <c r="M9" s="16"/>
      <c r="N9" s="22"/>
      <c r="O9" s="27">
        <f t="shared" si="2"/>
        <v>1.131416</v>
      </c>
      <c r="P9" s="6"/>
      <c r="R9" s="40"/>
    </row>
    <row r="10" spans="1:25" x14ac:dyDescent="0.25">
      <c r="A10" s="54">
        <v>6</v>
      </c>
      <c r="B10" s="54">
        <f t="shared" si="0"/>
        <v>1</v>
      </c>
      <c r="C10" s="54">
        <f>(A10-A9)/(A11-A9)*C11+(A11-A10)/(A11-A9)*C9</f>
        <v>5119.5</v>
      </c>
      <c r="D10" s="55">
        <f>EXP((A10-A9)/(A11-A9)*LN(D11)+(A11-A10)/(A11-A9)*LN(D9))</f>
        <v>0.8346256645946134</v>
      </c>
      <c r="E10" s="56">
        <v>-0.24862936141278014</v>
      </c>
      <c r="F10" s="14" t="e">
        <f>(-LN(E10)-$F$5*$B$5-$F$6*$B$6-$F$7*$B$7-$F$8*$B$8-$F$9*$B$9)/B10</f>
        <v>#NUM!</v>
      </c>
      <c r="G10" s="20">
        <f t="shared" si="1"/>
        <v>-0.24862936141278014</v>
      </c>
      <c r="H10" s="20">
        <f>$G9*L/(L+$B10*C10/10000)</f>
        <v>-7.1268385574410606E-2</v>
      </c>
      <c r="I10" s="19">
        <f>$D$5*(L*$G$4-(L+$B$5*$C10/10000)*$G$5)</f>
        <v>-0.3911086555225104</v>
      </c>
      <c r="J10" s="20">
        <f>$D$6*(L*$G$5-(L+$B$6*$C10/10000)*$G$6)</f>
        <v>-0.2525135354234247</v>
      </c>
      <c r="K10" s="20">
        <f>$D$7*(L*$G$6-(L+$B$7*$C10/10000)*$G$7)</f>
        <v>-4.2399890765415491E-2</v>
      </c>
      <c r="L10" s="20">
        <f>$D$8*(L*$G$7-(L+$B$8*$C10/10000)*$G$8)</f>
        <v>0.20925938872575581</v>
      </c>
      <c r="M10" s="20">
        <f>$D$9*(L*$G$8-(L+$B$9*$C10/10000)*$G$9)</f>
        <v>0.26775170295357675</v>
      </c>
      <c r="N10" s="24"/>
      <c r="O10" s="28">
        <f t="shared" si="2"/>
        <v>1.1784497071243645</v>
      </c>
      <c r="P10" s="6"/>
      <c r="R10" s="40"/>
    </row>
    <row r="11" spans="1:25" x14ac:dyDescent="0.25">
      <c r="A11" s="57">
        <v>7</v>
      </c>
      <c r="B11" s="57">
        <f t="shared" si="0"/>
        <v>1</v>
      </c>
      <c r="C11" s="57">
        <v>6083</v>
      </c>
      <c r="D11" s="57">
        <v>0.81</v>
      </c>
      <c r="E11" s="58">
        <v>-0.30307031162478937</v>
      </c>
      <c r="F11" s="59" t="e">
        <f>(-LN(E11)-$F$5*$B$5-$F$6*$B$6-$F$7*$B$7-$F$8*$B$8-$F$9*$B$9-$F$10*$B$10)/B11</f>
        <v>#NUM!</v>
      </c>
      <c r="G11" s="60">
        <f t="shared" si="1"/>
        <v>-0.30307031162478937</v>
      </c>
      <c r="H11" s="60">
        <f>$G10*L/(L+$B11*C11/10000)</f>
        <v>-0.14835670972054771</v>
      </c>
      <c r="I11" s="61">
        <f>$D$5*(L*$G$4-(L+$B$5*$C11/10000)*$G$5)</f>
        <v>-0.47737011588555001</v>
      </c>
      <c r="J11" s="60">
        <f>$D$6*(L*$G$5-(L+$B$6*$C11/10000)*$G$6)</f>
        <v>-0.32302871037233255</v>
      </c>
      <c r="K11" s="60">
        <f>$D$7*(L*$G$6-(L+$B$7*$C11/10000)*$G$7)</f>
        <v>-8.9284409583459234E-2</v>
      </c>
      <c r="L11" s="60">
        <f>$D$8*(L*$G$7-(L+$B$8*$C11/10000)*$G$8)</f>
        <v>0.19464501199729109</v>
      </c>
      <c r="M11" s="60">
        <f>$D$9*(L*$G$8-(L+$B$9*$C11/10000)*$G$9)</f>
        <v>0.27701624378001433</v>
      </c>
      <c r="N11" s="62">
        <f>$D$10*(L*$G$9-(L+$B$10*$C11/10000)*$G$10)</f>
        <v>0.22900481420478053</v>
      </c>
      <c r="O11" s="63">
        <f t="shared" si="2"/>
        <v>1.2217230000000001</v>
      </c>
      <c r="P11" s="6"/>
      <c r="R11" s="40"/>
    </row>
    <row r="12" spans="1:25" x14ac:dyDescent="0.25">
      <c r="R12" s="40"/>
    </row>
    <row r="13" spans="1:25" x14ac:dyDescent="0.25">
      <c r="A13" s="7"/>
      <c r="B13" s="4" t="s">
        <v>16</v>
      </c>
      <c r="R13" s="40"/>
    </row>
    <row r="14" spans="1:25" x14ac:dyDescent="0.25">
      <c r="A14" s="8" t="s">
        <v>3</v>
      </c>
      <c r="B14" s="5">
        <v>0.1</v>
      </c>
      <c r="R14" s="40"/>
    </row>
    <row r="15" spans="1:25" x14ac:dyDescent="0.25">
      <c r="A15" s="8" t="s">
        <v>2</v>
      </c>
      <c r="B15" s="5">
        <f>1-B14</f>
        <v>0.9</v>
      </c>
      <c r="R15" s="40"/>
    </row>
    <row r="16" spans="1:25" x14ac:dyDescent="0.25">
      <c r="Q16" s="40"/>
    </row>
    <row r="17" spans="1:17" ht="16.5" thickBot="1" x14ac:dyDescent="0.3">
      <c r="A17" s="30" t="s">
        <v>8</v>
      </c>
      <c r="B17" s="30" t="s">
        <v>6</v>
      </c>
      <c r="C17" s="30" t="s">
        <v>7</v>
      </c>
      <c r="D17" s="30" t="s">
        <v>17</v>
      </c>
      <c r="Q17" s="40"/>
    </row>
    <row r="18" spans="1:17" ht="16.5" thickTop="1" x14ac:dyDescent="0.25">
      <c r="A18" s="4">
        <v>0</v>
      </c>
      <c r="B18" s="29">
        <f>IFERROR($F$5,"")</f>
        <v>8.0145266516762639E-2</v>
      </c>
      <c r="C18" s="4">
        <f>B18*EXP(-B18*A18)</f>
        <v>8.0145266516762639E-2</v>
      </c>
      <c r="D18" s="39">
        <f>1-EXP(-B18*A18)</f>
        <v>0</v>
      </c>
      <c r="Q18" s="40"/>
    </row>
    <row r="19" spans="1:17" x14ac:dyDescent="0.25">
      <c r="A19" s="4">
        <v>0.05</v>
      </c>
      <c r="B19" s="29">
        <f t="shared" ref="B19:B37" si="3">$F$5</f>
        <v>8.0145266516762639E-2</v>
      </c>
      <c r="C19" s="4">
        <f t="shared" ref="C19:C82" si="4">B19*EXP(-B19*A19)</f>
        <v>7.9824745963553587E-2</v>
      </c>
      <c r="D19" s="39">
        <f t="shared" ref="D19:D82" si="5">1-EXP(-B19*A19)</f>
        <v>3.9992449602999081E-3</v>
      </c>
    </row>
    <row r="20" spans="1:17" x14ac:dyDescent="0.25">
      <c r="A20" s="4">
        <v>0.1</v>
      </c>
      <c r="B20" s="29">
        <f t="shared" si="3"/>
        <v>8.0145266516762639E-2</v>
      </c>
      <c r="C20" s="4">
        <f t="shared" si="4"/>
        <v>7.950550725055161E-2</v>
      </c>
      <c r="D20" s="39">
        <f t="shared" si="5"/>
        <v>7.9824959603473911E-3</v>
      </c>
    </row>
    <row r="21" spans="1:17" x14ac:dyDescent="0.25">
      <c r="A21" s="4">
        <v>0.15</v>
      </c>
      <c r="B21" s="29">
        <f t="shared" si="3"/>
        <v>8.0145266516762639E-2</v>
      </c>
      <c r="C21" s="4">
        <f t="shared" si="4"/>
        <v>7.9187545251363761E-2</v>
      </c>
      <c r="D21" s="39">
        <f t="shared" si="5"/>
        <v>1.1949816963907289E-2</v>
      </c>
    </row>
    <row r="22" spans="1:17" x14ac:dyDescent="0.25">
      <c r="A22" s="4">
        <v>0.2</v>
      </c>
      <c r="B22" s="29">
        <f t="shared" si="3"/>
        <v>8.0145266516762639E-2</v>
      </c>
      <c r="C22" s="4">
        <f t="shared" si="4"/>
        <v>7.8870854860098719E-2</v>
      </c>
      <c r="D22" s="39">
        <f t="shared" si="5"/>
        <v>1.5901271678937734E-2</v>
      </c>
    </row>
    <row r="23" spans="1:17" x14ac:dyDescent="0.25">
      <c r="A23" s="4">
        <v>0.25</v>
      </c>
      <c r="B23" s="29">
        <f t="shared" si="3"/>
        <v>8.0145266516762639E-2</v>
      </c>
      <c r="C23" s="4">
        <f t="shared" si="4"/>
        <v>7.8555430991284925E-2</v>
      </c>
      <c r="D23" s="39">
        <f t="shared" si="5"/>
        <v>1.9836923558613329E-2</v>
      </c>
    </row>
    <row r="24" spans="1:17" x14ac:dyDescent="0.25">
      <c r="A24" s="4">
        <v>0.3</v>
      </c>
      <c r="B24" s="29">
        <f t="shared" si="3"/>
        <v>8.0145266516762639E-2</v>
      </c>
      <c r="C24" s="4">
        <f t="shared" si="4"/>
        <v>7.8241268579788831E-2</v>
      </c>
      <c r="D24" s="39">
        <f t="shared" si="5"/>
        <v>2.3756835802343668E-2</v>
      </c>
    </row>
    <row r="25" spans="1:17" x14ac:dyDescent="0.25">
      <c r="A25" s="4">
        <v>0.35</v>
      </c>
      <c r="B25" s="29">
        <f t="shared" si="3"/>
        <v>8.0145266516762639E-2</v>
      </c>
      <c r="C25" s="4">
        <f t="shared" si="4"/>
        <v>7.7928362580733643E-2</v>
      </c>
      <c r="D25" s="39">
        <f t="shared" si="5"/>
        <v>2.7661071356788414E-2</v>
      </c>
    </row>
    <row r="26" spans="1:17" x14ac:dyDescent="0.25">
      <c r="A26" s="4">
        <v>0.4</v>
      </c>
      <c r="B26" s="29">
        <f t="shared" si="3"/>
        <v>8.0145266516762639E-2</v>
      </c>
      <c r="C26" s="4">
        <f t="shared" si="4"/>
        <v>7.7616707969418219E-2</v>
      </c>
      <c r="D26" s="39">
        <f t="shared" si="5"/>
        <v>3.1549692916868155E-2</v>
      </c>
    </row>
    <row r="27" spans="1:17" x14ac:dyDescent="0.25">
      <c r="A27" s="4">
        <v>0.45</v>
      </c>
      <c r="B27" s="29">
        <f t="shared" si="3"/>
        <v>8.0145266516762639E-2</v>
      </c>
      <c r="C27" s="4">
        <f t="shared" si="4"/>
        <v>7.7306299741236456E-2</v>
      </c>
      <c r="D27" s="39">
        <f t="shared" si="5"/>
        <v>3.5422762926771267E-2</v>
      </c>
    </row>
    <row r="28" spans="1:17" x14ac:dyDescent="0.25">
      <c r="A28" s="4">
        <v>0.5</v>
      </c>
      <c r="B28" s="29">
        <f t="shared" si="3"/>
        <v>8.0145266516762639E-2</v>
      </c>
      <c r="C28" s="4">
        <f t="shared" si="4"/>
        <v>7.6997132911596877E-2</v>
      </c>
      <c r="D28" s="39">
        <f t="shared" si="5"/>
        <v>3.9280343580956445E-2</v>
      </c>
    </row>
    <row r="29" spans="1:17" x14ac:dyDescent="0.25">
      <c r="A29" s="4">
        <v>0.55000000000000004</v>
      </c>
      <c r="B29" s="29">
        <f t="shared" si="3"/>
        <v>8.0145266516762639E-2</v>
      </c>
      <c r="C29" s="4">
        <f t="shared" si="4"/>
        <v>7.668920251584263E-2</v>
      </c>
      <c r="D29" s="39">
        <f t="shared" si="5"/>
        <v>4.3122496825151457E-2</v>
      </c>
    </row>
    <row r="30" spans="1:17" x14ac:dyDescent="0.25">
      <c r="A30" s="4">
        <v>0.6</v>
      </c>
      <c r="B30" s="29">
        <f t="shared" si="3"/>
        <v>8.0145266516762639E-2</v>
      </c>
      <c r="C30" s="4">
        <f t="shared" si="4"/>
        <v>7.6382503609171731E-2</v>
      </c>
      <c r="D30" s="39">
        <f t="shared" si="5"/>
        <v>4.6949284357347798E-2</v>
      </c>
    </row>
    <row r="31" spans="1:17" x14ac:dyDescent="0.25">
      <c r="A31" s="4">
        <v>0.65</v>
      </c>
      <c r="B31" s="29">
        <f t="shared" si="3"/>
        <v>8.0145266516762639E-2</v>
      </c>
      <c r="C31" s="4">
        <f t="shared" si="4"/>
        <v>7.6077031266557654E-2</v>
      </c>
      <c r="D31" s="39">
        <f t="shared" si="5"/>
        <v>5.0760767628791892E-2</v>
      </c>
    </row>
    <row r="32" spans="1:17" x14ac:dyDescent="0.25">
      <c r="A32" s="4">
        <v>0.7</v>
      </c>
      <c r="B32" s="29">
        <f t="shared" si="3"/>
        <v>8.0145266516762639E-2</v>
      </c>
      <c r="C32" s="4">
        <f t="shared" si="4"/>
        <v>7.5772780582670299E-2</v>
      </c>
      <c r="D32" s="39">
        <f t="shared" si="5"/>
        <v>5.4557007844971417E-2</v>
      </c>
    </row>
    <row r="33" spans="1:4" x14ac:dyDescent="0.25">
      <c r="A33" s="4">
        <v>0.75</v>
      </c>
      <c r="B33" s="29">
        <f t="shared" si="3"/>
        <v>8.0145266516762639E-2</v>
      </c>
      <c r="C33" s="4">
        <f t="shared" si="4"/>
        <v>7.5469746671797136E-2</v>
      </c>
      <c r="D33" s="39">
        <f t="shared" si="5"/>
        <v>5.8338065966598296E-2</v>
      </c>
    </row>
    <row r="34" spans="1:4" x14ac:dyDescent="0.25">
      <c r="A34" s="4">
        <v>0.8</v>
      </c>
      <c r="B34" s="29">
        <f t="shared" si="3"/>
        <v>8.0145266516762639E-2</v>
      </c>
      <c r="C34" s="4">
        <f t="shared" si="4"/>
        <v>7.516792466776484E-2</v>
      </c>
      <c r="D34" s="39">
        <f t="shared" si="5"/>
        <v>6.2104002710587691E-2</v>
      </c>
    </row>
    <row r="35" spans="1:4" x14ac:dyDescent="0.25">
      <c r="A35" s="4">
        <v>0.85</v>
      </c>
      <c r="B35" s="29">
        <f t="shared" si="3"/>
        <v>8.0145266516762639E-2</v>
      </c>
      <c r="C35" s="4">
        <f t="shared" si="4"/>
        <v>7.4867309723861075E-2</v>
      </c>
      <c r="D35" s="39">
        <f t="shared" si="5"/>
        <v>6.5854878551032892E-2</v>
      </c>
    </row>
    <row r="36" spans="1:4" x14ac:dyDescent="0.25">
      <c r="A36" s="4">
        <v>0.9</v>
      </c>
      <c r="B36" s="29">
        <f t="shared" si="3"/>
        <v>8.0145266516762639E-2</v>
      </c>
      <c r="C36" s="4">
        <f t="shared" si="4"/>
        <v>7.4567897012756706E-2</v>
      </c>
      <c r="D36" s="39">
        <f t="shared" si="5"/>
        <v>6.9590753720176424E-2</v>
      </c>
    </row>
    <row r="37" spans="1:4" x14ac:dyDescent="0.25">
      <c r="A37" s="4">
        <v>0.95</v>
      </c>
      <c r="B37" s="29">
        <f t="shared" si="3"/>
        <v>8.0145266516762639E-2</v>
      </c>
      <c r="C37" s="4">
        <f t="shared" si="4"/>
        <v>7.4269681726428283E-2</v>
      </c>
      <c r="D37" s="39">
        <f t="shared" si="5"/>
        <v>7.331168820937739E-2</v>
      </c>
    </row>
    <row r="38" spans="1:4" x14ac:dyDescent="0.25">
      <c r="A38" s="4">
        <v>1</v>
      </c>
      <c r="B38" s="29">
        <f t="shared" ref="B38:B57" si="6">$F$6</f>
        <v>0.17013879046748315</v>
      </c>
      <c r="C38" s="4">
        <f t="shared" si="4"/>
        <v>0.14352019083893602</v>
      </c>
      <c r="D38" s="39">
        <f t="shared" si="5"/>
        <v>0.15645226791261602</v>
      </c>
    </row>
    <row r="39" spans="1:4" x14ac:dyDescent="0.25">
      <c r="A39" s="4">
        <v>1.05</v>
      </c>
      <c r="B39" s="29">
        <f t="shared" si="6"/>
        <v>0.17013879046748315</v>
      </c>
      <c r="C39" s="4">
        <f t="shared" si="4"/>
        <v>0.14230445169647735</v>
      </c>
      <c r="D39" s="39">
        <f t="shared" si="5"/>
        <v>0.16359784088347262</v>
      </c>
    </row>
    <row r="40" spans="1:4" x14ac:dyDescent="0.25">
      <c r="A40" s="4">
        <v>1.1000000000000001</v>
      </c>
      <c r="B40" s="29">
        <f t="shared" si="6"/>
        <v>0.17013879046748315</v>
      </c>
      <c r="C40" s="4">
        <f t="shared" si="4"/>
        <v>0.14109901090753857</v>
      </c>
      <c r="D40" s="39">
        <f t="shared" si="5"/>
        <v>0.17068288472107507</v>
      </c>
    </row>
    <row r="41" spans="1:4" x14ac:dyDescent="0.25">
      <c r="A41" s="4">
        <v>1.1499999999999999</v>
      </c>
      <c r="B41" s="29">
        <f t="shared" si="6"/>
        <v>0.17013879046748315</v>
      </c>
      <c r="C41" s="4">
        <f t="shared" si="4"/>
        <v>0.13990378123623048</v>
      </c>
      <c r="D41" s="39">
        <f t="shared" si="5"/>
        <v>0.17770791215910975</v>
      </c>
    </row>
    <row r="42" spans="1:4" x14ac:dyDescent="0.25">
      <c r="A42" s="4">
        <v>1.2</v>
      </c>
      <c r="B42" s="29">
        <f t="shared" si="6"/>
        <v>0.17013879046748315</v>
      </c>
      <c r="C42" s="4">
        <f t="shared" si="4"/>
        <v>0.13871867618562653</v>
      </c>
      <c r="D42" s="39">
        <f t="shared" si="5"/>
        <v>0.18467343158796945</v>
      </c>
    </row>
    <row r="43" spans="1:4" x14ac:dyDescent="0.25">
      <c r="A43" s="4">
        <v>1.25</v>
      </c>
      <c r="B43" s="29">
        <f t="shared" si="6"/>
        <v>0.17013879046748315</v>
      </c>
      <c r="C43" s="4">
        <f t="shared" si="4"/>
        <v>0.1375436099915035</v>
      </c>
      <c r="D43" s="39">
        <f t="shared" si="5"/>
        <v>0.19157994709154358</v>
      </c>
    </row>
    <row r="44" spans="1:4" x14ac:dyDescent="0.25">
      <c r="A44" s="4">
        <v>1.3</v>
      </c>
      <c r="B44" s="29">
        <f t="shared" si="6"/>
        <v>0.17013879046748315</v>
      </c>
      <c r="C44" s="4">
        <f t="shared" si="4"/>
        <v>0.13637849761613466</v>
      </c>
      <c r="D44" s="39">
        <f t="shared" si="5"/>
        <v>0.19842795848369887</v>
      </c>
    </row>
    <row r="45" spans="1:4" x14ac:dyDescent="0.25">
      <c r="A45" s="4">
        <v>1.35</v>
      </c>
      <c r="B45" s="29">
        <f t="shared" si="6"/>
        <v>0.17013879046748315</v>
      </c>
      <c r="C45" s="4">
        <f t="shared" si="4"/>
        <v>0.13522325474213576</v>
      </c>
      <c r="D45" s="39">
        <f t="shared" si="5"/>
        <v>0.2052179613444497</v>
      </c>
    </row>
    <row r="46" spans="1:4" x14ac:dyDescent="0.25">
      <c r="A46" s="4">
        <v>1.4</v>
      </c>
      <c r="B46" s="29">
        <f t="shared" si="6"/>
        <v>0.17013879046748315</v>
      </c>
      <c r="C46" s="4">
        <f t="shared" si="4"/>
        <v>0.13407779776636317</v>
      </c>
      <c r="D46" s="39">
        <f t="shared" si="5"/>
        <v>0.21195044705582267</v>
      </c>
    </row>
    <row r="47" spans="1:4" x14ac:dyDescent="0.25">
      <c r="A47" s="4">
        <v>1.45</v>
      </c>
      <c r="B47" s="29">
        <f t="shared" si="6"/>
        <v>0.17013879046748315</v>
      </c>
      <c r="C47" s="4">
        <f t="shared" si="4"/>
        <v>0.13294204379386351</v>
      </c>
      <c r="D47" s="39">
        <f t="shared" si="5"/>
        <v>0.21862590283741712</v>
      </c>
    </row>
    <row r="48" spans="1:4" x14ac:dyDescent="0.25">
      <c r="A48" s="4">
        <v>1.5</v>
      </c>
      <c r="B48" s="29">
        <f t="shared" si="6"/>
        <v>0.17013879046748315</v>
      </c>
      <c r="C48" s="4">
        <f t="shared" si="4"/>
        <v>0.13181591063187492</v>
      </c>
      <c r="D48" s="39">
        <f t="shared" si="5"/>
        <v>0.22524481178166411</v>
      </c>
    </row>
    <row r="49" spans="1:4" x14ac:dyDescent="0.25">
      <c r="A49" s="4">
        <v>1.55</v>
      </c>
      <c r="B49" s="29">
        <f t="shared" si="6"/>
        <v>0.17013879046748315</v>
      </c>
      <c r="C49" s="4">
        <f t="shared" si="4"/>
        <v>0.13069931678387864</v>
      </c>
      <c r="D49" s="39">
        <f t="shared" si="5"/>
        <v>0.23180765288878769</v>
      </c>
    </row>
    <row r="50" spans="1:4" x14ac:dyDescent="0.25">
      <c r="A50" s="4">
        <v>1.6</v>
      </c>
      <c r="B50" s="29">
        <f t="shared" si="6"/>
        <v>0.17013879046748315</v>
      </c>
      <c r="C50" s="4">
        <f t="shared" si="4"/>
        <v>0.12959218144370141</v>
      </c>
      <c r="D50" s="39">
        <f t="shared" si="5"/>
        <v>0.23831490110146869</v>
      </c>
    </row>
    <row r="51" spans="1:4" x14ac:dyDescent="0.25">
      <c r="A51" s="4">
        <v>1.65</v>
      </c>
      <c r="B51" s="29">
        <f t="shared" si="6"/>
        <v>0.17013879046748315</v>
      </c>
      <c r="C51" s="4">
        <f t="shared" si="4"/>
        <v>0.1284944244896675</v>
      </c>
      <c r="D51" s="39">
        <f t="shared" si="5"/>
        <v>0.2447670273392164</v>
      </c>
    </row>
    <row r="52" spans="1:4" x14ac:dyDescent="0.25">
      <c r="A52" s="4">
        <v>1.7</v>
      </c>
      <c r="B52" s="29">
        <f t="shared" si="6"/>
        <v>0.17013879046748315</v>
      </c>
      <c r="C52" s="4">
        <f t="shared" si="4"/>
        <v>0.12740596647880054</v>
      </c>
      <c r="D52" s="39">
        <f t="shared" si="5"/>
        <v>0.25116449853244771</v>
      </c>
    </row>
    <row r="53" spans="1:4" x14ac:dyDescent="0.25">
      <c r="A53" s="4">
        <v>1.75</v>
      </c>
      <c r="B53" s="29">
        <f t="shared" si="6"/>
        <v>0.17013879046748315</v>
      </c>
      <c r="C53" s="4">
        <f t="shared" si="4"/>
        <v>0.12632672864107439</v>
      </c>
      <c r="D53" s="39">
        <f t="shared" si="5"/>
        <v>0.25750777765627819</v>
      </c>
    </row>
    <row r="54" spans="1:4" x14ac:dyDescent="0.25">
      <c r="A54" s="4">
        <v>1.8</v>
      </c>
      <c r="B54" s="29">
        <f t="shared" si="6"/>
        <v>0.17013879046748315</v>
      </c>
      <c r="C54" s="4">
        <f t="shared" si="4"/>
        <v>0.12525663287371255</v>
      </c>
      <c r="D54" s="39">
        <f t="shared" si="5"/>
        <v>0.26379732376402698</v>
      </c>
    </row>
    <row r="55" spans="1:4" x14ac:dyDescent="0.25">
      <c r="A55" s="4">
        <v>1.85</v>
      </c>
      <c r="B55" s="29">
        <f t="shared" si="6"/>
        <v>0.17013879046748315</v>
      </c>
      <c r="C55" s="4">
        <f t="shared" si="4"/>
        <v>0.12419560173553601</v>
      </c>
      <c r="D55" s="39">
        <f t="shared" si="5"/>
        <v>0.27003359202043808</v>
      </c>
    </row>
    <row r="56" spans="1:4" x14ac:dyDescent="0.25">
      <c r="A56" s="4">
        <v>1.9</v>
      </c>
      <c r="B56" s="29">
        <f t="shared" si="6"/>
        <v>0.17013879046748315</v>
      </c>
      <c r="C56" s="4">
        <f t="shared" si="4"/>
        <v>0.12314355844135903</v>
      </c>
      <c r="D56" s="39">
        <f t="shared" si="5"/>
        <v>0.27621703373461926</v>
      </c>
    </row>
    <row r="57" spans="1:4" x14ac:dyDescent="0.25">
      <c r="A57" s="4">
        <v>1.95</v>
      </c>
      <c r="B57" s="29">
        <f t="shared" si="6"/>
        <v>0.17013879046748315</v>
      </c>
      <c r="C57" s="4">
        <f t="shared" si="4"/>
        <v>0.12210042685643228</v>
      </c>
      <c r="D57" s="39">
        <f t="shared" si="5"/>
        <v>0.2823480963927032</v>
      </c>
    </row>
    <row r="58" spans="1:4" x14ac:dyDescent="0.25">
      <c r="A58" s="4">
        <v>2</v>
      </c>
      <c r="B58" s="29">
        <f t="shared" ref="B58:B77" si="7">$F$7</f>
        <v>0.386634197143777</v>
      </c>
      <c r="C58" s="4">
        <f t="shared" si="4"/>
        <v>0.17843254394308186</v>
      </c>
      <c r="D58" s="39">
        <f t="shared" si="5"/>
        <v>0.53849777060271653</v>
      </c>
    </row>
    <row r="59" spans="1:4" x14ac:dyDescent="0.25">
      <c r="A59" s="4">
        <v>2.0499999999999998</v>
      </c>
      <c r="B59" s="29">
        <f t="shared" si="7"/>
        <v>0.386634197143777</v>
      </c>
      <c r="C59" s="4">
        <f t="shared" si="4"/>
        <v>0.17501626541931692</v>
      </c>
      <c r="D59" s="39">
        <f t="shared" si="5"/>
        <v>0.54733371566138544</v>
      </c>
    </row>
    <row r="60" spans="1:4" x14ac:dyDescent="0.25">
      <c r="A60" s="4">
        <v>2.1</v>
      </c>
      <c r="B60" s="29">
        <f t="shared" si="7"/>
        <v>0.386634197143777</v>
      </c>
      <c r="C60" s="4">
        <f t="shared" si="4"/>
        <v>0.17166539513719906</v>
      </c>
      <c r="D60" s="39">
        <f t="shared" si="5"/>
        <v>0.55600048726842921</v>
      </c>
    </row>
    <row r="61" spans="1:4" x14ac:dyDescent="0.25">
      <c r="A61" s="4">
        <v>2.15</v>
      </c>
      <c r="B61" s="29">
        <f t="shared" si="7"/>
        <v>0.386634197143777</v>
      </c>
      <c r="C61" s="4">
        <f t="shared" si="4"/>
        <v>0.1683786807872209</v>
      </c>
      <c r="D61" s="39">
        <f t="shared" si="5"/>
        <v>0.56450132442732115</v>
      </c>
    </row>
    <row r="62" spans="1:4" x14ac:dyDescent="0.25">
      <c r="A62" s="4">
        <v>2.2000000000000002</v>
      </c>
      <c r="B62" s="29">
        <f t="shared" si="7"/>
        <v>0.386634197143777</v>
      </c>
      <c r="C62" s="4">
        <f t="shared" si="4"/>
        <v>0.16515489403665617</v>
      </c>
      <c r="D62" s="39">
        <f t="shared" si="5"/>
        <v>0.57283940412741008</v>
      </c>
    </row>
    <row r="63" spans="1:4" x14ac:dyDescent="0.25">
      <c r="A63" s="4">
        <v>2.25</v>
      </c>
      <c r="B63" s="29">
        <f t="shared" si="7"/>
        <v>0.386634197143777</v>
      </c>
      <c r="C63" s="4">
        <f t="shared" si="4"/>
        <v>0.16199283007049942</v>
      </c>
      <c r="D63" s="39">
        <f t="shared" si="5"/>
        <v>0.58101784253124555</v>
      </c>
    </row>
    <row r="64" spans="1:4" x14ac:dyDescent="0.25">
      <c r="A64" s="4">
        <v>2.2999999999999998</v>
      </c>
      <c r="B64" s="29">
        <f t="shared" si="7"/>
        <v>0.386634197143777</v>
      </c>
      <c r="C64" s="4">
        <f t="shared" si="4"/>
        <v>0.15889130714119407</v>
      </c>
      <c r="D64" s="39">
        <f t="shared" si="5"/>
        <v>0.58903969613917151</v>
      </c>
    </row>
    <row r="65" spans="1:4" x14ac:dyDescent="0.25">
      <c r="A65" s="4">
        <v>2.35</v>
      </c>
      <c r="B65" s="29">
        <f t="shared" si="7"/>
        <v>0.386634197143777</v>
      </c>
      <c r="C65" s="4">
        <f t="shared" si="4"/>
        <v>0.15584916612698221</v>
      </c>
      <c r="D65" s="39">
        <f t="shared" si="5"/>
        <v>0.59690796293162118</v>
      </c>
    </row>
    <row r="66" spans="1:4" x14ac:dyDescent="0.25">
      <c r="A66" s="4">
        <v>2.4</v>
      </c>
      <c r="B66" s="29">
        <f t="shared" si="7"/>
        <v>0.386634197143777</v>
      </c>
      <c r="C66" s="4">
        <f t="shared" si="4"/>
        <v>0.15286527009870993</v>
      </c>
      <c r="D66" s="39">
        <f t="shared" si="5"/>
        <v>0.60462558348954276</v>
      </c>
    </row>
    <row r="67" spans="1:4" x14ac:dyDescent="0.25">
      <c r="A67" s="4">
        <v>2.4500000000000002</v>
      </c>
      <c r="B67" s="29">
        <f t="shared" si="7"/>
        <v>0.386634197143777</v>
      </c>
      <c r="C67" s="4">
        <f t="shared" si="4"/>
        <v>0.14993850389492624</v>
      </c>
      <c r="D67" s="39">
        <f t="shared" si="5"/>
        <v>0.61219544209337262</v>
      </c>
    </row>
    <row r="68" spans="1:4" x14ac:dyDescent="0.25">
      <c r="A68" s="4">
        <v>2.5</v>
      </c>
      <c r="B68" s="29">
        <f t="shared" si="7"/>
        <v>0.386634197143777</v>
      </c>
      <c r="C68" s="4">
        <f t="shared" si="4"/>
        <v>0.14706777370511806</v>
      </c>
      <c r="D68" s="39">
        <f t="shared" si="5"/>
        <v>0.61962036780096774</v>
      </c>
    </row>
    <row r="69" spans="1:4" x14ac:dyDescent="0.25">
      <c r="A69" s="4">
        <v>2.5499999999999998</v>
      </c>
      <c r="B69" s="29">
        <f t="shared" si="7"/>
        <v>0.386634197143777</v>
      </c>
      <c r="C69" s="4">
        <f t="shared" si="4"/>
        <v>0.14425200666092355</v>
      </c>
      <c r="D69" s="39">
        <f t="shared" si="5"/>
        <v>0.62690313550489996</v>
      </c>
    </row>
    <row r="70" spans="1:4" x14ac:dyDescent="0.25">
      <c r="A70" s="4">
        <v>2.6</v>
      </c>
      <c r="B70" s="29">
        <f t="shared" si="7"/>
        <v>0.386634197143777</v>
      </c>
      <c r="C70" s="4">
        <f t="shared" si="4"/>
        <v>0.14149015043517296</v>
      </c>
      <c r="D70" s="39">
        <f t="shared" si="5"/>
        <v>0.63404646696950795</v>
      </c>
    </row>
    <row r="71" spans="1:4" x14ac:dyDescent="0.25">
      <c r="A71" s="4">
        <v>2.65</v>
      </c>
      <c r="B71" s="29">
        <f t="shared" si="7"/>
        <v>0.386634197143777</v>
      </c>
      <c r="C71" s="4">
        <f t="shared" si="4"/>
        <v>0.13878117284860589</v>
      </c>
      <c r="D71" s="39">
        <f t="shared" si="5"/>
        <v>0.64105303184809181</v>
      </c>
    </row>
    <row r="72" spans="1:4" x14ac:dyDescent="0.25">
      <c r="A72" s="4">
        <v>2.7</v>
      </c>
      <c r="B72" s="29">
        <f t="shared" si="7"/>
        <v>0.386634197143777</v>
      </c>
      <c r="C72" s="4">
        <f t="shared" si="4"/>
        <v>0.13612406148411821</v>
      </c>
      <c r="D72" s="39">
        <f t="shared" si="5"/>
        <v>0.64792544868063495</v>
      </c>
    </row>
    <row r="73" spans="1:4" x14ac:dyDescent="0.25">
      <c r="A73" s="4">
        <v>2.75</v>
      </c>
      <c r="B73" s="29">
        <f t="shared" si="7"/>
        <v>0.386634197143777</v>
      </c>
      <c r="C73" s="4">
        <f t="shared" si="4"/>
        <v>0.13351782330839509</v>
      </c>
      <c r="D73" s="39">
        <f t="shared" si="5"/>
        <v>0.65466628587242104</v>
      </c>
    </row>
    <row r="74" spans="1:4" x14ac:dyDescent="0.25">
      <c r="A74" s="4">
        <v>2.8</v>
      </c>
      <c r="B74" s="29">
        <f t="shared" si="7"/>
        <v>0.386634197143777</v>
      </c>
      <c r="C74" s="4">
        <f t="shared" si="4"/>
        <v>0.13096148430078774</v>
      </c>
      <c r="D74" s="39">
        <f t="shared" si="5"/>
        <v>0.66127806265391653</v>
      </c>
    </row>
    <row r="75" spans="1:4" x14ac:dyDescent="0.25">
      <c r="A75" s="4">
        <v>2.85</v>
      </c>
      <c r="B75" s="29">
        <f t="shared" si="7"/>
        <v>0.386634197143777</v>
      </c>
      <c r="C75" s="4">
        <f t="shared" si="4"/>
        <v>0.12845408908929606</v>
      </c>
      <c r="D75" s="39">
        <f t="shared" si="5"/>
        <v>0.66776325002227344</v>
      </c>
    </row>
    <row r="76" spans="1:4" x14ac:dyDescent="0.25">
      <c r="A76" s="4">
        <v>2.9</v>
      </c>
      <c r="B76" s="29">
        <f t="shared" si="7"/>
        <v>0.386634197143777</v>
      </c>
      <c r="C76" s="4">
        <f t="shared" si="4"/>
        <v>0.12599470059352066</v>
      </c>
      <c r="D76" s="39">
        <f t="shared" si="5"/>
        <v>0.67412427166480771</v>
      </c>
    </row>
    <row r="77" spans="1:4" x14ac:dyDescent="0.25">
      <c r="A77" s="4">
        <v>2.95</v>
      </c>
      <c r="B77" s="29">
        <f t="shared" si="7"/>
        <v>0.386634197143777</v>
      </c>
      <c r="C77" s="4">
        <f t="shared" si="4"/>
        <v>0.12358239967445095</v>
      </c>
      <c r="D77" s="39">
        <f t="shared" si="5"/>
        <v>0.68036350486479447</v>
      </c>
    </row>
    <row r="78" spans="1:4" x14ac:dyDescent="0.25">
      <c r="A78" s="4">
        <v>3</v>
      </c>
      <c r="B78" s="29">
        <f t="shared" ref="B78:B97" si="8">$F$8</f>
        <v>1.131961139758475</v>
      </c>
      <c r="C78" s="4">
        <f t="shared" si="4"/>
        <v>3.7933078309872449E-2</v>
      </c>
      <c r="D78" s="39">
        <f t="shared" si="5"/>
        <v>0.96648906311574778</v>
      </c>
    </row>
    <row r="79" spans="1:4" x14ac:dyDescent="0.25">
      <c r="A79" s="4">
        <v>3.05</v>
      </c>
      <c r="B79" s="29">
        <f t="shared" si="8"/>
        <v>1.131961139758475</v>
      </c>
      <c r="C79" s="4">
        <f t="shared" si="4"/>
        <v>3.5845765864222563E-2</v>
      </c>
      <c r="D79" s="39">
        <f t="shared" si="5"/>
        <v>0.96833304200542525</v>
      </c>
    </row>
    <row r="80" spans="1:4" x14ac:dyDescent="0.25">
      <c r="A80" s="4">
        <v>3.1</v>
      </c>
      <c r="B80" s="29">
        <f t="shared" si="8"/>
        <v>1.131961139758475</v>
      </c>
      <c r="C80" s="4">
        <f t="shared" si="4"/>
        <v>3.3873310251708456E-2</v>
      </c>
      <c r="D80" s="39">
        <f t="shared" si="5"/>
        <v>0.97007555377834265</v>
      </c>
    </row>
    <row r="81" spans="1:4" x14ac:dyDescent="0.25">
      <c r="A81" s="4">
        <v>3.15</v>
      </c>
      <c r="B81" s="29">
        <f t="shared" si="8"/>
        <v>1.131961139758475</v>
      </c>
      <c r="C81" s="4">
        <f t="shared" si="4"/>
        <v>3.2009391339402574E-2</v>
      </c>
      <c r="D81" s="39">
        <f t="shared" si="5"/>
        <v>0.97172218178246617</v>
      </c>
    </row>
    <row r="82" spans="1:4" x14ac:dyDescent="0.25">
      <c r="A82" s="4">
        <v>3.2</v>
      </c>
      <c r="B82" s="29">
        <f t="shared" si="8"/>
        <v>1.131961139758475</v>
      </c>
      <c r="C82" s="4">
        <f t="shared" si="4"/>
        <v>3.0248036767157788E-2</v>
      </c>
      <c r="D82" s="39">
        <f t="shared" si="5"/>
        <v>0.97327820213544458</v>
      </c>
    </row>
    <row r="83" spans="1:4" x14ac:dyDescent="0.25">
      <c r="A83" s="4">
        <v>3.25</v>
      </c>
      <c r="B83" s="29">
        <f t="shared" si="8"/>
        <v>1.131961139758475</v>
      </c>
      <c r="C83" s="4">
        <f t="shared" ref="C83:C146" si="9">B83*EXP(-B83*A83)</f>
        <v>2.8583602810999465E-2</v>
      </c>
      <c r="D83" s="39">
        <f t="shared" ref="D83:D146" si="10">1-EXP(-B83*A83)</f>
        <v>0.97474860063031998</v>
      </c>
    </row>
    <row r="84" spans="1:4" x14ac:dyDescent="0.25">
      <c r="A84" s="4">
        <v>3.3</v>
      </c>
      <c r="B84" s="29">
        <f t="shared" si="8"/>
        <v>1.131961139758475</v>
      </c>
      <c r="C84" s="4">
        <f t="shared" si="9"/>
        <v>2.7010756299531806E-2</v>
      </c>
      <c r="D84" s="39">
        <f t="shared" si="10"/>
        <v>0.97613808871098251</v>
      </c>
    </row>
    <row r="85" spans="1:4" x14ac:dyDescent="0.25">
      <c r="A85" s="4">
        <v>3.35</v>
      </c>
      <c r="B85" s="29">
        <f t="shared" si="8"/>
        <v>1.131961139758475</v>
      </c>
      <c r="C85" s="4">
        <f t="shared" si="9"/>
        <v>2.5524457525415281E-2</v>
      </c>
      <c r="D85" s="39">
        <f t="shared" si="10"/>
        <v>0.97745111856855671</v>
      </c>
    </row>
    <row r="86" spans="1:4" x14ac:dyDescent="0.25">
      <c r="A86" s="4">
        <v>3.4</v>
      </c>
      <c r="B86" s="29">
        <f t="shared" si="8"/>
        <v>1.131961139758475</v>
      </c>
      <c r="C86" s="4">
        <f t="shared" si="9"/>
        <v>2.411994409716035E-2</v>
      </c>
      <c r="D86" s="39">
        <f t="shared" si="10"/>
        <v>0.97869189740709051</v>
      </c>
    </row>
    <row r="87" spans="1:4" x14ac:dyDescent="0.25">
      <c r="A87" s="4">
        <v>3.45</v>
      </c>
      <c r="B87" s="29">
        <f t="shared" si="8"/>
        <v>1.131961139758475</v>
      </c>
      <c r="C87" s="4">
        <f t="shared" si="9"/>
        <v>2.2792715679495128E-2</v>
      </c>
      <c r="D87" s="39">
        <f t="shared" si="10"/>
        <v>0.9798644009242593</v>
      </c>
    </row>
    <row r="88" spans="1:4" x14ac:dyDescent="0.25">
      <c r="A88" s="4">
        <v>3.5</v>
      </c>
      <c r="B88" s="29">
        <f t="shared" si="8"/>
        <v>1.131961139758475</v>
      </c>
      <c r="C88" s="4">
        <f t="shared" si="9"/>
        <v>2.1538519573412494E-2</v>
      </c>
      <c r="D88" s="39">
        <f t="shared" si="10"/>
        <v>0.98097238605027715</v>
      </c>
    </row>
    <row r="89" spans="1:4" x14ac:dyDescent="0.25">
      <c r="A89" s="4">
        <v>3.55</v>
      </c>
      <c r="B89" s="29">
        <f t="shared" si="8"/>
        <v>1.131961139758475</v>
      </c>
      <c r="C89" s="4">
        <f t="shared" si="9"/>
        <v>2.0353337089692013E-2</v>
      </c>
      <c r="D89" s="39">
        <f t="shared" si="10"/>
        <v>0.98201940298583501</v>
      </c>
    </row>
    <row r="90" spans="1:4" x14ac:dyDescent="0.25">
      <c r="A90" s="4">
        <v>3.6</v>
      </c>
      <c r="B90" s="29">
        <f t="shared" si="8"/>
        <v>1.131961139758475</v>
      </c>
      <c r="C90" s="4">
        <f t="shared" si="9"/>
        <v>1.9233370672235055E-2</v>
      </c>
      <c r="D90" s="39">
        <f t="shared" si="10"/>
        <v>0.98300880657763667</v>
      </c>
    </row>
    <row r="91" spans="1:4" x14ac:dyDescent="0.25">
      <c r="A91" s="4">
        <v>3.65</v>
      </c>
      <c r="B91" s="29">
        <f t="shared" si="8"/>
        <v>1.131961139758475</v>
      </c>
      <c r="C91" s="4">
        <f t="shared" si="9"/>
        <v>1.8175031729953491E-2</v>
      </c>
      <c r="D91" s="39">
        <f t="shared" si="10"/>
        <v>0.98394376706798303</v>
      </c>
    </row>
    <row r="92" spans="1:4" x14ac:dyDescent="0.25">
      <c r="A92" s="4">
        <v>3.7</v>
      </c>
      <c r="B92" s="29">
        <f t="shared" si="8"/>
        <v>1.131961139758475</v>
      </c>
      <c r="C92" s="4">
        <f t="shared" si="9"/>
        <v>1.7174929138223136E-2</v>
      </c>
      <c r="D92" s="39">
        <f t="shared" si="10"/>
        <v>0.98482728025284705</v>
      </c>
    </row>
    <row r="93" spans="1:4" x14ac:dyDescent="0.25">
      <c r="A93" s="4">
        <v>3.75</v>
      </c>
      <c r="B93" s="29">
        <f t="shared" si="8"/>
        <v>1.131961139758475</v>
      </c>
      <c r="C93" s="4">
        <f t="shared" si="9"/>
        <v>1.622985837305831E-2</v>
      </c>
      <c r="D93" s="39">
        <f t="shared" si="10"/>
        <v>0.98566217708098947</v>
      </c>
    </row>
    <row r="94" spans="1:4" x14ac:dyDescent="0.25">
      <c r="A94" s="4">
        <v>3.8</v>
      </c>
      <c r="B94" s="29">
        <f t="shared" si="8"/>
        <v>1.131961139758475</v>
      </c>
      <c r="C94" s="4">
        <f t="shared" si="9"/>
        <v>1.533679124319127E-2</v>
      </c>
      <c r="D94" s="39">
        <f t="shared" si="10"/>
        <v>0.98645113272487106</v>
      </c>
    </row>
    <row r="95" spans="1:4" x14ac:dyDescent="0.25">
      <c r="A95" s="4">
        <v>3.85</v>
      </c>
      <c r="B95" s="29">
        <f t="shared" si="8"/>
        <v>1.131961139758475</v>
      </c>
      <c r="C95" s="4">
        <f t="shared" si="9"/>
        <v>1.4492866187156044E-2</v>
      </c>
      <c r="D95" s="39">
        <f t="shared" si="10"/>
        <v>0.98719667515242759</v>
      </c>
    </row>
    <row r="96" spans="1:4" x14ac:dyDescent="0.25">
      <c r="A96" s="4">
        <v>3.9</v>
      </c>
      <c r="B96" s="29">
        <f t="shared" si="8"/>
        <v>1.131961139758475</v>
      </c>
      <c r="C96" s="4">
        <f t="shared" si="9"/>
        <v>1.3695379104286831E-2</v>
      </c>
      <c r="D96" s="39">
        <f t="shared" si="10"/>
        <v>0.98790119322717296</v>
      </c>
    </row>
    <row r="97" spans="1:4" x14ac:dyDescent="0.25">
      <c r="A97" s="4">
        <v>3.95</v>
      </c>
      <c r="B97" s="29">
        <f t="shared" si="8"/>
        <v>1.131961139758475</v>
      </c>
      <c r="C97" s="4">
        <f t="shared" si="9"/>
        <v>1.2941774690251401E-2</v>
      </c>
      <c r="D97" s="39">
        <f t="shared" si="10"/>
        <v>0.98856694436258408</v>
      </c>
    </row>
    <row r="98" spans="1:4" x14ac:dyDescent="0.25">
      <c r="A98" s="4">
        <v>4</v>
      </c>
      <c r="B98" s="29" t="e">
        <f t="shared" ref="B98:B117" si="11">$F$9</f>
        <v>#NUM!</v>
      </c>
      <c r="C98" s="4" t="e">
        <f t="shared" si="9"/>
        <v>#NUM!</v>
      </c>
      <c r="D98" s="39" t="e">
        <f t="shared" si="10"/>
        <v>#NUM!</v>
      </c>
    </row>
    <row r="99" spans="1:4" x14ac:dyDescent="0.25">
      <c r="A99" s="4">
        <v>4.05</v>
      </c>
      <c r="B99" s="29" t="e">
        <f t="shared" si="11"/>
        <v>#NUM!</v>
      </c>
      <c r="C99" s="4" t="e">
        <f t="shared" si="9"/>
        <v>#NUM!</v>
      </c>
      <c r="D99" s="39" t="e">
        <f t="shared" si="10"/>
        <v>#NUM!</v>
      </c>
    </row>
    <row r="100" spans="1:4" x14ac:dyDescent="0.25">
      <c r="A100" s="4">
        <v>4.0999999999999996</v>
      </c>
      <c r="B100" s="29" t="e">
        <f t="shared" si="11"/>
        <v>#NUM!</v>
      </c>
      <c r="C100" s="4" t="e">
        <f t="shared" si="9"/>
        <v>#NUM!</v>
      </c>
      <c r="D100" s="39" t="e">
        <f t="shared" si="10"/>
        <v>#NUM!</v>
      </c>
    </row>
    <row r="101" spans="1:4" x14ac:dyDescent="0.25">
      <c r="A101" s="4">
        <v>4.1500000000000004</v>
      </c>
      <c r="B101" s="29" t="e">
        <f t="shared" si="11"/>
        <v>#NUM!</v>
      </c>
      <c r="C101" s="4" t="e">
        <f t="shared" si="9"/>
        <v>#NUM!</v>
      </c>
      <c r="D101" s="39" t="e">
        <f t="shared" si="10"/>
        <v>#NUM!</v>
      </c>
    </row>
    <row r="102" spans="1:4" x14ac:dyDescent="0.25">
      <c r="A102" s="4">
        <v>4.2</v>
      </c>
      <c r="B102" s="29" t="e">
        <f t="shared" si="11"/>
        <v>#NUM!</v>
      </c>
      <c r="C102" s="4" t="e">
        <f t="shared" si="9"/>
        <v>#NUM!</v>
      </c>
      <c r="D102" s="39" t="e">
        <f t="shared" si="10"/>
        <v>#NUM!</v>
      </c>
    </row>
    <row r="103" spans="1:4" x14ac:dyDescent="0.25">
      <c r="A103" s="4">
        <v>4.25</v>
      </c>
      <c r="B103" s="29" t="e">
        <f t="shared" si="11"/>
        <v>#NUM!</v>
      </c>
      <c r="C103" s="4" t="e">
        <f t="shared" si="9"/>
        <v>#NUM!</v>
      </c>
      <c r="D103" s="39" t="e">
        <f t="shared" si="10"/>
        <v>#NUM!</v>
      </c>
    </row>
    <row r="104" spans="1:4" x14ac:dyDescent="0.25">
      <c r="A104" s="4">
        <v>4.3</v>
      </c>
      <c r="B104" s="29" t="e">
        <f t="shared" si="11"/>
        <v>#NUM!</v>
      </c>
      <c r="C104" s="4" t="e">
        <f t="shared" si="9"/>
        <v>#NUM!</v>
      </c>
      <c r="D104" s="39" t="e">
        <f t="shared" si="10"/>
        <v>#NUM!</v>
      </c>
    </row>
    <row r="105" spans="1:4" x14ac:dyDescent="0.25">
      <c r="A105" s="4">
        <v>4.3499999999999996</v>
      </c>
      <c r="B105" s="29" t="e">
        <f t="shared" si="11"/>
        <v>#NUM!</v>
      </c>
      <c r="C105" s="4" t="e">
        <f t="shared" si="9"/>
        <v>#NUM!</v>
      </c>
      <c r="D105" s="39" t="e">
        <f t="shared" si="10"/>
        <v>#NUM!</v>
      </c>
    </row>
    <row r="106" spans="1:4" x14ac:dyDescent="0.25">
      <c r="A106" s="4">
        <v>4.4000000000000004</v>
      </c>
      <c r="B106" s="29" t="e">
        <f t="shared" si="11"/>
        <v>#NUM!</v>
      </c>
      <c r="C106" s="4" t="e">
        <f t="shared" si="9"/>
        <v>#NUM!</v>
      </c>
      <c r="D106" s="39" t="e">
        <f t="shared" si="10"/>
        <v>#NUM!</v>
      </c>
    </row>
    <row r="107" spans="1:4" x14ac:dyDescent="0.25">
      <c r="A107" s="4">
        <v>4.45</v>
      </c>
      <c r="B107" s="29" t="e">
        <f t="shared" si="11"/>
        <v>#NUM!</v>
      </c>
      <c r="C107" s="4" t="e">
        <f t="shared" si="9"/>
        <v>#NUM!</v>
      </c>
      <c r="D107" s="39" t="e">
        <f t="shared" si="10"/>
        <v>#NUM!</v>
      </c>
    </row>
    <row r="108" spans="1:4" x14ac:dyDescent="0.25">
      <c r="A108" s="4">
        <v>4.5</v>
      </c>
      <c r="B108" s="29" t="e">
        <f t="shared" si="11"/>
        <v>#NUM!</v>
      </c>
      <c r="C108" s="4" t="e">
        <f t="shared" si="9"/>
        <v>#NUM!</v>
      </c>
      <c r="D108" s="39" t="e">
        <f t="shared" si="10"/>
        <v>#NUM!</v>
      </c>
    </row>
    <row r="109" spans="1:4" x14ac:dyDescent="0.25">
      <c r="A109" s="4">
        <v>4.55</v>
      </c>
      <c r="B109" s="29" t="e">
        <f t="shared" si="11"/>
        <v>#NUM!</v>
      </c>
      <c r="C109" s="4" t="e">
        <f t="shared" si="9"/>
        <v>#NUM!</v>
      </c>
      <c r="D109" s="39" t="e">
        <f t="shared" si="10"/>
        <v>#NUM!</v>
      </c>
    </row>
    <row r="110" spans="1:4" x14ac:dyDescent="0.25">
      <c r="A110" s="4">
        <v>4.5999999999999996</v>
      </c>
      <c r="B110" s="29" t="e">
        <f t="shared" si="11"/>
        <v>#NUM!</v>
      </c>
      <c r="C110" s="4" t="e">
        <f t="shared" si="9"/>
        <v>#NUM!</v>
      </c>
      <c r="D110" s="39" t="e">
        <f t="shared" si="10"/>
        <v>#NUM!</v>
      </c>
    </row>
    <row r="111" spans="1:4" x14ac:dyDescent="0.25">
      <c r="A111" s="4">
        <v>4.6500000000000004</v>
      </c>
      <c r="B111" s="29" t="e">
        <f t="shared" si="11"/>
        <v>#NUM!</v>
      </c>
      <c r="C111" s="4" t="e">
        <f t="shared" si="9"/>
        <v>#NUM!</v>
      </c>
      <c r="D111" s="39" t="e">
        <f t="shared" si="10"/>
        <v>#NUM!</v>
      </c>
    </row>
    <row r="112" spans="1:4" x14ac:dyDescent="0.25">
      <c r="A112" s="4">
        <v>4.7</v>
      </c>
      <c r="B112" s="29" t="e">
        <f t="shared" si="11"/>
        <v>#NUM!</v>
      </c>
      <c r="C112" s="4" t="e">
        <f t="shared" si="9"/>
        <v>#NUM!</v>
      </c>
      <c r="D112" s="39" t="e">
        <f t="shared" si="10"/>
        <v>#NUM!</v>
      </c>
    </row>
    <row r="113" spans="1:4" x14ac:dyDescent="0.25">
      <c r="A113" s="4">
        <v>4.75</v>
      </c>
      <c r="B113" s="29" t="e">
        <f t="shared" si="11"/>
        <v>#NUM!</v>
      </c>
      <c r="C113" s="4" t="e">
        <f t="shared" si="9"/>
        <v>#NUM!</v>
      </c>
      <c r="D113" s="39" t="e">
        <f t="shared" si="10"/>
        <v>#NUM!</v>
      </c>
    </row>
    <row r="114" spans="1:4" x14ac:dyDescent="0.25">
      <c r="A114" s="4">
        <v>4.8</v>
      </c>
      <c r="B114" s="29" t="e">
        <f t="shared" si="11"/>
        <v>#NUM!</v>
      </c>
      <c r="C114" s="4" t="e">
        <f t="shared" si="9"/>
        <v>#NUM!</v>
      </c>
      <c r="D114" s="39" t="e">
        <f t="shared" si="10"/>
        <v>#NUM!</v>
      </c>
    </row>
    <row r="115" spans="1:4" x14ac:dyDescent="0.25">
      <c r="A115" s="4">
        <v>4.8499999999999996</v>
      </c>
      <c r="B115" s="29" t="e">
        <f t="shared" si="11"/>
        <v>#NUM!</v>
      </c>
      <c r="C115" s="4" t="e">
        <f t="shared" si="9"/>
        <v>#NUM!</v>
      </c>
      <c r="D115" s="39" t="e">
        <f t="shared" si="10"/>
        <v>#NUM!</v>
      </c>
    </row>
    <row r="116" spans="1:4" x14ac:dyDescent="0.25">
      <c r="A116" s="4">
        <v>4.9000000000000004</v>
      </c>
      <c r="B116" s="29" t="e">
        <f t="shared" si="11"/>
        <v>#NUM!</v>
      </c>
      <c r="C116" s="4" t="e">
        <f t="shared" si="9"/>
        <v>#NUM!</v>
      </c>
      <c r="D116" s="39" t="e">
        <f t="shared" si="10"/>
        <v>#NUM!</v>
      </c>
    </row>
    <row r="117" spans="1:4" x14ac:dyDescent="0.25">
      <c r="A117" s="4">
        <v>4.95</v>
      </c>
      <c r="B117" s="29" t="e">
        <f t="shared" si="11"/>
        <v>#NUM!</v>
      </c>
      <c r="C117" s="4" t="e">
        <f t="shared" si="9"/>
        <v>#NUM!</v>
      </c>
      <c r="D117" s="39" t="e">
        <f t="shared" si="10"/>
        <v>#NUM!</v>
      </c>
    </row>
    <row r="118" spans="1:4" x14ac:dyDescent="0.25">
      <c r="A118" s="4">
        <v>5</v>
      </c>
      <c r="B118" s="29" t="e">
        <f t="shared" ref="B118:B137" si="12">$F$10</f>
        <v>#NUM!</v>
      </c>
      <c r="C118" s="4" t="e">
        <f t="shared" si="9"/>
        <v>#NUM!</v>
      </c>
      <c r="D118" s="39" t="e">
        <f t="shared" si="10"/>
        <v>#NUM!</v>
      </c>
    </row>
    <row r="119" spans="1:4" x14ac:dyDescent="0.25">
      <c r="A119" s="4">
        <v>5.05</v>
      </c>
      <c r="B119" s="29" t="e">
        <f t="shared" si="12"/>
        <v>#NUM!</v>
      </c>
      <c r="C119" s="4" t="e">
        <f t="shared" si="9"/>
        <v>#NUM!</v>
      </c>
      <c r="D119" s="39" t="e">
        <f t="shared" si="10"/>
        <v>#NUM!</v>
      </c>
    </row>
    <row r="120" spans="1:4" x14ac:dyDescent="0.25">
      <c r="A120" s="4">
        <v>5.0999999999999996</v>
      </c>
      <c r="B120" s="29" t="e">
        <f t="shared" si="12"/>
        <v>#NUM!</v>
      </c>
      <c r="C120" s="4" t="e">
        <f t="shared" si="9"/>
        <v>#NUM!</v>
      </c>
      <c r="D120" s="39" t="e">
        <f t="shared" si="10"/>
        <v>#NUM!</v>
      </c>
    </row>
    <row r="121" spans="1:4" x14ac:dyDescent="0.25">
      <c r="A121" s="4">
        <v>5.15</v>
      </c>
      <c r="B121" s="29" t="e">
        <f t="shared" si="12"/>
        <v>#NUM!</v>
      </c>
      <c r="C121" s="4" t="e">
        <f t="shared" si="9"/>
        <v>#NUM!</v>
      </c>
      <c r="D121" s="39" t="e">
        <f t="shared" si="10"/>
        <v>#NUM!</v>
      </c>
    </row>
    <row r="122" spans="1:4" x14ac:dyDescent="0.25">
      <c r="A122" s="4">
        <v>5.2</v>
      </c>
      <c r="B122" s="29" t="e">
        <f t="shared" si="12"/>
        <v>#NUM!</v>
      </c>
      <c r="C122" s="4" t="e">
        <f t="shared" si="9"/>
        <v>#NUM!</v>
      </c>
      <c r="D122" s="39" t="e">
        <f t="shared" si="10"/>
        <v>#NUM!</v>
      </c>
    </row>
    <row r="123" spans="1:4" x14ac:dyDescent="0.25">
      <c r="A123" s="4">
        <v>5.25</v>
      </c>
      <c r="B123" s="29" t="e">
        <f t="shared" si="12"/>
        <v>#NUM!</v>
      </c>
      <c r="C123" s="4" t="e">
        <f t="shared" si="9"/>
        <v>#NUM!</v>
      </c>
      <c r="D123" s="39" t="e">
        <f t="shared" si="10"/>
        <v>#NUM!</v>
      </c>
    </row>
    <row r="124" spans="1:4" x14ac:dyDescent="0.25">
      <c r="A124" s="4">
        <v>5.3</v>
      </c>
      <c r="B124" s="29" t="e">
        <f t="shared" si="12"/>
        <v>#NUM!</v>
      </c>
      <c r="C124" s="4" t="e">
        <f t="shared" si="9"/>
        <v>#NUM!</v>
      </c>
      <c r="D124" s="39" t="e">
        <f t="shared" si="10"/>
        <v>#NUM!</v>
      </c>
    </row>
    <row r="125" spans="1:4" x14ac:dyDescent="0.25">
      <c r="A125" s="4">
        <v>5.35</v>
      </c>
      <c r="B125" s="29" t="e">
        <f t="shared" si="12"/>
        <v>#NUM!</v>
      </c>
      <c r="C125" s="4" t="e">
        <f t="shared" si="9"/>
        <v>#NUM!</v>
      </c>
      <c r="D125" s="39" t="e">
        <f t="shared" si="10"/>
        <v>#NUM!</v>
      </c>
    </row>
    <row r="126" spans="1:4" x14ac:dyDescent="0.25">
      <c r="A126" s="4">
        <v>5.4</v>
      </c>
      <c r="B126" s="29" t="e">
        <f t="shared" si="12"/>
        <v>#NUM!</v>
      </c>
      <c r="C126" s="4" t="e">
        <f t="shared" si="9"/>
        <v>#NUM!</v>
      </c>
      <c r="D126" s="39" t="e">
        <f t="shared" si="10"/>
        <v>#NUM!</v>
      </c>
    </row>
    <row r="127" spans="1:4" x14ac:dyDescent="0.25">
      <c r="A127" s="4">
        <v>5.45</v>
      </c>
      <c r="B127" s="29" t="e">
        <f t="shared" si="12"/>
        <v>#NUM!</v>
      </c>
      <c r="C127" s="4" t="e">
        <f t="shared" si="9"/>
        <v>#NUM!</v>
      </c>
      <c r="D127" s="39" t="e">
        <f t="shared" si="10"/>
        <v>#NUM!</v>
      </c>
    </row>
    <row r="128" spans="1:4" x14ac:dyDescent="0.25">
      <c r="A128" s="4">
        <v>5.5</v>
      </c>
      <c r="B128" s="29" t="e">
        <f t="shared" si="12"/>
        <v>#NUM!</v>
      </c>
      <c r="C128" s="4" t="e">
        <f t="shared" si="9"/>
        <v>#NUM!</v>
      </c>
      <c r="D128" s="39" t="e">
        <f t="shared" si="10"/>
        <v>#NUM!</v>
      </c>
    </row>
    <row r="129" spans="1:4" x14ac:dyDescent="0.25">
      <c r="A129" s="4">
        <v>5.55</v>
      </c>
      <c r="B129" s="29" t="e">
        <f t="shared" si="12"/>
        <v>#NUM!</v>
      </c>
      <c r="C129" s="4" t="e">
        <f t="shared" si="9"/>
        <v>#NUM!</v>
      </c>
      <c r="D129" s="39" t="e">
        <f t="shared" si="10"/>
        <v>#NUM!</v>
      </c>
    </row>
    <row r="130" spans="1:4" x14ac:dyDescent="0.25">
      <c r="A130" s="4">
        <v>5.6</v>
      </c>
      <c r="B130" s="29" t="e">
        <f t="shared" si="12"/>
        <v>#NUM!</v>
      </c>
      <c r="C130" s="4" t="e">
        <f t="shared" si="9"/>
        <v>#NUM!</v>
      </c>
      <c r="D130" s="39" t="e">
        <f t="shared" si="10"/>
        <v>#NUM!</v>
      </c>
    </row>
    <row r="131" spans="1:4" x14ac:dyDescent="0.25">
      <c r="A131" s="4">
        <v>5.65</v>
      </c>
      <c r="B131" s="29" t="e">
        <f t="shared" si="12"/>
        <v>#NUM!</v>
      </c>
      <c r="C131" s="4" t="e">
        <f t="shared" si="9"/>
        <v>#NUM!</v>
      </c>
      <c r="D131" s="39" t="e">
        <f t="shared" si="10"/>
        <v>#NUM!</v>
      </c>
    </row>
    <row r="132" spans="1:4" x14ac:dyDescent="0.25">
      <c r="A132" s="4">
        <v>5.7</v>
      </c>
      <c r="B132" s="29" t="e">
        <f t="shared" si="12"/>
        <v>#NUM!</v>
      </c>
      <c r="C132" s="4" t="e">
        <f t="shared" si="9"/>
        <v>#NUM!</v>
      </c>
      <c r="D132" s="39" t="e">
        <f t="shared" si="10"/>
        <v>#NUM!</v>
      </c>
    </row>
    <row r="133" spans="1:4" x14ac:dyDescent="0.25">
      <c r="A133" s="4">
        <v>5.75</v>
      </c>
      <c r="B133" s="29" t="e">
        <f t="shared" si="12"/>
        <v>#NUM!</v>
      </c>
      <c r="C133" s="4" t="e">
        <f t="shared" si="9"/>
        <v>#NUM!</v>
      </c>
      <c r="D133" s="39" t="e">
        <f t="shared" si="10"/>
        <v>#NUM!</v>
      </c>
    </row>
    <row r="134" spans="1:4" x14ac:dyDescent="0.25">
      <c r="A134" s="4">
        <v>5.8</v>
      </c>
      <c r="B134" s="29" t="e">
        <f t="shared" si="12"/>
        <v>#NUM!</v>
      </c>
      <c r="C134" s="4" t="e">
        <f t="shared" si="9"/>
        <v>#NUM!</v>
      </c>
      <c r="D134" s="39" t="e">
        <f t="shared" si="10"/>
        <v>#NUM!</v>
      </c>
    </row>
    <row r="135" spans="1:4" x14ac:dyDescent="0.25">
      <c r="A135" s="4">
        <v>5.85</v>
      </c>
      <c r="B135" s="29" t="e">
        <f t="shared" si="12"/>
        <v>#NUM!</v>
      </c>
      <c r="C135" s="4" t="e">
        <f t="shared" si="9"/>
        <v>#NUM!</v>
      </c>
      <c r="D135" s="39" t="e">
        <f t="shared" si="10"/>
        <v>#NUM!</v>
      </c>
    </row>
    <row r="136" spans="1:4" x14ac:dyDescent="0.25">
      <c r="A136" s="4">
        <v>5.9</v>
      </c>
      <c r="B136" s="29" t="e">
        <f t="shared" si="12"/>
        <v>#NUM!</v>
      </c>
      <c r="C136" s="4" t="e">
        <f t="shared" si="9"/>
        <v>#NUM!</v>
      </c>
      <c r="D136" s="39" t="e">
        <f t="shared" si="10"/>
        <v>#NUM!</v>
      </c>
    </row>
    <row r="137" spans="1:4" x14ac:dyDescent="0.25">
      <c r="A137" s="4">
        <v>5.95</v>
      </c>
      <c r="B137" s="29" t="e">
        <f t="shared" si="12"/>
        <v>#NUM!</v>
      </c>
      <c r="C137" s="4" t="e">
        <f t="shared" si="9"/>
        <v>#NUM!</v>
      </c>
      <c r="D137" s="39" t="e">
        <f t="shared" si="10"/>
        <v>#NUM!</v>
      </c>
    </row>
    <row r="138" spans="1:4" x14ac:dyDescent="0.25">
      <c r="A138" s="4">
        <v>6</v>
      </c>
      <c r="B138" s="29" t="e">
        <f t="shared" ref="B138:B158" si="13">$F$11</f>
        <v>#NUM!</v>
      </c>
      <c r="C138" s="4" t="e">
        <f t="shared" si="9"/>
        <v>#NUM!</v>
      </c>
      <c r="D138" s="39" t="e">
        <f t="shared" si="10"/>
        <v>#NUM!</v>
      </c>
    </row>
    <row r="139" spans="1:4" x14ac:dyDescent="0.25">
      <c r="A139" s="4">
        <v>6.05</v>
      </c>
      <c r="B139" s="29" t="e">
        <f t="shared" si="13"/>
        <v>#NUM!</v>
      </c>
      <c r="C139" s="4" t="e">
        <f t="shared" si="9"/>
        <v>#NUM!</v>
      </c>
      <c r="D139" s="39" t="e">
        <f t="shared" si="10"/>
        <v>#NUM!</v>
      </c>
    </row>
    <row r="140" spans="1:4" x14ac:dyDescent="0.25">
      <c r="A140" s="4">
        <v>6.1</v>
      </c>
      <c r="B140" s="29" t="e">
        <f t="shared" si="13"/>
        <v>#NUM!</v>
      </c>
      <c r="C140" s="4" t="e">
        <f t="shared" si="9"/>
        <v>#NUM!</v>
      </c>
      <c r="D140" s="39" t="e">
        <f t="shared" si="10"/>
        <v>#NUM!</v>
      </c>
    </row>
    <row r="141" spans="1:4" x14ac:dyDescent="0.25">
      <c r="A141" s="4">
        <v>6.15</v>
      </c>
      <c r="B141" s="29" t="e">
        <f t="shared" si="13"/>
        <v>#NUM!</v>
      </c>
      <c r="C141" s="4" t="e">
        <f t="shared" si="9"/>
        <v>#NUM!</v>
      </c>
      <c r="D141" s="39" t="e">
        <f t="shared" si="10"/>
        <v>#NUM!</v>
      </c>
    </row>
    <row r="142" spans="1:4" x14ac:dyDescent="0.25">
      <c r="A142" s="4">
        <v>6.2</v>
      </c>
      <c r="B142" s="29" t="e">
        <f t="shared" si="13"/>
        <v>#NUM!</v>
      </c>
      <c r="C142" s="4" t="e">
        <f t="shared" si="9"/>
        <v>#NUM!</v>
      </c>
      <c r="D142" s="39" t="e">
        <f t="shared" si="10"/>
        <v>#NUM!</v>
      </c>
    </row>
    <row r="143" spans="1:4" x14ac:dyDescent="0.25">
      <c r="A143" s="4">
        <v>6.25</v>
      </c>
      <c r="B143" s="29" t="e">
        <f t="shared" si="13"/>
        <v>#NUM!</v>
      </c>
      <c r="C143" s="4" t="e">
        <f t="shared" si="9"/>
        <v>#NUM!</v>
      </c>
      <c r="D143" s="39" t="e">
        <f t="shared" si="10"/>
        <v>#NUM!</v>
      </c>
    </row>
    <row r="144" spans="1:4" x14ac:dyDescent="0.25">
      <c r="A144" s="4">
        <v>6.3</v>
      </c>
      <c r="B144" s="29" t="e">
        <f t="shared" si="13"/>
        <v>#NUM!</v>
      </c>
      <c r="C144" s="4" t="e">
        <f t="shared" si="9"/>
        <v>#NUM!</v>
      </c>
      <c r="D144" s="39" t="e">
        <f t="shared" si="10"/>
        <v>#NUM!</v>
      </c>
    </row>
    <row r="145" spans="1:4" x14ac:dyDescent="0.25">
      <c r="A145" s="4">
        <v>6.35</v>
      </c>
      <c r="B145" s="29" t="e">
        <f t="shared" si="13"/>
        <v>#NUM!</v>
      </c>
      <c r="C145" s="4" t="e">
        <f t="shared" si="9"/>
        <v>#NUM!</v>
      </c>
      <c r="D145" s="39" t="e">
        <f t="shared" si="10"/>
        <v>#NUM!</v>
      </c>
    </row>
    <row r="146" spans="1:4" x14ac:dyDescent="0.25">
      <c r="A146" s="4">
        <v>6.4</v>
      </c>
      <c r="B146" s="29" t="e">
        <f t="shared" si="13"/>
        <v>#NUM!</v>
      </c>
      <c r="C146" s="4" t="e">
        <f t="shared" si="9"/>
        <v>#NUM!</v>
      </c>
      <c r="D146" s="39" t="e">
        <f t="shared" si="10"/>
        <v>#NUM!</v>
      </c>
    </row>
    <row r="147" spans="1:4" x14ac:dyDescent="0.25">
      <c r="A147" s="4">
        <v>6.45</v>
      </c>
      <c r="B147" s="29" t="e">
        <f t="shared" si="13"/>
        <v>#NUM!</v>
      </c>
      <c r="C147" s="4" t="e">
        <f t="shared" ref="C147:C158" si="14">B147*EXP(-B147*A147)</f>
        <v>#NUM!</v>
      </c>
      <c r="D147" s="39" t="e">
        <f t="shared" ref="D147:D158" si="15">1-EXP(-B147*A147)</f>
        <v>#NUM!</v>
      </c>
    </row>
    <row r="148" spans="1:4" x14ac:dyDescent="0.25">
      <c r="A148" s="4">
        <v>6.5</v>
      </c>
      <c r="B148" s="29" t="e">
        <f t="shared" si="13"/>
        <v>#NUM!</v>
      </c>
      <c r="C148" s="4" t="e">
        <f t="shared" si="14"/>
        <v>#NUM!</v>
      </c>
      <c r="D148" s="39" t="e">
        <f t="shared" si="15"/>
        <v>#NUM!</v>
      </c>
    </row>
    <row r="149" spans="1:4" x14ac:dyDescent="0.25">
      <c r="A149" s="4">
        <v>6.55</v>
      </c>
      <c r="B149" s="29" t="e">
        <f t="shared" si="13"/>
        <v>#NUM!</v>
      </c>
      <c r="C149" s="4" t="e">
        <f t="shared" si="14"/>
        <v>#NUM!</v>
      </c>
      <c r="D149" s="39" t="e">
        <f t="shared" si="15"/>
        <v>#NUM!</v>
      </c>
    </row>
    <row r="150" spans="1:4" x14ac:dyDescent="0.25">
      <c r="A150" s="4">
        <v>6.6</v>
      </c>
      <c r="B150" s="29" t="e">
        <f t="shared" si="13"/>
        <v>#NUM!</v>
      </c>
      <c r="C150" s="4" t="e">
        <f t="shared" si="14"/>
        <v>#NUM!</v>
      </c>
      <c r="D150" s="39" t="e">
        <f t="shared" si="15"/>
        <v>#NUM!</v>
      </c>
    </row>
    <row r="151" spans="1:4" x14ac:dyDescent="0.25">
      <c r="A151" s="4">
        <v>6.65</v>
      </c>
      <c r="B151" s="29" t="e">
        <f t="shared" si="13"/>
        <v>#NUM!</v>
      </c>
      <c r="C151" s="4" t="e">
        <f t="shared" si="14"/>
        <v>#NUM!</v>
      </c>
      <c r="D151" s="39" t="e">
        <f t="shared" si="15"/>
        <v>#NUM!</v>
      </c>
    </row>
    <row r="152" spans="1:4" x14ac:dyDescent="0.25">
      <c r="A152" s="4">
        <v>6.7</v>
      </c>
      <c r="B152" s="29" t="e">
        <f t="shared" si="13"/>
        <v>#NUM!</v>
      </c>
      <c r="C152" s="4" t="e">
        <f t="shared" si="14"/>
        <v>#NUM!</v>
      </c>
      <c r="D152" s="39" t="e">
        <f t="shared" si="15"/>
        <v>#NUM!</v>
      </c>
    </row>
    <row r="153" spans="1:4" x14ac:dyDescent="0.25">
      <c r="A153" s="4">
        <v>6.75</v>
      </c>
      <c r="B153" s="29" t="e">
        <f t="shared" si="13"/>
        <v>#NUM!</v>
      </c>
      <c r="C153" s="4" t="e">
        <f t="shared" si="14"/>
        <v>#NUM!</v>
      </c>
      <c r="D153" s="39" t="e">
        <f t="shared" si="15"/>
        <v>#NUM!</v>
      </c>
    </row>
    <row r="154" spans="1:4" x14ac:dyDescent="0.25">
      <c r="A154" s="4">
        <v>6.8</v>
      </c>
      <c r="B154" s="29" t="e">
        <f t="shared" si="13"/>
        <v>#NUM!</v>
      </c>
      <c r="C154" s="4" t="e">
        <f t="shared" si="14"/>
        <v>#NUM!</v>
      </c>
      <c r="D154" s="39" t="e">
        <f t="shared" si="15"/>
        <v>#NUM!</v>
      </c>
    </row>
    <row r="155" spans="1:4" x14ac:dyDescent="0.25">
      <c r="A155" s="4">
        <v>6.85</v>
      </c>
      <c r="B155" s="29" t="e">
        <f t="shared" si="13"/>
        <v>#NUM!</v>
      </c>
      <c r="C155" s="4" t="e">
        <f t="shared" si="14"/>
        <v>#NUM!</v>
      </c>
      <c r="D155" s="39" t="e">
        <f t="shared" si="15"/>
        <v>#NUM!</v>
      </c>
    </row>
    <row r="156" spans="1:4" x14ac:dyDescent="0.25">
      <c r="A156" s="4">
        <v>6.9</v>
      </c>
      <c r="B156" s="29" t="e">
        <f t="shared" si="13"/>
        <v>#NUM!</v>
      </c>
      <c r="C156" s="4" t="e">
        <f t="shared" si="14"/>
        <v>#NUM!</v>
      </c>
      <c r="D156" s="39" t="e">
        <f t="shared" si="15"/>
        <v>#NUM!</v>
      </c>
    </row>
    <row r="157" spans="1:4" x14ac:dyDescent="0.25">
      <c r="A157" s="4">
        <v>6.95</v>
      </c>
      <c r="B157" s="29" t="e">
        <f t="shared" si="13"/>
        <v>#NUM!</v>
      </c>
      <c r="C157" s="4" t="e">
        <f t="shared" si="14"/>
        <v>#NUM!</v>
      </c>
      <c r="D157" s="39" t="e">
        <f t="shared" si="15"/>
        <v>#NUM!</v>
      </c>
    </row>
    <row r="158" spans="1:4" x14ac:dyDescent="0.25">
      <c r="A158" s="4">
        <v>7</v>
      </c>
      <c r="B158" s="29" t="e">
        <f t="shared" si="13"/>
        <v>#NUM!</v>
      </c>
      <c r="C158" s="4" t="e">
        <f t="shared" si="14"/>
        <v>#NUM!</v>
      </c>
      <c r="D158" s="39" t="e">
        <f t="shared" si="15"/>
        <v>#NUM!</v>
      </c>
    </row>
  </sheetData>
  <mergeCells count="2">
    <mergeCell ref="I2:N2"/>
    <mergeCell ref="G1:O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10"/>
  <sheetViews>
    <sheetView showGridLines="0" zoomScale="130" zoomScaleNormal="130" zoomScalePageLayoutView="130" workbookViewId="0">
      <selection activeCell="I10" sqref="I10"/>
    </sheetView>
  </sheetViews>
  <sheetFormatPr baseColWidth="10" defaultRowHeight="15.75" x14ac:dyDescent="0.25"/>
  <cols>
    <col min="1" max="1" width="8.125" bestFit="1" customWidth="1"/>
    <col min="2" max="10" width="5.625" bestFit="1" customWidth="1"/>
  </cols>
  <sheetData>
    <row r="2" spans="1:10" ht="16.5" thickBot="1" x14ac:dyDescent="0.3">
      <c r="A2" s="33" t="s">
        <v>0</v>
      </c>
      <c r="B2" s="31">
        <v>0.1</v>
      </c>
      <c r="C2" s="31">
        <v>0.2</v>
      </c>
      <c r="D2" s="31">
        <v>0.3</v>
      </c>
      <c r="E2" s="31">
        <v>0.4</v>
      </c>
      <c r="F2" s="31">
        <v>0.5</v>
      </c>
      <c r="G2" s="31">
        <v>0.6</v>
      </c>
      <c r="H2" s="31">
        <v>0.7</v>
      </c>
      <c r="I2" s="31">
        <v>0.8</v>
      </c>
      <c r="J2" s="31">
        <v>0.9</v>
      </c>
    </row>
    <row r="3" spans="1:10" ht="16.5" thickTop="1" x14ac:dyDescent="0.25">
      <c r="A3" s="1">
        <v>0</v>
      </c>
      <c r="B3" s="32">
        <v>1</v>
      </c>
      <c r="C3" s="1">
        <v>1</v>
      </c>
      <c r="D3" s="1">
        <v>1</v>
      </c>
      <c r="E3" s="1">
        <v>1</v>
      </c>
      <c r="F3" s="1">
        <v>1</v>
      </c>
      <c r="G3" s="1">
        <v>1</v>
      </c>
      <c r="H3" s="1">
        <v>1</v>
      </c>
      <c r="I3" s="1">
        <v>1</v>
      </c>
      <c r="J3" s="1">
        <v>1</v>
      </c>
    </row>
    <row r="4" spans="1:10" x14ac:dyDescent="0.25">
      <c r="A4" s="1">
        <v>1</v>
      </c>
      <c r="B4" s="34">
        <v>0.99447513812154698</v>
      </c>
      <c r="C4" s="35">
        <v>0.99378881987577639</v>
      </c>
      <c r="D4" s="35">
        <v>0.99290780141843971</v>
      </c>
      <c r="E4" s="35">
        <v>0.99173553719008267</v>
      </c>
      <c r="F4" s="35">
        <v>0.99009900990099009</v>
      </c>
      <c r="G4" s="35">
        <v>0.98765432098765427</v>
      </c>
      <c r="H4" s="35">
        <v>0.98360655737704916</v>
      </c>
      <c r="I4" s="35">
        <v>0.97560975609756095</v>
      </c>
      <c r="J4" s="35">
        <v>0.95238095238095233</v>
      </c>
    </row>
    <row r="5" spans="1:10" x14ac:dyDescent="0.25">
      <c r="A5" s="1">
        <v>2</v>
      </c>
      <c r="B5" s="34">
        <v>0.98298650137955457</v>
      </c>
      <c r="C5" s="35">
        <v>0.98088670433688663</v>
      </c>
      <c r="D5" s="35">
        <v>0.97819563494782069</v>
      </c>
      <c r="E5" s="35">
        <v>0.97462263995621046</v>
      </c>
      <c r="F5" s="35">
        <v>0.96964924282335985</v>
      </c>
      <c r="G5" s="35">
        <v>0.96225154610109476</v>
      </c>
      <c r="H5" s="35">
        <v>0.95008603159528637</v>
      </c>
      <c r="I5" s="35">
        <v>0.92635405092821033</v>
      </c>
      <c r="J5" s="35">
        <v>0.85965273720859559</v>
      </c>
    </row>
    <row r="6" spans="1:10" x14ac:dyDescent="0.25">
      <c r="A6" s="1">
        <v>3</v>
      </c>
      <c r="B6" s="34">
        <v>0.96898829759983207</v>
      </c>
      <c r="C6" s="35">
        <v>0.96518945820635149</v>
      </c>
      <c r="D6" s="35">
        <v>0.96033011258321677</v>
      </c>
      <c r="E6" s="35">
        <v>0.95389420523457125</v>
      </c>
      <c r="F6" s="35">
        <v>0.94496611303448885</v>
      </c>
      <c r="G6" s="35">
        <v>0.93175126117548646</v>
      </c>
      <c r="H6" s="35">
        <v>0.91018921625549787</v>
      </c>
      <c r="I6" s="35">
        <v>0.86873495239816978</v>
      </c>
      <c r="J6" s="35">
        <v>0.75653615132596019</v>
      </c>
    </row>
    <row r="7" spans="1:10" s="2" customFormat="1" x14ac:dyDescent="0.25">
      <c r="A7" s="4">
        <v>4</v>
      </c>
      <c r="B7" s="36">
        <v>0.95202254491019478</v>
      </c>
      <c r="C7" s="37">
        <v>0.94619609804998539</v>
      </c>
      <c r="D7" s="37">
        <v>0.938759301536502</v>
      </c>
      <c r="E7" s="37">
        <v>0.92893775529845479</v>
      </c>
      <c r="F7" s="37">
        <v>0.91536604519418585</v>
      </c>
      <c r="G7" s="37">
        <v>0.89539156579899093</v>
      </c>
      <c r="H7" s="37">
        <v>0.86309297587711087</v>
      </c>
      <c r="I7" s="37">
        <v>0.80202813126148875</v>
      </c>
      <c r="J7" s="37">
        <v>0.64373909047365419</v>
      </c>
    </row>
    <row r="8" spans="1:10" x14ac:dyDescent="0.25">
      <c r="A8" s="1">
        <v>5</v>
      </c>
      <c r="B8" s="34">
        <v>0.93181739275482189</v>
      </c>
      <c r="C8" s="35">
        <v>0.92361889961632682</v>
      </c>
      <c r="D8" s="35">
        <v>0.91318044607190441</v>
      </c>
      <c r="E8" s="35">
        <v>0.89943955884207294</v>
      </c>
      <c r="F8" s="35">
        <v>0.88053648343107904</v>
      </c>
      <c r="G8" s="35">
        <v>0.85289525531212718</v>
      </c>
      <c r="H8" s="35">
        <v>0.80865849299215753</v>
      </c>
      <c r="I8" s="35">
        <v>0.72660862567270224</v>
      </c>
      <c r="J8" s="35">
        <v>0.52414252196789557</v>
      </c>
    </row>
    <row r="9" spans="1:10" s="2" customFormat="1" x14ac:dyDescent="0.25">
      <c r="A9" s="4">
        <v>6</v>
      </c>
      <c r="B9" s="36">
        <v>0.91632529436559673</v>
      </c>
      <c r="C9" s="37">
        <v>0.90636195142807152</v>
      </c>
      <c r="D9" s="37">
        <v>0.89370747641207615</v>
      </c>
      <c r="E9" s="37">
        <v>0.877102831828798</v>
      </c>
      <c r="F9" s="37">
        <v>0.85436019996693591</v>
      </c>
      <c r="G9" s="37">
        <v>0.82131608245780718</v>
      </c>
      <c r="H9" s="37">
        <v>0.76896684883659638</v>
      </c>
      <c r="I9" s="37">
        <v>0.67367985147357656</v>
      </c>
      <c r="J9" s="37">
        <v>0.44960329435454932</v>
      </c>
    </row>
    <row r="10" spans="1:10" x14ac:dyDescent="0.25">
      <c r="A10" s="1">
        <v>7</v>
      </c>
      <c r="B10" s="34">
        <v>0.9001733025769928</v>
      </c>
      <c r="C10" s="35">
        <v>0.88840311134627115</v>
      </c>
      <c r="D10" s="35">
        <v>0.87349042082364958</v>
      </c>
      <c r="E10" s="35">
        <v>0.85398552168890851</v>
      </c>
      <c r="F10" s="35">
        <v>0.82738794694804185</v>
      </c>
      <c r="G10" s="35">
        <v>0.78898937183859097</v>
      </c>
      <c r="H10" s="35">
        <v>0.72877389692128436</v>
      </c>
      <c r="I10" s="35">
        <v>0.62121613007990983</v>
      </c>
      <c r="J10" s="35">
        <v>0.3801473440841539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WFC</vt:lpstr>
      <vt:lpstr>CCMO</vt:lpstr>
      <vt:lpstr>WFC RR</vt:lpstr>
      <vt:lpstr>CCMO!L</vt:lpstr>
      <vt:lpstr>WFC!L</vt:lpstr>
      <vt:lpstr>CCMO!RR</vt:lpstr>
      <vt:lpstr>WFC!RR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Juan Pablo Araujo Guerra</cp:lastModifiedBy>
  <dcterms:created xsi:type="dcterms:W3CDTF">2017-07-09T21:30:21Z</dcterms:created>
  <dcterms:modified xsi:type="dcterms:W3CDTF">2017-07-14T20:34:28Z</dcterms:modified>
</cp:coreProperties>
</file>
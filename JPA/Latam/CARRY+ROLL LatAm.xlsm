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8030" windowHeight="11730" firstSheet="1" activeTab="3"/>
  </bookViews>
  <sheets>
    <sheet name="MAIN" sheetId="4" state="hidden" r:id="rId1"/>
    <sheet name="BROKEN DATES" sheetId="16" r:id="rId2"/>
    <sheet name="SETTINGS" sheetId="17" r:id="rId3"/>
    <sheet name="Rolldown" sheetId="18" r:id="rId4"/>
    <sheet name="Help" sheetId="22" r:id="rId5"/>
    <sheet name="BBPTACShadowWks0001" sheetId="21" state="veryHidden" r:id="rId6"/>
  </sheets>
  <functionGroups builtInGroupCount="17"/>
  <externalReferences>
    <externalReference r:id="rId7"/>
  </externalReferences>
  <definedNames>
    <definedName name="_xlnm._FilterDatabase" localSheetId="1" hidden="1">'BROKEN DATES'!#REF!</definedName>
    <definedName name="_xlnm._FilterDatabase" localSheetId="0" hidden="1">MAIN!$B$7:$K$14</definedName>
    <definedName name="_xlnm._FilterDatabase" localSheetId="2" hidden="1">SETTINGS!#REF!</definedName>
    <definedName name="btnRolldown">Rolldown!$E$2</definedName>
    <definedName name="counter">#REF!</definedName>
    <definedName name="CrncyList" localSheetId="4">OFFSET([1]SETTINGS!$B$8,1,0,COUNTA([1]SETTINGS!$B$1:$B$65536)-3,1)</definedName>
    <definedName name="CrncyList">OFFSET(SETTINGS!$B$8,1,0,COUNTA(SETTINGS!$B:$B)-3,1)</definedName>
    <definedName name="CrncyListStart">SETTINGS!$B$9</definedName>
    <definedName name="CrvData">MAIN!$B$13</definedName>
    <definedName name="CrvDate" localSheetId="4">[1]Rolldown!$C$9</definedName>
    <definedName name="CrvDate">Rolldown!$C$9</definedName>
    <definedName name="Curncy_Array">"{""EUR"",""GBP""}"</definedName>
    <definedName name="invoiceTickerStart">#REF!</definedName>
    <definedName name="MCrvCrncy" localSheetId="4">[1]Rolldown!$C$7</definedName>
    <definedName name="MCrvCrncy">Rolldown!$C$7</definedName>
    <definedName name="MCrvSett">Rolldown!$C$10</definedName>
    <definedName name="MCrvType" localSheetId="4">[1]Rolldown!$C$8</definedName>
    <definedName name="MCrvType">Rolldown!$C$8</definedName>
    <definedName name="MCurveID">Rolldown!$G$10</definedName>
    <definedName name="startHistoryCell">#REF!</definedName>
  </definedNames>
  <calcPr calcId="145621" iterate="1"/>
</workbook>
</file>

<file path=xl/calcChain.xml><?xml version="1.0" encoding="utf-8"?>
<calcChain xmlns="http://schemas.openxmlformats.org/spreadsheetml/2006/main">
  <c r="O13" i="18" l="1"/>
  <c r="C9" i="18" l="1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14" i="18"/>
  <c r="C7" i="21"/>
  <c r="C8" i="21"/>
  <c r="C9" i="21"/>
  <c r="C10" i="21"/>
  <c r="C16" i="21"/>
  <c r="D16" i="21"/>
  <c r="E16" i="21"/>
  <c r="F16" i="21"/>
  <c r="G16" i="21"/>
  <c r="C17" i="21"/>
  <c r="D17" i="21"/>
  <c r="E17" i="21"/>
  <c r="F17" i="21"/>
  <c r="G17" i="21"/>
  <c r="C18" i="21"/>
  <c r="D18" i="21"/>
  <c r="E18" i="21"/>
  <c r="F18" i="21"/>
  <c r="G18" i="21"/>
  <c r="C19" i="21"/>
  <c r="D19" i="21"/>
  <c r="E19" i="21"/>
  <c r="F19" i="21"/>
  <c r="G19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65" i="22"/>
  <c r="C66" i="22"/>
  <c r="AB11" i="18"/>
  <c r="Y14" i="18" s="1"/>
  <c r="AB15" i="18"/>
  <c r="AB17" i="18"/>
  <c r="AB19" i="18"/>
  <c r="D38" i="17"/>
  <c r="D39" i="17"/>
  <c r="E39" i="17"/>
  <c r="D40" i="17"/>
  <c r="E40" i="17"/>
  <c r="F40" i="17"/>
  <c r="D41" i="17"/>
  <c r="E41" i="17"/>
  <c r="F41" i="17"/>
  <c r="D42" i="17"/>
  <c r="E42" i="17"/>
  <c r="F42" i="17"/>
  <c r="G42" i="17"/>
  <c r="D43" i="17"/>
  <c r="E43" i="17"/>
  <c r="F43" i="17"/>
  <c r="G43" i="17"/>
  <c r="D44" i="17"/>
  <c r="E44" i="17"/>
  <c r="F44" i="17"/>
  <c r="G44" i="17"/>
  <c r="D45" i="17"/>
  <c r="E45" i="17"/>
  <c r="F45" i="17"/>
  <c r="G45" i="17"/>
  <c r="D46" i="17"/>
  <c r="E46" i="17"/>
  <c r="F46" i="17"/>
  <c r="G46" i="17"/>
  <c r="D47" i="17"/>
  <c r="E47" i="17"/>
  <c r="F47" i="17"/>
  <c r="G47" i="17"/>
  <c r="D48" i="17"/>
  <c r="E48" i="17"/>
  <c r="F48" i="17"/>
  <c r="G48" i="17"/>
  <c r="D49" i="17"/>
  <c r="E49" i="17"/>
  <c r="F49" i="17"/>
  <c r="G49" i="17"/>
  <c r="D50" i="17"/>
  <c r="E50" i="17"/>
  <c r="F50" i="17"/>
  <c r="G50" i="17"/>
  <c r="D51" i="17"/>
  <c r="E51" i="17"/>
  <c r="F51" i="17"/>
  <c r="G51" i="17"/>
  <c r="D52" i="17"/>
  <c r="E52" i="17"/>
  <c r="F52" i="17"/>
  <c r="G52" i="17"/>
  <c r="D53" i="17"/>
  <c r="E53" i="17"/>
  <c r="F53" i="17"/>
  <c r="G53" i="17"/>
  <c r="D54" i="17"/>
  <c r="E54" i="17"/>
  <c r="F54" i="17"/>
  <c r="G54" i="17"/>
  <c r="D55" i="17"/>
  <c r="E55" i="17"/>
  <c r="F55" i="17"/>
  <c r="G55" i="17"/>
  <c r="D57" i="17"/>
  <c r="E57" i="17"/>
  <c r="D58" i="17"/>
  <c r="E58" i="17"/>
  <c r="F58" i="17"/>
  <c r="D59" i="17"/>
  <c r="E59" i="17"/>
  <c r="F59" i="17"/>
  <c r="D60" i="17"/>
  <c r="E60" i="17"/>
  <c r="F60" i="17"/>
  <c r="G60" i="17"/>
  <c r="D61" i="17"/>
  <c r="E61" i="17"/>
  <c r="F61" i="17"/>
  <c r="G61" i="17"/>
  <c r="D62" i="17"/>
  <c r="E62" i="17"/>
  <c r="F62" i="17"/>
  <c r="G62" i="17"/>
  <c r="D63" i="17"/>
  <c r="E63" i="17"/>
  <c r="F63" i="17"/>
  <c r="G63" i="17"/>
  <c r="D64" i="17"/>
  <c r="E64" i="17"/>
  <c r="F64" i="17"/>
  <c r="G64" i="17"/>
  <c r="D65" i="17"/>
  <c r="E65" i="17"/>
  <c r="F65" i="17"/>
  <c r="G65" i="17"/>
  <c r="D66" i="17"/>
  <c r="E66" i="17"/>
  <c r="F66" i="17"/>
  <c r="G66" i="17"/>
  <c r="D67" i="17"/>
  <c r="E67" i="17"/>
  <c r="F67" i="17"/>
  <c r="G67" i="17"/>
  <c r="D68" i="17"/>
  <c r="E68" i="17"/>
  <c r="F68" i="17"/>
  <c r="G68" i="17"/>
  <c r="D69" i="17"/>
  <c r="E69" i="17"/>
  <c r="F69" i="17"/>
  <c r="G69" i="17"/>
  <c r="D70" i="17"/>
  <c r="E70" i="17"/>
  <c r="F70" i="17"/>
  <c r="G70" i="17"/>
  <c r="D71" i="17"/>
  <c r="E71" i="17"/>
  <c r="F71" i="17"/>
  <c r="G71" i="17"/>
  <c r="D72" i="17"/>
  <c r="E72" i="17"/>
  <c r="F72" i="17"/>
  <c r="G72" i="17"/>
  <c r="D73" i="17"/>
  <c r="E73" i="17"/>
  <c r="F73" i="17"/>
  <c r="G73" i="17"/>
  <c r="D74" i="17"/>
  <c r="E74" i="17"/>
  <c r="F74" i="17"/>
  <c r="G74" i="17"/>
  <c r="D77" i="17"/>
  <c r="E77" i="17"/>
  <c r="F77" i="17"/>
  <c r="G77" i="17"/>
  <c r="H77" i="17"/>
  <c r="I77" i="17"/>
  <c r="J77" i="17"/>
  <c r="K77" i="17"/>
  <c r="D78" i="17"/>
  <c r="E78" i="17"/>
  <c r="F78" i="17"/>
  <c r="G78" i="17"/>
  <c r="H78" i="17"/>
  <c r="I78" i="17"/>
  <c r="J78" i="17"/>
  <c r="K78" i="17"/>
  <c r="D79" i="17"/>
  <c r="E79" i="17"/>
  <c r="F79" i="17"/>
  <c r="G79" i="17"/>
  <c r="H79" i="17"/>
  <c r="I79" i="17"/>
  <c r="J79" i="17"/>
  <c r="K79" i="17"/>
  <c r="D80" i="17"/>
  <c r="E80" i="17"/>
  <c r="F80" i="17"/>
  <c r="G80" i="17"/>
  <c r="H80" i="17"/>
  <c r="I80" i="17"/>
  <c r="J80" i="17"/>
  <c r="K80" i="17"/>
  <c r="D81" i="17"/>
  <c r="E81" i="17"/>
  <c r="F81" i="17"/>
  <c r="G81" i="17"/>
  <c r="H81" i="17"/>
  <c r="I81" i="17"/>
  <c r="J81" i="17"/>
  <c r="K81" i="17"/>
  <c r="D82" i="17"/>
  <c r="E82" i="17"/>
  <c r="F82" i="17"/>
  <c r="G82" i="17"/>
  <c r="H82" i="17"/>
  <c r="I82" i="17"/>
  <c r="J82" i="17"/>
  <c r="K82" i="17"/>
  <c r="D83" i="17"/>
  <c r="E83" i="17"/>
  <c r="F83" i="17"/>
  <c r="G83" i="17"/>
  <c r="H83" i="17"/>
  <c r="I83" i="17"/>
  <c r="J83" i="17"/>
  <c r="K83" i="17"/>
  <c r="D84" i="17"/>
  <c r="E84" i="17"/>
  <c r="F84" i="17"/>
  <c r="G84" i="17"/>
  <c r="H84" i="17"/>
  <c r="I84" i="17"/>
  <c r="J84" i="17"/>
  <c r="K84" i="17"/>
  <c r="D85" i="17"/>
  <c r="E85" i="17"/>
  <c r="F85" i="17"/>
  <c r="G85" i="17"/>
  <c r="H85" i="17"/>
  <c r="I85" i="17"/>
  <c r="J85" i="17"/>
  <c r="K85" i="17"/>
  <c r="D86" i="17"/>
  <c r="E86" i="17"/>
  <c r="F86" i="17"/>
  <c r="G86" i="17"/>
  <c r="H86" i="17"/>
  <c r="I86" i="17"/>
  <c r="J86" i="17"/>
  <c r="K86" i="17"/>
  <c r="D87" i="17"/>
  <c r="E87" i="17"/>
  <c r="F87" i="17"/>
  <c r="G87" i="17"/>
  <c r="H87" i="17"/>
  <c r="I87" i="17"/>
  <c r="J87" i="17"/>
  <c r="K87" i="17"/>
  <c r="D90" i="17"/>
  <c r="E90" i="17"/>
  <c r="F90" i="17"/>
  <c r="G90" i="17"/>
  <c r="H90" i="17"/>
  <c r="I90" i="17"/>
  <c r="J90" i="17"/>
  <c r="K90" i="17"/>
  <c r="D91" i="17"/>
  <c r="E91" i="17"/>
  <c r="F91" i="17"/>
  <c r="G91" i="17"/>
  <c r="H91" i="17"/>
  <c r="I91" i="17"/>
  <c r="J91" i="17"/>
  <c r="K91" i="17"/>
  <c r="D92" i="17"/>
  <c r="E92" i="17"/>
  <c r="F92" i="17"/>
  <c r="G92" i="17"/>
  <c r="H92" i="17"/>
  <c r="I92" i="17"/>
  <c r="J92" i="17"/>
  <c r="K92" i="17"/>
  <c r="D93" i="17"/>
  <c r="E93" i="17"/>
  <c r="F93" i="17"/>
  <c r="G93" i="17"/>
  <c r="H93" i="17"/>
  <c r="I93" i="17"/>
  <c r="J93" i="17"/>
  <c r="K93" i="17"/>
  <c r="D94" i="17"/>
  <c r="E94" i="17"/>
  <c r="F94" i="17"/>
  <c r="G94" i="17"/>
  <c r="H94" i="17"/>
  <c r="I94" i="17"/>
  <c r="J94" i="17"/>
  <c r="K94" i="17"/>
  <c r="D95" i="17"/>
  <c r="E95" i="17"/>
  <c r="F95" i="17"/>
  <c r="G95" i="17"/>
  <c r="H95" i="17"/>
  <c r="I95" i="17"/>
  <c r="J95" i="17"/>
  <c r="K95" i="17"/>
  <c r="D96" i="17"/>
  <c r="E96" i="17"/>
  <c r="F96" i="17"/>
  <c r="G96" i="17"/>
  <c r="H96" i="17"/>
  <c r="I96" i="17"/>
  <c r="J96" i="17"/>
  <c r="K96" i="17"/>
  <c r="D97" i="17"/>
  <c r="E97" i="17"/>
  <c r="F97" i="17"/>
  <c r="G97" i="17"/>
  <c r="H97" i="17"/>
  <c r="I97" i="17"/>
  <c r="J97" i="17"/>
  <c r="K97" i="17"/>
  <c r="D98" i="17"/>
  <c r="E98" i="17"/>
  <c r="F98" i="17"/>
  <c r="G98" i="17"/>
  <c r="H98" i="17"/>
  <c r="I98" i="17"/>
  <c r="J98" i="17"/>
  <c r="K98" i="17"/>
  <c r="D99" i="17"/>
  <c r="E99" i="17"/>
  <c r="F99" i="17"/>
  <c r="G99" i="17"/>
  <c r="H99" i="17"/>
  <c r="I99" i="17"/>
  <c r="J99" i="17"/>
  <c r="K99" i="17"/>
  <c r="D100" i="17"/>
  <c r="E100" i="17"/>
  <c r="F100" i="17"/>
  <c r="G100" i="17"/>
  <c r="H100" i="17"/>
  <c r="I100" i="17"/>
  <c r="J100" i="17"/>
  <c r="K100" i="17"/>
  <c r="D104" i="17"/>
  <c r="E104" i="17"/>
  <c r="F104" i="17"/>
  <c r="G104" i="17"/>
  <c r="H104" i="17"/>
  <c r="I104" i="17"/>
  <c r="J104" i="17"/>
  <c r="K104" i="17"/>
  <c r="L104" i="17"/>
  <c r="M104" i="17"/>
  <c r="N104" i="17"/>
  <c r="O104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D106" i="17"/>
  <c r="E106" i="17"/>
  <c r="F106" i="17"/>
  <c r="G106" i="17"/>
  <c r="H106" i="17"/>
  <c r="I106" i="17"/>
  <c r="J106" i="17"/>
  <c r="K106" i="17"/>
  <c r="L106" i="17"/>
  <c r="M106" i="17"/>
  <c r="N106" i="17"/>
  <c r="O106" i="17"/>
  <c r="D107" i="17"/>
  <c r="E107" i="17"/>
  <c r="F107" i="17"/>
  <c r="G107" i="17"/>
  <c r="H107" i="17"/>
  <c r="I107" i="17"/>
  <c r="J107" i="17"/>
  <c r="K107" i="17"/>
  <c r="L107" i="17"/>
  <c r="M107" i="17"/>
  <c r="N107" i="17"/>
  <c r="O107" i="17"/>
  <c r="D108" i="17"/>
  <c r="E108" i="17"/>
  <c r="F108" i="17"/>
  <c r="G108" i="17"/>
  <c r="H108" i="17"/>
  <c r="I108" i="17"/>
  <c r="J108" i="17"/>
  <c r="K108" i="17"/>
  <c r="L108" i="17"/>
  <c r="M108" i="17"/>
  <c r="N108" i="17"/>
  <c r="O108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D110" i="17"/>
  <c r="E110" i="17"/>
  <c r="F110" i="17"/>
  <c r="G110" i="17"/>
  <c r="H110" i="17"/>
  <c r="I110" i="17"/>
  <c r="J110" i="17"/>
  <c r="K110" i="17"/>
  <c r="L110" i="17"/>
  <c r="M110" i="17"/>
  <c r="N110" i="17"/>
  <c r="O110" i="17"/>
  <c r="D111" i="17"/>
  <c r="E111" i="17"/>
  <c r="F111" i="17"/>
  <c r="G111" i="17"/>
  <c r="H111" i="17"/>
  <c r="I111" i="17"/>
  <c r="J111" i="17"/>
  <c r="K111" i="17"/>
  <c r="L111" i="17"/>
  <c r="M111" i="17"/>
  <c r="N111" i="17"/>
  <c r="O111" i="17"/>
  <c r="D112" i="17"/>
  <c r="E112" i="17"/>
  <c r="F112" i="17"/>
  <c r="G112" i="17"/>
  <c r="H112" i="17"/>
  <c r="I112" i="17"/>
  <c r="J112" i="17"/>
  <c r="K112" i="17"/>
  <c r="L112" i="17"/>
  <c r="M112" i="17"/>
  <c r="N112" i="17"/>
  <c r="O112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D114" i="17"/>
  <c r="E114" i="17"/>
  <c r="F114" i="17"/>
  <c r="G114" i="17"/>
  <c r="H114" i="17"/>
  <c r="I114" i="17"/>
  <c r="J114" i="17"/>
  <c r="K114" i="17"/>
  <c r="L114" i="17"/>
  <c r="M114" i="17"/>
  <c r="N114" i="17"/>
  <c r="O114" i="17"/>
  <c r="D118" i="17"/>
  <c r="E118" i="17"/>
  <c r="F118" i="17"/>
  <c r="G118" i="17"/>
  <c r="H118" i="17"/>
  <c r="I118" i="17"/>
  <c r="J118" i="17"/>
  <c r="K118" i="17"/>
  <c r="L118" i="17"/>
  <c r="M118" i="17"/>
  <c r="N118" i="17"/>
  <c r="O118" i="17"/>
  <c r="D119" i="17"/>
  <c r="E119" i="17"/>
  <c r="F119" i="17"/>
  <c r="G119" i="17"/>
  <c r="H119" i="17"/>
  <c r="I119" i="17"/>
  <c r="J119" i="17"/>
  <c r="K119" i="17"/>
  <c r="L119" i="17"/>
  <c r="M119" i="17"/>
  <c r="N119" i="17"/>
  <c r="O119" i="17"/>
  <c r="D120" i="17"/>
  <c r="E120" i="17"/>
  <c r="F120" i="17"/>
  <c r="G120" i="17"/>
  <c r="H120" i="17"/>
  <c r="I120" i="17"/>
  <c r="J120" i="17"/>
  <c r="K120" i="17"/>
  <c r="L120" i="17"/>
  <c r="M120" i="17"/>
  <c r="N120" i="17"/>
  <c r="O120" i="17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D122" i="17"/>
  <c r="E122" i="17"/>
  <c r="F122" i="17"/>
  <c r="G122" i="17"/>
  <c r="H122" i="17"/>
  <c r="I122" i="17"/>
  <c r="J122" i="17"/>
  <c r="K122" i="17"/>
  <c r="L122" i="17"/>
  <c r="M122" i="17"/>
  <c r="N122" i="17"/>
  <c r="O122" i="17"/>
  <c r="D123" i="17"/>
  <c r="E123" i="17"/>
  <c r="F123" i="17"/>
  <c r="G123" i="17"/>
  <c r="H123" i="17"/>
  <c r="I123" i="17"/>
  <c r="J123" i="17"/>
  <c r="K123" i="17"/>
  <c r="L123" i="17"/>
  <c r="M123" i="17"/>
  <c r="N123" i="17"/>
  <c r="O123" i="17"/>
  <c r="D124" i="17"/>
  <c r="E124" i="17"/>
  <c r="F124" i="17"/>
  <c r="G124" i="17"/>
  <c r="H124" i="17"/>
  <c r="I124" i="17"/>
  <c r="J124" i="17"/>
  <c r="K124" i="17"/>
  <c r="L124" i="17"/>
  <c r="M124" i="17"/>
  <c r="N124" i="17"/>
  <c r="O124" i="17"/>
  <c r="D125" i="17"/>
  <c r="E125" i="17"/>
  <c r="F125" i="17"/>
  <c r="G125" i="17"/>
  <c r="H125" i="17"/>
  <c r="I125" i="17"/>
  <c r="J125" i="17"/>
  <c r="K125" i="17"/>
  <c r="L125" i="17"/>
  <c r="M125" i="17"/>
  <c r="N125" i="17"/>
  <c r="O125" i="17"/>
  <c r="D126" i="17"/>
  <c r="E126" i="17"/>
  <c r="F126" i="17"/>
  <c r="G126" i="17"/>
  <c r="H126" i="17"/>
  <c r="I126" i="17"/>
  <c r="J126" i="17"/>
  <c r="K126" i="17"/>
  <c r="L126" i="17"/>
  <c r="M126" i="17"/>
  <c r="N126" i="17"/>
  <c r="O126" i="17"/>
  <c r="D127" i="17"/>
  <c r="E127" i="17"/>
  <c r="F127" i="17"/>
  <c r="G127" i="17"/>
  <c r="H127" i="17"/>
  <c r="I127" i="17"/>
  <c r="J127" i="17"/>
  <c r="K127" i="17"/>
  <c r="L127" i="17"/>
  <c r="M127" i="17"/>
  <c r="N127" i="17"/>
  <c r="O127" i="17"/>
  <c r="D128" i="17"/>
  <c r="E128" i="17"/>
  <c r="F128" i="17"/>
  <c r="G128" i="17"/>
  <c r="H128" i="17"/>
  <c r="I128" i="17"/>
  <c r="J128" i="17"/>
  <c r="K128" i="17"/>
  <c r="L128" i="17"/>
  <c r="M128" i="17"/>
  <c r="N128" i="17"/>
  <c r="O128" i="17"/>
  <c r="D130" i="17"/>
  <c r="C132" i="17"/>
  <c r="D143" i="17" s="1"/>
  <c r="F132" i="17"/>
  <c r="G133" i="17"/>
  <c r="H133" i="17" s="1"/>
  <c r="D136" i="17"/>
  <c r="D139" i="17"/>
  <c r="G140" i="17"/>
  <c r="H140" i="17" s="1"/>
  <c r="G144" i="17"/>
  <c r="H144" i="17" s="1"/>
  <c r="D147" i="17"/>
  <c r="G148" i="17"/>
  <c r="H148" i="17" s="1"/>
  <c r="C11" i="16"/>
  <c r="C10" i="16"/>
  <c r="C10" i="18"/>
  <c r="C12" i="16" l="1"/>
  <c r="E143" i="17"/>
  <c r="B134" i="16" s="1"/>
  <c r="I143" i="17"/>
  <c r="E147" i="17"/>
  <c r="B138" i="16" s="1"/>
  <c r="I147" i="17"/>
  <c r="G132" i="17"/>
  <c r="H132" i="17" s="1"/>
  <c r="G134" i="17"/>
  <c r="H134" i="17" s="1"/>
  <c r="G136" i="17"/>
  <c r="H136" i="17" s="1"/>
  <c r="G137" i="17"/>
  <c r="H137" i="17" s="1"/>
  <c r="G139" i="17"/>
  <c r="H139" i="17" s="1"/>
  <c r="G141" i="17"/>
  <c r="H141" i="17" s="1"/>
  <c r="G143" i="17"/>
  <c r="H143" i="17" s="1"/>
  <c r="G145" i="17"/>
  <c r="H145" i="17" s="1"/>
  <c r="G147" i="17"/>
  <c r="H147" i="17" s="1"/>
  <c r="G149" i="17"/>
  <c r="H149" i="17" s="1"/>
  <c r="G135" i="17"/>
  <c r="H135" i="17" s="1"/>
  <c r="G138" i="17"/>
  <c r="H138" i="17" s="1"/>
  <c r="G142" i="17"/>
  <c r="H142" i="17" s="1"/>
  <c r="G146" i="17"/>
  <c r="H146" i="17" s="1"/>
  <c r="E139" i="17"/>
  <c r="B130" i="16" s="1"/>
  <c r="I139" i="17"/>
  <c r="E136" i="17"/>
  <c r="B127" i="16" s="1"/>
  <c r="C127" i="16" s="1"/>
  <c r="I136" i="17"/>
  <c r="I131" i="17"/>
  <c r="D133" i="17"/>
  <c r="D135" i="17"/>
  <c r="D138" i="17"/>
  <c r="D140" i="17"/>
  <c r="D142" i="17"/>
  <c r="D144" i="17"/>
  <c r="D146" i="17"/>
  <c r="D148" i="17"/>
  <c r="D132" i="17"/>
  <c r="D134" i="17"/>
  <c r="D137" i="17"/>
  <c r="D141" i="17"/>
  <c r="D145" i="17"/>
  <c r="D149" i="17"/>
  <c r="AB20" i="18"/>
  <c r="AB18" i="18"/>
  <c r="AB16" i="18"/>
  <c r="AB14" i="18"/>
  <c r="Z20" i="18"/>
  <c r="Z19" i="18"/>
  <c r="Z18" i="18"/>
  <c r="Z17" i="18"/>
  <c r="Z16" i="18"/>
  <c r="Z15" i="18"/>
  <c r="Z14" i="18"/>
  <c r="AA20" i="18"/>
  <c r="Y20" i="18"/>
  <c r="AA19" i="18"/>
  <c r="Y19" i="18"/>
  <c r="AA18" i="18"/>
  <c r="Y18" i="18"/>
  <c r="AA17" i="18"/>
  <c r="Y17" i="18"/>
  <c r="AA16" i="18"/>
  <c r="Y16" i="18"/>
  <c r="AA15" i="18"/>
  <c r="Y15" i="18"/>
  <c r="AA14" i="18"/>
  <c r="C8" i="16"/>
  <c r="F127" i="16"/>
  <c r="D127" i="16"/>
  <c r="E127" i="16"/>
  <c r="G127" i="16"/>
  <c r="E145" i="17" l="1"/>
  <c r="B136" i="16" s="1"/>
  <c r="I145" i="17"/>
  <c r="E137" i="17"/>
  <c r="B128" i="16" s="1"/>
  <c r="C128" i="16" s="1"/>
  <c r="I137" i="17"/>
  <c r="E132" i="17"/>
  <c r="B123" i="16" s="1"/>
  <c r="C123" i="16" s="1"/>
  <c r="I132" i="17"/>
  <c r="E146" i="17"/>
  <c r="B137" i="16" s="1"/>
  <c r="I146" i="17"/>
  <c r="E142" i="17"/>
  <c r="B133" i="16" s="1"/>
  <c r="I142" i="17"/>
  <c r="E138" i="17"/>
  <c r="B129" i="16" s="1"/>
  <c r="I138" i="17"/>
  <c r="E133" i="17"/>
  <c r="B124" i="16" s="1"/>
  <c r="C124" i="16" s="1"/>
  <c r="I133" i="17"/>
  <c r="E149" i="17"/>
  <c r="B140" i="16" s="1"/>
  <c r="I149" i="17"/>
  <c r="E141" i="17"/>
  <c r="B132" i="16" s="1"/>
  <c r="I141" i="17"/>
  <c r="E134" i="17"/>
  <c r="B125" i="16" s="1"/>
  <c r="C125" i="16" s="1"/>
  <c r="I134" i="17"/>
  <c r="E148" i="17"/>
  <c r="B139" i="16" s="1"/>
  <c r="I148" i="17"/>
  <c r="E144" i="17"/>
  <c r="B135" i="16" s="1"/>
  <c r="I144" i="17"/>
  <c r="E140" i="17"/>
  <c r="B131" i="16" s="1"/>
  <c r="I140" i="17"/>
  <c r="E135" i="17"/>
  <c r="B126" i="16" s="1"/>
  <c r="C126" i="16" s="1"/>
  <c r="I135" i="17"/>
  <c r="H92" i="16"/>
  <c r="H94" i="16"/>
  <c r="H96" i="16"/>
  <c r="H98" i="16"/>
  <c r="H100" i="16"/>
  <c r="H102" i="16"/>
  <c r="H104" i="16"/>
  <c r="H106" i="16"/>
  <c r="H108" i="16"/>
  <c r="H91" i="16"/>
  <c r="H95" i="16"/>
  <c r="H99" i="16"/>
  <c r="H103" i="16"/>
  <c r="H107" i="16"/>
  <c r="H93" i="16"/>
  <c r="H101" i="16"/>
  <c r="H97" i="16"/>
  <c r="H105" i="16"/>
  <c r="Y34" i="18"/>
  <c r="Y35" i="18"/>
  <c r="AA34" i="18"/>
  <c r="AA35" i="18"/>
  <c r="M14" i="16"/>
  <c r="C24" i="16"/>
  <c r="I42" i="16"/>
  <c r="C112" i="16"/>
  <c r="C101" i="16"/>
  <c r="C87" i="16"/>
  <c r="C84" i="16"/>
  <c r="C76" i="16"/>
  <c r="C68" i="16"/>
  <c r="C60" i="16"/>
  <c r="C52" i="16"/>
  <c r="I86" i="16"/>
  <c r="I78" i="16"/>
  <c r="I70" i="16"/>
  <c r="I62" i="16"/>
  <c r="I54" i="16"/>
  <c r="C42" i="16"/>
  <c r="C34" i="16"/>
  <c r="C21" i="16"/>
  <c r="C95" i="16"/>
  <c r="C65" i="16"/>
  <c r="I75" i="16"/>
  <c r="C39" i="16"/>
  <c r="C20" i="16"/>
  <c r="C116" i="16"/>
  <c r="C96" i="16"/>
  <c r="C75" i="16"/>
  <c r="C59" i="16"/>
  <c r="I85" i="16"/>
  <c r="I69" i="16"/>
  <c r="I53" i="16"/>
  <c r="C33" i="16"/>
  <c r="J42" i="16"/>
  <c r="C28" i="16"/>
  <c r="C98" i="16"/>
  <c r="C69" i="16"/>
  <c r="I79" i="16"/>
  <c r="C43" i="16"/>
  <c r="J62" i="16"/>
  <c r="C111" i="16"/>
  <c r="C107" i="16"/>
  <c r="C122" i="16"/>
  <c r="I45" i="16"/>
  <c r="I37" i="16"/>
  <c r="C30" i="16"/>
  <c r="I28" i="16"/>
  <c r="I20" i="16"/>
  <c r="C106" i="16"/>
  <c r="J28" i="16"/>
  <c r="J75" i="16"/>
  <c r="J85" i="16"/>
  <c r="J69" i="16"/>
  <c r="J45" i="16"/>
  <c r="J37" i="16"/>
  <c r="K28" i="16"/>
  <c r="K42" i="16"/>
  <c r="K62" i="16"/>
  <c r="M75" i="16"/>
  <c r="M85" i="16"/>
  <c r="M69" i="16"/>
  <c r="K45" i="16"/>
  <c r="M37" i="16"/>
  <c r="L45" i="16"/>
  <c r="K37" i="16"/>
  <c r="L62" i="16"/>
  <c r="C134" i="16"/>
  <c r="L42" i="16"/>
  <c r="L37" i="16"/>
  <c r="I18" i="16"/>
  <c r="I26" i="16"/>
  <c r="C26" i="16"/>
  <c r="I35" i="16"/>
  <c r="I43" i="16"/>
  <c r="I51" i="16"/>
  <c r="C110" i="16"/>
  <c r="C115" i="16"/>
  <c r="I55" i="16"/>
  <c r="I87" i="16"/>
  <c r="C77" i="16"/>
  <c r="C108" i="16"/>
  <c r="I19" i="16"/>
  <c r="C37" i="16"/>
  <c r="I57" i="16"/>
  <c r="I73" i="16"/>
  <c r="I89" i="16"/>
  <c r="C63" i="16"/>
  <c r="C79" i="16"/>
  <c r="C97" i="16"/>
  <c r="I48" i="16"/>
  <c r="I23" i="16"/>
  <c r="C49" i="16"/>
  <c r="I83" i="16"/>
  <c r="C73" i="16"/>
  <c r="C121" i="16"/>
  <c r="C25" i="16"/>
  <c r="I25" i="16"/>
  <c r="I34" i="16"/>
  <c r="I50" i="16"/>
  <c r="C117" i="16"/>
  <c r="C92" i="16"/>
  <c r="C90" i="16"/>
  <c r="C80" i="16"/>
  <c r="C72" i="16"/>
  <c r="C64" i="16"/>
  <c r="C56" i="16"/>
  <c r="I90" i="16"/>
  <c r="I82" i="16"/>
  <c r="I74" i="16"/>
  <c r="J74" i="16" s="1"/>
  <c r="I66" i="16"/>
  <c r="I58" i="16"/>
  <c r="C47" i="16"/>
  <c r="C38" i="16"/>
  <c r="C29" i="16"/>
  <c r="I44" i="16"/>
  <c r="C81" i="16"/>
  <c r="C46" i="16"/>
  <c r="I59" i="16"/>
  <c r="J58" i="16"/>
  <c r="I40" i="16"/>
  <c r="C103" i="16"/>
  <c r="C83" i="16"/>
  <c r="C67" i="16"/>
  <c r="C50" i="16"/>
  <c r="I77" i="16"/>
  <c r="I61" i="16"/>
  <c r="C41" i="16"/>
  <c r="C19" i="16"/>
  <c r="J34" i="16"/>
  <c r="L34" i="16" s="1"/>
  <c r="K74" i="16"/>
  <c r="I52" i="16"/>
  <c r="C85" i="16"/>
  <c r="C53" i="16"/>
  <c r="I63" i="16"/>
  <c r="C23" i="16"/>
  <c r="J70" i="16"/>
  <c r="J53" i="16"/>
  <c r="K53" i="16" s="1"/>
  <c r="C119" i="16"/>
  <c r="C114" i="16"/>
  <c r="I49" i="16"/>
  <c r="I41" i="16"/>
  <c r="I33" i="16"/>
  <c r="C22" i="16"/>
  <c r="I24" i="16"/>
  <c r="C100" i="16"/>
  <c r="J20" i="16"/>
  <c r="L20" i="16" s="1"/>
  <c r="J24" i="16"/>
  <c r="K24" i="16" s="1"/>
  <c r="J59" i="16"/>
  <c r="J77" i="16"/>
  <c r="J61" i="16"/>
  <c r="J49" i="16"/>
  <c r="J41" i="16"/>
  <c r="J33" i="16"/>
  <c r="L33" i="16" s="1"/>
  <c r="L24" i="16"/>
  <c r="M42" i="16"/>
  <c r="M62" i="16"/>
  <c r="K75" i="16"/>
  <c r="K85" i="16"/>
  <c r="J40" i="16"/>
  <c r="J79" i="16"/>
  <c r="L28" i="16"/>
  <c r="K20" i="16"/>
  <c r="K70" i="16"/>
  <c r="M53" i="16"/>
  <c r="M59" i="16"/>
  <c r="M77" i="16"/>
  <c r="M61" i="16"/>
  <c r="M45" i="16"/>
  <c r="M41" i="16"/>
  <c r="M33" i="16"/>
  <c r="K69" i="16"/>
  <c r="K79" i="16"/>
  <c r="M49" i="16"/>
  <c r="K41" i="16"/>
  <c r="K33" i="16"/>
  <c r="L40" i="16"/>
  <c r="L69" i="16"/>
  <c r="L85" i="16"/>
  <c r="C130" i="16"/>
  <c r="L75" i="16"/>
  <c r="L53" i="16"/>
  <c r="L74" i="16"/>
  <c r="C138" i="16"/>
  <c r="L41" i="16"/>
  <c r="C102" i="16"/>
  <c r="I22" i="16"/>
  <c r="C18" i="16"/>
  <c r="I31" i="16"/>
  <c r="I39" i="16"/>
  <c r="I47" i="16"/>
  <c r="C118" i="16"/>
  <c r="C104" i="16"/>
  <c r="C35" i="16"/>
  <c r="I71" i="16"/>
  <c r="C61" i="16"/>
  <c r="C89" i="16"/>
  <c r="I36" i="16"/>
  <c r="C27" i="16"/>
  <c r="C45" i="16"/>
  <c r="I65" i="16"/>
  <c r="I81" i="16"/>
  <c r="C55" i="16"/>
  <c r="C71" i="16"/>
  <c r="C88" i="16"/>
  <c r="C113" i="16"/>
  <c r="I32" i="16"/>
  <c r="C31" i="16"/>
  <c r="I67" i="16"/>
  <c r="C57" i="16"/>
  <c r="C93" i="16"/>
  <c r="I27" i="16"/>
  <c r="C36" i="16"/>
  <c r="C44" i="16"/>
  <c r="I56" i="16"/>
  <c r="I64" i="16"/>
  <c r="I72" i="16"/>
  <c r="I80" i="16"/>
  <c r="I88" i="16"/>
  <c r="C54" i="16"/>
  <c r="C62" i="16"/>
  <c r="C70" i="16"/>
  <c r="C78" i="16"/>
  <c r="C86" i="16"/>
  <c r="C91" i="16"/>
  <c r="C109" i="16"/>
  <c r="C120" i="16"/>
  <c r="I38" i="16"/>
  <c r="I29" i="16"/>
  <c r="J90" i="16"/>
  <c r="J66" i="16"/>
  <c r="J80" i="16"/>
  <c r="J22" i="16"/>
  <c r="J71" i="16"/>
  <c r="J19" i="16"/>
  <c r="J81" i="16"/>
  <c r="J48" i="16"/>
  <c r="J67" i="16"/>
  <c r="J83" i="16"/>
  <c r="J27" i="16"/>
  <c r="J72" i="16"/>
  <c r="J35" i="16"/>
  <c r="J39" i="16"/>
  <c r="J43" i="16"/>
  <c r="J47" i="16"/>
  <c r="J51" i="16"/>
  <c r="L71" i="16"/>
  <c r="J36" i="16"/>
  <c r="K19" i="16"/>
  <c r="J65" i="16"/>
  <c r="J73" i="16"/>
  <c r="L81" i="16"/>
  <c r="J89" i="16"/>
  <c r="M67" i="16"/>
  <c r="M83" i="16"/>
  <c r="K72" i="16"/>
  <c r="K90" i="16"/>
  <c r="K66" i="16"/>
  <c r="L80" i="16"/>
  <c r="L22" i="16"/>
  <c r="M48" i="16"/>
  <c r="L48" i="16"/>
  <c r="L27" i="16"/>
  <c r="M35" i="16"/>
  <c r="M39" i="16"/>
  <c r="M43" i="16"/>
  <c r="M65" i="16"/>
  <c r="M89" i="16"/>
  <c r="C32" i="16"/>
  <c r="C40" i="16"/>
  <c r="C51" i="16"/>
  <c r="I60" i="16"/>
  <c r="I68" i="16"/>
  <c r="I76" i="16"/>
  <c r="I84" i="16"/>
  <c r="C48" i="16"/>
  <c r="C58" i="16"/>
  <c r="C66" i="16"/>
  <c r="C74" i="16"/>
  <c r="C82" i="16"/>
  <c r="C94" i="16"/>
  <c r="C99" i="16"/>
  <c r="C105" i="16"/>
  <c r="I46" i="16"/>
  <c r="I30" i="16"/>
  <c r="I21" i="16"/>
  <c r="J86" i="16"/>
  <c r="M86" i="16" s="1"/>
  <c r="J56" i="16"/>
  <c r="J68" i="16"/>
  <c r="K68" i="16" s="1"/>
  <c r="J76" i="16"/>
  <c r="L76" i="16" s="1"/>
  <c r="J88" i="16"/>
  <c r="L88" i="16" s="1"/>
  <c r="J38" i="16"/>
  <c r="K38" i="16" s="1"/>
  <c r="J29" i="16"/>
  <c r="J18" i="16"/>
  <c r="L18" i="16" s="1"/>
  <c r="J26" i="16"/>
  <c r="K26" i="16" s="1"/>
  <c r="J31" i="16"/>
  <c r="J55" i="16"/>
  <c r="L55" i="16" s="1"/>
  <c r="J87" i="16"/>
  <c r="L87" i="16" s="1"/>
  <c r="J57" i="16"/>
  <c r="L57" i="16" s="1"/>
  <c r="K81" i="16"/>
  <c r="J32" i="16"/>
  <c r="M32" i="16" s="1"/>
  <c r="J23" i="16"/>
  <c r="M23" i="16" s="1"/>
  <c r="K67" i="16"/>
  <c r="K83" i="16"/>
  <c r="J64" i="16"/>
  <c r="K64" i="16" s="1"/>
  <c r="J84" i="16"/>
  <c r="K84" i="16" s="1"/>
  <c r="M31" i="16"/>
  <c r="K35" i="16"/>
  <c r="K39" i="16"/>
  <c r="K43" i="16"/>
  <c r="K47" i="16"/>
  <c r="K51" i="16"/>
  <c r="K55" i="16"/>
  <c r="M71" i="16"/>
  <c r="K87" i="16"/>
  <c r="M36" i="16"/>
  <c r="M19" i="16"/>
  <c r="M57" i="16"/>
  <c r="K65" i="16"/>
  <c r="K73" i="16"/>
  <c r="M81" i="16"/>
  <c r="K23" i="16"/>
  <c r="L67" i="16"/>
  <c r="L83" i="16"/>
  <c r="L64" i="16"/>
  <c r="L72" i="16"/>
  <c r="L84" i="16"/>
  <c r="K88" i="16"/>
  <c r="L86" i="16"/>
  <c r="L90" i="16"/>
  <c r="M90" i="16"/>
  <c r="L66" i="16"/>
  <c r="K56" i="16"/>
  <c r="K76" i="16"/>
  <c r="K80" i="16"/>
  <c r="L38" i="16"/>
  <c r="M29" i="16"/>
  <c r="K18" i="16"/>
  <c r="K22" i="16"/>
  <c r="K48" i="16"/>
  <c r="M27" i="16"/>
  <c r="K27" i="16"/>
  <c r="L35" i="16"/>
  <c r="L39" i="16"/>
  <c r="L43" i="16"/>
  <c r="L65" i="16"/>
  <c r="L73" i="16"/>
  <c r="K89" i="16"/>
  <c r="M73" i="16"/>
  <c r="L89" i="16"/>
  <c r="K36" i="16"/>
  <c r="M26" i="16"/>
  <c r="M20" i="16"/>
  <c r="M74" i="16"/>
  <c r="M80" i="16"/>
  <c r="C133" i="16"/>
  <c r="C139" i="16"/>
  <c r="K32" i="16"/>
  <c r="M18" i="16"/>
  <c r="M58" i="16"/>
  <c r="C137" i="16"/>
  <c r="C132" i="16"/>
  <c r="C131" i="16"/>
  <c r="M51" i="16"/>
  <c r="K40" i="16"/>
  <c r="M24" i="16"/>
  <c r="M68" i="16"/>
  <c r="M38" i="16"/>
  <c r="C136" i="16"/>
  <c r="C140" i="16"/>
  <c r="M47" i="16"/>
  <c r="M28" i="16"/>
  <c r="M34" i="16"/>
  <c r="M22" i="16"/>
  <c r="M76" i="16"/>
  <c r="M66" i="16"/>
  <c r="C129" i="16"/>
  <c r="C135" i="16"/>
  <c r="L58" i="16"/>
  <c r="K58" i="16"/>
  <c r="L59" i="16"/>
  <c r="K59" i="16"/>
  <c r="L77" i="16"/>
  <c r="K77" i="16"/>
  <c r="L61" i="16"/>
  <c r="K61" i="16"/>
  <c r="J52" i="16"/>
  <c r="J63" i="16"/>
  <c r="L49" i="16"/>
  <c r="K49" i="16"/>
  <c r="J60" i="16"/>
  <c r="J46" i="16"/>
  <c r="J30" i="16"/>
  <c r="J21" i="16"/>
  <c r="L70" i="16"/>
  <c r="M70" i="16"/>
  <c r="L79" i="16"/>
  <c r="M79" i="16"/>
  <c r="L56" i="16"/>
  <c r="M56" i="16"/>
  <c r="K29" i="16"/>
  <c r="L29" i="16"/>
  <c r="L31" i="16"/>
  <c r="K31" i="16"/>
  <c r="K52" i="16"/>
  <c r="M52" i="16"/>
  <c r="K63" i="16"/>
  <c r="L63" i="16"/>
  <c r="M63" i="16"/>
  <c r="L60" i="16"/>
  <c r="M60" i="16"/>
  <c r="K60" i="16"/>
  <c r="M46" i="16"/>
  <c r="L46" i="16"/>
  <c r="K46" i="16"/>
  <c r="K30" i="16"/>
  <c r="M30" i="16"/>
  <c r="L30" i="16"/>
  <c r="L21" i="16"/>
  <c r="M21" i="16"/>
  <c r="K21" i="16"/>
  <c r="J16" i="18" l="1"/>
  <c r="E29" i="18"/>
  <c r="O28" i="18"/>
  <c r="E21" i="18"/>
  <c r="E17" i="18"/>
  <c r="E20" i="18"/>
  <c r="O26" i="18"/>
  <c r="T24" i="18"/>
  <c r="T22" i="18"/>
  <c r="T29" i="18"/>
  <c r="T23" i="18"/>
  <c r="J15" i="18"/>
  <c r="E23" i="18"/>
  <c r="E22" i="18"/>
  <c r="O21" i="18"/>
  <c r="E16" i="18"/>
  <c r="T21" i="18"/>
  <c r="O27" i="18"/>
  <c r="J30" i="18"/>
  <c r="J26" i="18"/>
  <c r="O25" i="18"/>
  <c r="O20" i="18"/>
  <c r="E25" i="18"/>
  <c r="J17" i="18"/>
  <c r="J18" i="18"/>
  <c r="J29" i="18"/>
  <c r="O23" i="18"/>
  <c r="O40" i="18" s="1"/>
  <c r="O16" i="18"/>
  <c r="T25" i="18"/>
  <c r="T31" i="18"/>
  <c r="O19" i="18"/>
  <c r="E18" i="18"/>
  <c r="J19" i="18"/>
  <c r="E28" i="18"/>
  <c r="J21" i="18"/>
  <c r="J36" i="18" s="1"/>
  <c r="O24" i="18"/>
  <c r="E31" i="18"/>
  <c r="J31" i="18"/>
  <c r="E19" i="18"/>
  <c r="E39" i="18" s="1"/>
  <c r="E14" i="18"/>
  <c r="O22" i="18"/>
  <c r="J22" i="18"/>
  <c r="J28" i="18"/>
  <c r="J44" i="18" s="1"/>
  <c r="O18" i="18"/>
  <c r="T30" i="18"/>
  <c r="E24" i="18"/>
  <c r="O17" i="18"/>
  <c r="O34" i="18" s="1"/>
  <c r="E26" i="18"/>
  <c r="E41" i="18" s="1"/>
  <c r="O29" i="18"/>
  <c r="T28" i="18"/>
  <c r="T19" i="18"/>
  <c r="T38" i="18" s="1"/>
  <c r="E30" i="18"/>
  <c r="T18" i="18"/>
  <c r="T50" i="18" s="1"/>
  <c r="T27" i="18"/>
  <c r="T40" i="18"/>
  <c r="O43" i="18"/>
  <c r="E35" i="18"/>
  <c r="O36" i="18"/>
  <c r="O54" i="18"/>
  <c r="O51" i="18"/>
  <c r="O56" i="18"/>
  <c r="E42" i="18"/>
  <c r="J37" i="18"/>
  <c r="E34" i="18"/>
  <c r="J20" i="18"/>
  <c r="J27" i="18"/>
  <c r="D126" i="16"/>
  <c r="E128" i="16"/>
  <c r="E126" i="16"/>
  <c r="G128" i="16"/>
  <c r="F123" i="16"/>
  <c r="F125" i="16"/>
  <c r="G123" i="16"/>
  <c r="G126" i="16"/>
  <c r="D124" i="16"/>
  <c r="D128" i="16"/>
  <c r="G125" i="16"/>
  <c r="D123" i="16"/>
  <c r="F126" i="16"/>
  <c r="F124" i="16"/>
  <c r="F128" i="16"/>
  <c r="G124" i="16"/>
  <c r="D125" i="16"/>
  <c r="E123" i="16"/>
  <c r="E124" i="16"/>
  <c r="E125" i="16"/>
  <c r="F105" i="16"/>
  <c r="G105" i="16"/>
  <c r="E99" i="16"/>
  <c r="G99" i="16"/>
  <c r="E94" i="16"/>
  <c r="G94" i="16"/>
  <c r="D82" i="16"/>
  <c r="F82" i="16"/>
  <c r="D74" i="16"/>
  <c r="F74" i="16"/>
  <c r="F66" i="16"/>
  <c r="D66" i="16"/>
  <c r="F58" i="16"/>
  <c r="D58" i="16"/>
  <c r="E48" i="16"/>
  <c r="G48" i="16"/>
  <c r="E51" i="16"/>
  <c r="G51" i="16"/>
  <c r="G40" i="16"/>
  <c r="E40" i="16"/>
  <c r="G32" i="16"/>
  <c r="E32" i="16"/>
  <c r="E120" i="16"/>
  <c r="D120" i="16"/>
  <c r="F109" i="16"/>
  <c r="G109" i="16"/>
  <c r="F91" i="16"/>
  <c r="G91" i="16"/>
  <c r="F86" i="16"/>
  <c r="E86" i="16"/>
  <c r="F78" i="16"/>
  <c r="G78" i="16"/>
  <c r="E70" i="16"/>
  <c r="G70" i="16"/>
  <c r="E62" i="16"/>
  <c r="G62" i="16"/>
  <c r="D54" i="16"/>
  <c r="F54" i="16"/>
  <c r="F44" i="16"/>
  <c r="D44" i="16"/>
  <c r="F36" i="16"/>
  <c r="D36" i="16"/>
  <c r="F93" i="16"/>
  <c r="G93" i="16"/>
  <c r="F57" i="16"/>
  <c r="E57" i="16"/>
  <c r="E31" i="16"/>
  <c r="G31" i="16"/>
  <c r="F113" i="16"/>
  <c r="G113" i="16"/>
  <c r="E88" i="16"/>
  <c r="F88" i="16"/>
  <c r="D71" i="16"/>
  <c r="E71" i="16"/>
  <c r="G55" i="16"/>
  <c r="E55" i="16"/>
  <c r="G45" i="16"/>
  <c r="E45" i="16"/>
  <c r="E27" i="16"/>
  <c r="G27" i="16"/>
  <c r="G89" i="16"/>
  <c r="D89" i="16"/>
  <c r="G61" i="16"/>
  <c r="E61" i="16"/>
  <c r="D35" i="16"/>
  <c r="F35" i="16"/>
  <c r="D104" i="16"/>
  <c r="F104" i="16"/>
  <c r="D118" i="16"/>
  <c r="F118" i="16"/>
  <c r="E18" i="16"/>
  <c r="G18" i="16"/>
  <c r="E102" i="16"/>
  <c r="D102" i="16"/>
  <c r="D138" i="16"/>
  <c r="F138" i="16"/>
  <c r="G130" i="16"/>
  <c r="E130" i="16"/>
  <c r="D100" i="16"/>
  <c r="F100" i="16"/>
  <c r="F22" i="16"/>
  <c r="E22" i="16"/>
  <c r="D114" i="16"/>
  <c r="F114" i="16"/>
  <c r="G119" i="16"/>
  <c r="E119" i="16"/>
  <c r="F23" i="16"/>
  <c r="G23" i="16"/>
  <c r="D53" i="16"/>
  <c r="E53" i="16"/>
  <c r="G85" i="16"/>
  <c r="F85" i="16"/>
  <c r="F19" i="16"/>
  <c r="G19" i="16"/>
  <c r="F41" i="16"/>
  <c r="G41" i="16"/>
  <c r="G50" i="16"/>
  <c r="E50" i="16"/>
  <c r="D67" i="16"/>
  <c r="E67" i="16"/>
  <c r="E83" i="16"/>
  <c r="F83" i="16"/>
  <c r="D103" i="16"/>
  <c r="G103" i="16"/>
  <c r="D46" i="16"/>
  <c r="E46" i="16"/>
  <c r="E81" i="16"/>
  <c r="F81" i="16"/>
  <c r="E29" i="16"/>
  <c r="D29" i="16"/>
  <c r="E38" i="16"/>
  <c r="D38" i="16"/>
  <c r="G47" i="16"/>
  <c r="D47" i="16"/>
  <c r="E56" i="16"/>
  <c r="F56" i="16"/>
  <c r="F64" i="16"/>
  <c r="G64" i="16"/>
  <c r="F72" i="16"/>
  <c r="G72" i="16"/>
  <c r="F80" i="16"/>
  <c r="E80" i="16"/>
  <c r="F90" i="16"/>
  <c r="G90" i="16"/>
  <c r="D92" i="16"/>
  <c r="F92" i="16"/>
  <c r="D117" i="16"/>
  <c r="E105" i="16"/>
  <c r="D105" i="16"/>
  <c r="D99" i="16"/>
  <c r="F99" i="16"/>
  <c r="D94" i="16"/>
  <c r="F94" i="16"/>
  <c r="E82" i="16"/>
  <c r="G82" i="16"/>
  <c r="E74" i="16"/>
  <c r="G74" i="16"/>
  <c r="E66" i="16"/>
  <c r="G66" i="16"/>
  <c r="E58" i="16"/>
  <c r="G58" i="16"/>
  <c r="D48" i="16"/>
  <c r="F48" i="16"/>
  <c r="F51" i="16"/>
  <c r="D51" i="16"/>
  <c r="F40" i="16"/>
  <c r="D40" i="16"/>
  <c r="F32" i="16"/>
  <c r="D32" i="16"/>
  <c r="F120" i="16"/>
  <c r="G120" i="16"/>
  <c r="E109" i="16"/>
  <c r="D109" i="16"/>
  <c r="D91" i="16"/>
  <c r="E91" i="16"/>
  <c r="D86" i="16"/>
  <c r="G86" i="16"/>
  <c r="D78" i="16"/>
  <c r="E78" i="16"/>
  <c r="F70" i="16"/>
  <c r="D70" i="16"/>
  <c r="F62" i="16"/>
  <c r="D62" i="16"/>
  <c r="E54" i="16"/>
  <c r="G54" i="16"/>
  <c r="G44" i="16"/>
  <c r="E44" i="16"/>
  <c r="G36" i="16"/>
  <c r="E36" i="16"/>
  <c r="E93" i="16"/>
  <c r="D93" i="16"/>
  <c r="G57" i="16"/>
  <c r="D57" i="16"/>
  <c r="D31" i="16"/>
  <c r="F31" i="16"/>
  <c r="E113" i="16"/>
  <c r="D113" i="16"/>
  <c r="D88" i="16"/>
  <c r="G88" i="16"/>
  <c r="G71" i="16"/>
  <c r="F71" i="16"/>
  <c r="F55" i="16"/>
  <c r="D55" i="16"/>
  <c r="D45" i="16"/>
  <c r="F45" i="16"/>
  <c r="D27" i="16"/>
  <c r="F27" i="16"/>
  <c r="F89" i="16"/>
  <c r="E89" i="16"/>
  <c r="D61" i="16"/>
  <c r="F61" i="16"/>
  <c r="E35" i="16"/>
  <c r="G35" i="16"/>
  <c r="E104" i="16"/>
  <c r="G104" i="16"/>
  <c r="E118" i="16"/>
  <c r="G118" i="16"/>
  <c r="F18" i="16"/>
  <c r="D18" i="16"/>
  <c r="G102" i="16"/>
  <c r="F102" i="16"/>
  <c r="G138" i="16"/>
  <c r="E138" i="16"/>
  <c r="D130" i="16"/>
  <c r="F130" i="16"/>
  <c r="G100" i="16"/>
  <c r="E100" i="16"/>
  <c r="D22" i="16"/>
  <c r="G22" i="16"/>
  <c r="E114" i="16"/>
  <c r="G114" i="16"/>
  <c r="F119" i="16"/>
  <c r="D119" i="16"/>
  <c r="D23" i="16"/>
  <c r="E23" i="16"/>
  <c r="F53" i="16"/>
  <c r="G53" i="16"/>
  <c r="D85" i="16"/>
  <c r="E85" i="16"/>
  <c r="D19" i="16"/>
  <c r="E19" i="16"/>
  <c r="D41" i="16"/>
  <c r="E41" i="16"/>
  <c r="F50" i="16"/>
  <c r="D50" i="16"/>
  <c r="G67" i="16"/>
  <c r="F67" i="16"/>
  <c r="D83" i="16"/>
  <c r="G83" i="16"/>
  <c r="E103" i="16"/>
  <c r="F103" i="16"/>
  <c r="F46" i="16"/>
  <c r="G46" i="16"/>
  <c r="D81" i="16"/>
  <c r="G81" i="16"/>
  <c r="G29" i="16"/>
  <c r="F29" i="16"/>
  <c r="G38" i="16"/>
  <c r="F38" i="16"/>
  <c r="E47" i="16"/>
  <c r="F47" i="16"/>
  <c r="G56" i="16"/>
  <c r="D56" i="16"/>
  <c r="D64" i="16"/>
  <c r="E64" i="16"/>
  <c r="D72" i="16"/>
  <c r="E72" i="16"/>
  <c r="D80" i="16"/>
  <c r="G80" i="16"/>
  <c r="D90" i="16"/>
  <c r="E90" i="16"/>
  <c r="E92" i="16"/>
  <c r="G92" i="16"/>
  <c r="E117" i="16"/>
  <c r="F117" i="16"/>
  <c r="F25" i="16"/>
  <c r="D25" i="16"/>
  <c r="F121" i="16"/>
  <c r="G121" i="16"/>
  <c r="E73" i="16"/>
  <c r="F73" i="16"/>
  <c r="G49" i="16"/>
  <c r="E49" i="16"/>
  <c r="F97" i="16"/>
  <c r="G97" i="16"/>
  <c r="G79" i="16"/>
  <c r="F79" i="16"/>
  <c r="D63" i="16"/>
  <c r="E63" i="16"/>
  <c r="E37" i="16"/>
  <c r="G37" i="16"/>
  <c r="E108" i="16"/>
  <c r="D108" i="16"/>
  <c r="E77" i="16"/>
  <c r="D77" i="16"/>
  <c r="G115" i="16"/>
  <c r="F115" i="16"/>
  <c r="D110" i="16"/>
  <c r="E110" i="16"/>
  <c r="E26" i="16"/>
  <c r="G26" i="16"/>
  <c r="G134" i="16"/>
  <c r="E134" i="16"/>
  <c r="D106" i="16"/>
  <c r="E106" i="16"/>
  <c r="D30" i="16"/>
  <c r="E30" i="16"/>
  <c r="E122" i="16"/>
  <c r="D122" i="16"/>
  <c r="G107" i="16"/>
  <c r="F107" i="16"/>
  <c r="F111" i="16"/>
  <c r="G111" i="16"/>
  <c r="D43" i="16"/>
  <c r="E43" i="16"/>
  <c r="G69" i="16"/>
  <c r="F69" i="16"/>
  <c r="F98" i="16"/>
  <c r="G98" i="16"/>
  <c r="D28" i="16"/>
  <c r="G28" i="16"/>
  <c r="F33" i="16"/>
  <c r="G33" i="16"/>
  <c r="D59" i="16"/>
  <c r="E59" i="16"/>
  <c r="E75" i="16"/>
  <c r="F75" i="16"/>
  <c r="D96" i="16"/>
  <c r="G96" i="16"/>
  <c r="G116" i="16"/>
  <c r="D116" i="16"/>
  <c r="F20" i="16"/>
  <c r="E20" i="16"/>
  <c r="F39" i="16"/>
  <c r="G39" i="16"/>
  <c r="D65" i="16"/>
  <c r="E65" i="16"/>
  <c r="D95" i="16"/>
  <c r="E95" i="16"/>
  <c r="G21" i="16"/>
  <c r="F21" i="16"/>
  <c r="G34" i="16"/>
  <c r="F34" i="16"/>
  <c r="G42" i="16"/>
  <c r="F42" i="16"/>
  <c r="E52" i="16"/>
  <c r="D52" i="16"/>
  <c r="D60" i="16"/>
  <c r="F60" i="16"/>
  <c r="D68" i="16"/>
  <c r="F68" i="16"/>
  <c r="G76" i="16"/>
  <c r="F76" i="16"/>
  <c r="G84" i="16"/>
  <c r="F84" i="16"/>
  <c r="G87" i="16"/>
  <c r="F87" i="16"/>
  <c r="F101" i="16"/>
  <c r="E101" i="16"/>
  <c r="F112" i="16"/>
  <c r="G112" i="16"/>
  <c r="D24" i="16"/>
  <c r="F24" i="16"/>
  <c r="G131" i="16"/>
  <c r="G139" i="16"/>
  <c r="G140" i="16"/>
  <c r="G133" i="16"/>
  <c r="D136" i="16"/>
  <c r="E135" i="16"/>
  <c r="E132" i="16"/>
  <c r="D129" i="16"/>
  <c r="E137" i="16"/>
  <c r="F131" i="16"/>
  <c r="F139" i="16"/>
  <c r="F140" i="16"/>
  <c r="F133" i="16"/>
  <c r="E136" i="16"/>
  <c r="D135" i="16"/>
  <c r="D132" i="16"/>
  <c r="E129" i="16"/>
  <c r="D137" i="16"/>
  <c r="G136" i="16"/>
  <c r="G117" i="16"/>
  <c r="G25" i="16"/>
  <c r="E25" i="16"/>
  <c r="E121" i="16"/>
  <c r="D121" i="16"/>
  <c r="D73" i="16"/>
  <c r="G73" i="16"/>
  <c r="D49" i="16"/>
  <c r="F49" i="16"/>
  <c r="E97" i="16"/>
  <c r="D97" i="16"/>
  <c r="D79" i="16"/>
  <c r="E79" i="16"/>
  <c r="G63" i="16"/>
  <c r="F63" i="16"/>
  <c r="D37" i="16"/>
  <c r="F37" i="16"/>
  <c r="F108" i="16"/>
  <c r="G108" i="16"/>
  <c r="F77" i="16"/>
  <c r="G77" i="16"/>
  <c r="E115" i="16"/>
  <c r="D115" i="16"/>
  <c r="F110" i="16"/>
  <c r="G110" i="16"/>
  <c r="F26" i="16"/>
  <c r="D26" i="16"/>
  <c r="D134" i="16"/>
  <c r="F134" i="16"/>
  <c r="F106" i="16"/>
  <c r="G106" i="16"/>
  <c r="F30" i="16"/>
  <c r="G30" i="16"/>
  <c r="G122" i="16"/>
  <c r="F122" i="16"/>
  <c r="E107" i="16"/>
  <c r="D107" i="16"/>
  <c r="D111" i="16"/>
  <c r="E111" i="16"/>
  <c r="F43" i="16"/>
  <c r="G43" i="16"/>
  <c r="D69" i="16"/>
  <c r="E69" i="16"/>
  <c r="E98" i="16"/>
  <c r="D98" i="16"/>
  <c r="F28" i="16"/>
  <c r="E28" i="16"/>
  <c r="D33" i="16"/>
  <c r="E33" i="16"/>
  <c r="G59" i="16"/>
  <c r="F59" i="16"/>
  <c r="D75" i="16"/>
  <c r="G75" i="16"/>
  <c r="E96" i="16"/>
  <c r="F96" i="16"/>
  <c r="F116" i="16"/>
  <c r="E116" i="16"/>
  <c r="D20" i="16"/>
  <c r="G20" i="16"/>
  <c r="D39" i="16"/>
  <c r="E39" i="16"/>
  <c r="G65" i="16"/>
  <c r="F65" i="16"/>
  <c r="F95" i="16"/>
  <c r="G95" i="16"/>
  <c r="E21" i="16"/>
  <c r="D21" i="16"/>
  <c r="E34" i="16"/>
  <c r="D34" i="16"/>
  <c r="E42" i="16"/>
  <c r="D42" i="16"/>
  <c r="G52" i="16"/>
  <c r="F52" i="16"/>
  <c r="E60" i="16"/>
  <c r="G60" i="16"/>
  <c r="E68" i="16"/>
  <c r="G68" i="16"/>
  <c r="D76" i="16"/>
  <c r="E76" i="16"/>
  <c r="D84" i="16"/>
  <c r="E84" i="16"/>
  <c r="D87" i="16"/>
  <c r="E87" i="16"/>
  <c r="D101" i="16"/>
  <c r="G101" i="16"/>
  <c r="E112" i="16"/>
  <c r="D112" i="16"/>
  <c r="G24" i="16"/>
  <c r="E24" i="16"/>
  <c r="G135" i="16"/>
  <c r="G132" i="16"/>
  <c r="F129" i="16"/>
  <c r="G137" i="16"/>
  <c r="E131" i="16"/>
  <c r="E139" i="16"/>
  <c r="E140" i="16"/>
  <c r="E133" i="16"/>
  <c r="F136" i="16"/>
  <c r="F135" i="16"/>
  <c r="F132" i="16"/>
  <c r="G129" i="16"/>
  <c r="F137" i="16"/>
  <c r="D131" i="16"/>
  <c r="D139" i="16"/>
  <c r="D140" i="16"/>
  <c r="D133" i="16"/>
  <c r="M84" i="16"/>
  <c r="L23" i="16"/>
  <c r="M87" i="16"/>
  <c r="L26" i="16"/>
  <c r="L68" i="16"/>
  <c r="L51" i="16"/>
  <c r="M72" i="16"/>
  <c r="K71" i="16"/>
  <c r="M40" i="16"/>
  <c r="J44" i="16"/>
  <c r="J50" i="16"/>
  <c r="L52" i="16"/>
  <c r="J78" i="16"/>
  <c r="I93" i="16"/>
  <c r="I104" i="16"/>
  <c r="I107" i="16"/>
  <c r="I92" i="16"/>
  <c r="I106" i="16"/>
  <c r="I97" i="16"/>
  <c r="I108" i="16"/>
  <c r="I101" i="16"/>
  <c r="I94" i="16"/>
  <c r="I96" i="16"/>
  <c r="J107" i="16"/>
  <c r="J96" i="16"/>
  <c r="J92" i="16"/>
  <c r="M96" i="16"/>
  <c r="K92" i="16"/>
  <c r="J106" i="16"/>
  <c r="J97" i="16"/>
  <c r="J108" i="16"/>
  <c r="J101" i="16"/>
  <c r="K97" i="16"/>
  <c r="K108" i="16"/>
  <c r="M64" i="16"/>
  <c r="L32" i="16"/>
  <c r="K57" i="16"/>
  <c r="M55" i="16"/>
  <c r="M88" i="16"/>
  <c r="K86" i="16"/>
  <c r="L36" i="16"/>
  <c r="L47" i="16"/>
  <c r="L19" i="16"/>
  <c r="K34" i="16"/>
  <c r="J82" i="16"/>
  <c r="J25" i="16"/>
  <c r="J54" i="16"/>
  <c r="I95" i="16"/>
  <c r="I105" i="16"/>
  <c r="I98" i="16"/>
  <c r="I99" i="16"/>
  <c r="J99" i="16" s="1"/>
  <c r="J98" i="16"/>
  <c r="I103" i="16"/>
  <c r="I100" i="16"/>
  <c r="I102" i="16"/>
  <c r="J93" i="16"/>
  <c r="K93" i="16" s="1"/>
  <c r="J104" i="16"/>
  <c r="J105" i="16"/>
  <c r="I91" i="16"/>
  <c r="J91" i="16" s="1"/>
  <c r="J94" i="16"/>
  <c r="M94" i="16" s="1"/>
  <c r="K104" i="16"/>
  <c r="M107" i="16"/>
  <c r="L98" i="16"/>
  <c r="L94" i="16"/>
  <c r="K96" i="16"/>
  <c r="L92" i="16"/>
  <c r="K99" i="16"/>
  <c r="K94" i="16"/>
  <c r="L96" i="16"/>
  <c r="M92" i="16"/>
  <c r="M99" i="16"/>
  <c r="K91" i="16"/>
  <c r="K106" i="16"/>
  <c r="J103" i="16"/>
  <c r="J100" i="16"/>
  <c r="K100" i="16" s="1"/>
  <c r="L93" i="16"/>
  <c r="L105" i="16"/>
  <c r="M91" i="16"/>
  <c r="M97" i="16"/>
  <c r="K103" i="16"/>
  <c r="M108" i="16"/>
  <c r="L108" i="16"/>
  <c r="L100" i="16"/>
  <c r="L101" i="16"/>
  <c r="M101" i="16"/>
  <c r="M93" i="16"/>
  <c r="L91" i="16"/>
  <c r="M103" i="16"/>
  <c r="M100" i="16"/>
  <c r="K101" i="16"/>
  <c r="J95" i="16"/>
  <c r="M105" i="16"/>
  <c r="K105" i="16"/>
  <c r="K98" i="16"/>
  <c r="M98" i="16"/>
  <c r="J102" i="16"/>
  <c r="L44" i="16"/>
  <c r="K44" i="16"/>
  <c r="M44" i="16"/>
  <c r="K50" i="16"/>
  <c r="L50" i="16"/>
  <c r="M50" i="16"/>
  <c r="M78" i="16"/>
  <c r="L78" i="16"/>
  <c r="K78" i="16"/>
  <c r="K82" i="16"/>
  <c r="L82" i="16"/>
  <c r="M82" i="16"/>
  <c r="L25" i="16"/>
  <c r="M25" i="16"/>
  <c r="K25" i="16"/>
  <c r="M54" i="16"/>
  <c r="L54" i="16"/>
  <c r="K54" i="16"/>
  <c r="L95" i="16"/>
  <c r="K95" i="16"/>
  <c r="K102" i="16"/>
  <c r="L102" i="16"/>
  <c r="M102" i="16"/>
  <c r="E37" i="18" l="1"/>
  <c r="T36" i="18"/>
  <c r="O48" i="18"/>
  <c r="E48" i="18"/>
  <c r="E55" i="18"/>
  <c r="T20" i="18"/>
  <c r="E27" i="18"/>
  <c r="E43" i="18" s="1"/>
  <c r="J25" i="18"/>
  <c r="J24" i="18"/>
  <c r="O30" i="18"/>
  <c r="J47" i="18"/>
  <c r="E53" i="18"/>
  <c r="O52" i="18"/>
  <c r="J35" i="18"/>
  <c r="O55" i="18"/>
  <c r="T47" i="18"/>
  <c r="O49" i="18"/>
  <c r="O35" i="18"/>
  <c r="T52" i="18"/>
  <c r="O53" i="18"/>
  <c r="O57" i="18"/>
  <c r="T48" i="18"/>
  <c r="O38" i="18"/>
  <c r="O50" i="18"/>
  <c r="J38" i="18"/>
  <c r="O47" i="18"/>
  <c r="O39" i="18"/>
  <c r="O41" i="18"/>
  <c r="O42" i="18"/>
  <c r="E57" i="18"/>
  <c r="T35" i="18"/>
  <c r="E47" i="18"/>
  <c r="J34" i="18"/>
  <c r="J53" i="18"/>
  <c r="E38" i="18"/>
  <c r="E49" i="18"/>
  <c r="E52" i="18"/>
  <c r="E40" i="18"/>
  <c r="J49" i="18"/>
  <c r="E51" i="18"/>
  <c r="E54" i="18"/>
  <c r="J51" i="18"/>
  <c r="J41" i="18"/>
  <c r="B17" i="18"/>
  <c r="K17" i="18" s="1"/>
  <c r="B29" i="18"/>
  <c r="P29" i="18" s="1"/>
  <c r="B20" i="18"/>
  <c r="F20" i="18" s="1"/>
  <c r="B21" i="18"/>
  <c r="F21" i="18" s="1"/>
  <c r="B24" i="18"/>
  <c r="B27" i="18"/>
  <c r="Q27" i="18" s="1"/>
  <c r="B14" i="18"/>
  <c r="G14" i="18" s="1"/>
  <c r="B18" i="18"/>
  <c r="P18" i="18" s="1"/>
  <c r="B30" i="18"/>
  <c r="F30" i="18" s="1"/>
  <c r="B22" i="18"/>
  <c r="K22" i="18" s="1"/>
  <c r="B16" i="18"/>
  <c r="P16" i="18" s="1"/>
  <c r="B15" i="18"/>
  <c r="K15" i="18" s="1"/>
  <c r="B23" i="18"/>
  <c r="U23" i="18" s="1"/>
  <c r="B26" i="18"/>
  <c r="P26" i="18" s="1"/>
  <c r="R26" i="18" s="1"/>
  <c r="B28" i="18"/>
  <c r="P28" i="18" s="1"/>
  <c r="B31" i="18"/>
  <c r="U31" i="18" s="1"/>
  <c r="B19" i="18"/>
  <c r="K19" i="18" s="1"/>
  <c r="B25" i="18"/>
  <c r="U25" i="18" s="1"/>
  <c r="J23" i="18"/>
  <c r="J50" i="18" s="1"/>
  <c r="E15" i="18"/>
  <c r="T26" i="18"/>
  <c r="T43" i="18" s="1"/>
  <c r="O31" i="18"/>
  <c r="K23" i="18"/>
  <c r="E50" i="18"/>
  <c r="E36" i="18"/>
  <c r="E44" i="18"/>
  <c r="T39" i="18"/>
  <c r="O37" i="18"/>
  <c r="O44" i="18"/>
  <c r="Q31" i="18"/>
  <c r="G23" i="18"/>
  <c r="K26" i="18"/>
  <c r="V31" i="18"/>
  <c r="W31" i="18" s="1"/>
  <c r="P17" i="18"/>
  <c r="K30" i="18"/>
  <c r="G26" i="18"/>
  <c r="G42" i="18" s="1"/>
  <c r="Q20" i="18"/>
  <c r="P25" i="18"/>
  <c r="G15" i="18"/>
  <c r="V23" i="18"/>
  <c r="Q25" i="18"/>
  <c r="G17" i="18"/>
  <c r="V25" i="18"/>
  <c r="W25" i="18" s="1"/>
  <c r="Q26" i="18"/>
  <c r="Q43" i="18" s="1"/>
  <c r="Q17" i="18"/>
  <c r="L26" i="18"/>
  <c r="M26" i="18" s="1"/>
  <c r="L20" i="18"/>
  <c r="P31" i="18"/>
  <c r="R31" i="18" s="1"/>
  <c r="L29" i="18"/>
  <c r="F23" i="18"/>
  <c r="H23" i="18" s="1"/>
  <c r="L23" i="18"/>
  <c r="M23" i="18" s="1"/>
  <c r="F15" i="18"/>
  <c r="H15" i="18" s="1"/>
  <c r="L15" i="18"/>
  <c r="M15" i="18" s="1"/>
  <c r="G31" i="18"/>
  <c r="P23" i="18"/>
  <c r="V26" i="18"/>
  <c r="V20" i="18"/>
  <c r="K29" i="18"/>
  <c r="M29" i="18" s="1"/>
  <c r="K20" i="18"/>
  <c r="G28" i="18"/>
  <c r="G44" i="18" s="1"/>
  <c r="L18" i="18"/>
  <c r="L37" i="18" s="1"/>
  <c r="V24" i="18"/>
  <c r="F16" i="18"/>
  <c r="L19" i="18"/>
  <c r="L49" i="18" s="1"/>
  <c r="G27" i="18"/>
  <c r="G43" i="18" s="1"/>
  <c r="B56" i="18"/>
  <c r="P56" i="18" s="1"/>
  <c r="V22" i="18"/>
  <c r="P21" i="18"/>
  <c r="V18" i="18"/>
  <c r="V37" i="18" s="1"/>
  <c r="P27" i="18"/>
  <c r="R27" i="18" s="1"/>
  <c r="G21" i="18"/>
  <c r="B40" i="18"/>
  <c r="P40" i="18" s="1"/>
  <c r="G19" i="18"/>
  <c r="G54" i="18" s="1"/>
  <c r="U19" i="18"/>
  <c r="B54" i="18"/>
  <c r="L28" i="18"/>
  <c r="L16" i="18"/>
  <c r="G24" i="18"/>
  <c r="B37" i="18"/>
  <c r="F37" i="18" s="1"/>
  <c r="P24" i="18"/>
  <c r="K16" i="18"/>
  <c r="M16" i="18" s="1"/>
  <c r="U28" i="18"/>
  <c r="B57" i="18"/>
  <c r="P57" i="18" s="1"/>
  <c r="Q28" i="18"/>
  <c r="R28" i="18" s="1"/>
  <c r="G16" i="18"/>
  <c r="Q18" i="18"/>
  <c r="R18" i="18" s="1"/>
  <c r="Q22" i="18"/>
  <c r="Q24" i="18"/>
  <c r="R24" i="18" s="1"/>
  <c r="F24" i="18"/>
  <c r="Q19" i="18"/>
  <c r="V19" i="18"/>
  <c r="B50" i="18"/>
  <c r="U27" i="18"/>
  <c r="B48" i="18"/>
  <c r="B39" i="18"/>
  <c r="Q21" i="18"/>
  <c r="Q41" i="18" s="1"/>
  <c r="P19" i="18"/>
  <c r="R19" i="18" s="1"/>
  <c r="L21" i="18"/>
  <c r="L40" i="18" s="1"/>
  <c r="U22" i="18"/>
  <c r="G22" i="18"/>
  <c r="K21" i="18"/>
  <c r="U24" i="18"/>
  <c r="F28" i="18"/>
  <c r="K28" i="18"/>
  <c r="F18" i="18"/>
  <c r="V28" i="18"/>
  <c r="L24" i="18"/>
  <c r="F14" i="18"/>
  <c r="H14" i="18" s="1"/>
  <c r="Q16" i="18"/>
  <c r="R16" i="18" s="1"/>
  <c r="J43" i="18"/>
  <c r="J57" i="18"/>
  <c r="J56" i="18"/>
  <c r="K57" i="18"/>
  <c r="Y29" i="18"/>
  <c r="Z29" i="18" s="1"/>
  <c r="Y22" i="18"/>
  <c r="Y21" i="18"/>
  <c r="Y25" i="18"/>
  <c r="Y24" i="18"/>
  <c r="Z24" i="18" s="1"/>
  <c r="Y28" i="18"/>
  <c r="Y23" i="18"/>
  <c r="Y27" i="18"/>
  <c r="Y31" i="18"/>
  <c r="Z31" i="18" s="1"/>
  <c r="Y26" i="18"/>
  <c r="AA28" i="18"/>
  <c r="AA24" i="18"/>
  <c r="AA31" i="18"/>
  <c r="AA23" i="18"/>
  <c r="AA39" i="18" s="1"/>
  <c r="AA30" i="18"/>
  <c r="AA22" i="18"/>
  <c r="R25" i="18"/>
  <c r="M104" i="16"/>
  <c r="M106" i="16"/>
  <c r="M95" i="16"/>
  <c r="L107" i="16"/>
  <c r="L104" i="16"/>
  <c r="L106" i="16"/>
  <c r="K107" i="16"/>
  <c r="L103" i="16"/>
  <c r="L99" i="16"/>
  <c r="L97" i="16"/>
  <c r="AA27" i="18" l="1"/>
  <c r="AA43" i="18" s="1"/>
  <c r="AA26" i="18"/>
  <c r="AA49" i="18" s="1"/>
  <c r="Z25" i="18"/>
  <c r="Z22" i="18"/>
  <c r="P22" i="18"/>
  <c r="G18" i="18"/>
  <c r="G37" i="18" s="1"/>
  <c r="U18" i="18"/>
  <c r="K27" i="18"/>
  <c r="B49" i="18"/>
  <c r="P49" i="18" s="1"/>
  <c r="F27" i="18"/>
  <c r="B53" i="18"/>
  <c r="K53" i="18" s="1"/>
  <c r="L27" i="18"/>
  <c r="B38" i="18"/>
  <c r="K38" i="18" s="1"/>
  <c r="V27" i="18"/>
  <c r="B36" i="18"/>
  <c r="B43" i="18"/>
  <c r="P43" i="18" s="1"/>
  <c r="B41" i="18"/>
  <c r="K41" i="18" s="1"/>
  <c r="L22" i="18"/>
  <c r="M22" i="18" s="1"/>
  <c r="B47" i="18"/>
  <c r="P47" i="18" s="1"/>
  <c r="AA21" i="18"/>
  <c r="AA36" i="18" s="1"/>
  <c r="B34" i="18"/>
  <c r="F22" i="18"/>
  <c r="B55" i="18"/>
  <c r="B52" i="18"/>
  <c r="B35" i="18"/>
  <c r="P35" i="18" s="1"/>
  <c r="K18" i="18"/>
  <c r="V21" i="18"/>
  <c r="V41" i="18" s="1"/>
  <c r="W41" i="18" s="1"/>
  <c r="U21" i="18"/>
  <c r="B51" i="18"/>
  <c r="F51" i="18" s="1"/>
  <c r="K31" i="18"/>
  <c r="F26" i="18"/>
  <c r="H26" i="18" s="1"/>
  <c r="G25" i="18"/>
  <c r="G29" i="18"/>
  <c r="F29" i="18"/>
  <c r="Q29" i="18"/>
  <c r="R29" i="18" s="1"/>
  <c r="L31" i="18"/>
  <c r="L25" i="18"/>
  <c r="R17" i="18"/>
  <c r="F25" i="18"/>
  <c r="V29" i="18"/>
  <c r="F31" i="18"/>
  <c r="U29" i="18"/>
  <c r="W29" i="18" s="1"/>
  <c r="AA29" i="18"/>
  <c r="AB29" i="18" s="1"/>
  <c r="AA25" i="18"/>
  <c r="K24" i="18"/>
  <c r="M24" i="18" s="1"/>
  <c r="E56" i="18"/>
  <c r="H22" i="18"/>
  <c r="H31" i="18"/>
  <c r="W23" i="18"/>
  <c r="P30" i="18"/>
  <c r="K25" i="18"/>
  <c r="M25" i="18" s="1"/>
  <c r="U20" i="18"/>
  <c r="W20" i="18" s="1"/>
  <c r="Q37" i="18"/>
  <c r="F56" i="18"/>
  <c r="V44" i="18"/>
  <c r="R22" i="18"/>
  <c r="F19" i="18"/>
  <c r="B44" i="18"/>
  <c r="P44" i="18" s="1"/>
  <c r="Q30" i="18"/>
  <c r="G30" i="18"/>
  <c r="H30" i="18" s="1"/>
  <c r="B42" i="18"/>
  <c r="Q23" i="18"/>
  <c r="Q39" i="18" s="1"/>
  <c r="L17" i="18"/>
  <c r="M17" i="18" s="1"/>
  <c r="L30" i="18"/>
  <c r="M30" i="18" s="1"/>
  <c r="U30" i="18"/>
  <c r="P20" i="18"/>
  <c r="F17" i="18"/>
  <c r="G20" i="18"/>
  <c r="H20" i="18" s="1"/>
  <c r="V30" i="18"/>
  <c r="Q48" i="18"/>
  <c r="U26" i="18"/>
  <c r="W26" i="18" s="1"/>
  <c r="K50" i="18"/>
  <c r="Y30" i="18"/>
  <c r="Z30" i="18" s="1"/>
  <c r="AB30" i="18" s="1"/>
  <c r="T37" i="18"/>
  <c r="U37" i="18" s="1"/>
  <c r="W37" i="18" s="1"/>
  <c r="T54" i="18"/>
  <c r="U54" i="18" s="1"/>
  <c r="T53" i="18"/>
  <c r="T57" i="18"/>
  <c r="T49" i="18"/>
  <c r="U49" i="18" s="1"/>
  <c r="T56" i="18"/>
  <c r="T41" i="18"/>
  <c r="U41" i="18" s="1"/>
  <c r="T44" i="18"/>
  <c r="T55" i="18"/>
  <c r="U55" i="18" s="1"/>
  <c r="T42" i="18"/>
  <c r="U42" i="18" s="1"/>
  <c r="T51" i="18"/>
  <c r="J40" i="18"/>
  <c r="J48" i="18"/>
  <c r="K48" i="18" s="1"/>
  <c r="J54" i="18"/>
  <c r="J55" i="18"/>
  <c r="K55" i="18" s="1"/>
  <c r="J39" i="18"/>
  <c r="K39" i="18" s="1"/>
  <c r="J42" i="18"/>
  <c r="K42" i="18" s="1"/>
  <c r="J52" i="18"/>
  <c r="K52" i="18" s="1"/>
  <c r="U51" i="18"/>
  <c r="W28" i="18"/>
  <c r="R23" i="18"/>
  <c r="H29" i="18"/>
  <c r="H17" i="18"/>
  <c r="M20" i="18"/>
  <c r="R20" i="18"/>
  <c r="L42" i="18"/>
  <c r="V35" i="18"/>
  <c r="G48" i="18"/>
  <c r="V50" i="18"/>
  <c r="L38" i="18"/>
  <c r="M38" i="18" s="1"/>
  <c r="V39" i="18"/>
  <c r="G53" i="18"/>
  <c r="L39" i="18"/>
  <c r="G56" i="18"/>
  <c r="H56" i="18" s="1"/>
  <c r="G50" i="18"/>
  <c r="L51" i="18"/>
  <c r="V42" i="18"/>
  <c r="L47" i="18"/>
  <c r="L35" i="18"/>
  <c r="P39" i="18"/>
  <c r="Q44" i="18"/>
  <c r="L34" i="18"/>
  <c r="Q34" i="18"/>
  <c r="L57" i="18"/>
  <c r="M57" i="18" s="1"/>
  <c r="V57" i="18"/>
  <c r="L44" i="18"/>
  <c r="L43" i="18"/>
  <c r="L56" i="18"/>
  <c r="P36" i="18"/>
  <c r="P41" i="18"/>
  <c r="R41" i="18" s="1"/>
  <c r="G36" i="18"/>
  <c r="G57" i="18"/>
  <c r="G52" i="18"/>
  <c r="Q38" i="18"/>
  <c r="L48" i="18"/>
  <c r="U48" i="18"/>
  <c r="F39" i="18"/>
  <c r="L54" i="18"/>
  <c r="G55" i="18"/>
  <c r="M19" i="18"/>
  <c r="U52" i="18"/>
  <c r="U57" i="18"/>
  <c r="F57" i="18"/>
  <c r="Z35" i="18"/>
  <c r="AB35" i="18" s="1"/>
  <c r="F35" i="18"/>
  <c r="P37" i="18"/>
  <c r="R37" i="18" s="1"/>
  <c r="F55" i="18"/>
  <c r="H55" i="18" s="1"/>
  <c r="H28" i="18"/>
  <c r="M18" i="18"/>
  <c r="V38" i="18"/>
  <c r="W21" i="18"/>
  <c r="F36" i="18"/>
  <c r="F43" i="18"/>
  <c r="H43" i="18" s="1"/>
  <c r="K47" i="18"/>
  <c r="AA38" i="18"/>
  <c r="AA47" i="18"/>
  <c r="K51" i="18"/>
  <c r="M51" i="18" s="1"/>
  <c r="F34" i="18"/>
  <c r="Q47" i="18"/>
  <c r="R47" i="18" s="1"/>
  <c r="Q51" i="18"/>
  <c r="U39" i="18"/>
  <c r="W39" i="18" s="1"/>
  <c r="L55" i="18"/>
  <c r="P50" i="18"/>
  <c r="Q36" i="18"/>
  <c r="G35" i="18"/>
  <c r="L53" i="18"/>
  <c r="M53" i="18" s="1"/>
  <c r="R43" i="18"/>
  <c r="W19" i="18"/>
  <c r="R21" i="18"/>
  <c r="V53" i="18"/>
  <c r="U43" i="18"/>
  <c r="U44" i="18"/>
  <c r="W44" i="18" s="1"/>
  <c r="U38" i="18"/>
  <c r="V52" i="18"/>
  <c r="P38" i="18"/>
  <c r="V54" i="18"/>
  <c r="V51" i="18"/>
  <c r="V55" i="18"/>
  <c r="F41" i="18"/>
  <c r="P51" i="18"/>
  <c r="V56" i="18"/>
  <c r="V40" i="18"/>
  <c r="U47" i="18"/>
  <c r="F47" i="18"/>
  <c r="V43" i="18"/>
  <c r="W24" i="18"/>
  <c r="W22" i="18"/>
  <c r="M28" i="18"/>
  <c r="U53" i="18"/>
  <c r="F38" i="18"/>
  <c r="F53" i="18"/>
  <c r="P53" i="18"/>
  <c r="K49" i="18"/>
  <c r="M49" i="18" s="1"/>
  <c r="F49" i="18"/>
  <c r="V36" i="18"/>
  <c r="H24" i="18"/>
  <c r="W27" i="18"/>
  <c r="G47" i="18"/>
  <c r="G38" i="18"/>
  <c r="H27" i="18"/>
  <c r="H16" i="18"/>
  <c r="K56" i="18"/>
  <c r="U56" i="18"/>
  <c r="Q35" i="18"/>
  <c r="R35" i="18" s="1"/>
  <c r="G41" i="18"/>
  <c r="U40" i="18"/>
  <c r="G39" i="18"/>
  <c r="V47" i="18"/>
  <c r="U50" i="18"/>
  <c r="W50" i="18" s="1"/>
  <c r="F50" i="18"/>
  <c r="L52" i="18"/>
  <c r="Q52" i="18"/>
  <c r="Q49" i="18"/>
  <c r="R49" i="18" s="1"/>
  <c r="L41" i="18"/>
  <c r="M41" i="18" s="1"/>
  <c r="G40" i="18"/>
  <c r="G51" i="18"/>
  <c r="V49" i="18"/>
  <c r="G49" i="18"/>
  <c r="L50" i="18"/>
  <c r="G34" i="18"/>
  <c r="P55" i="18"/>
  <c r="V48" i="18"/>
  <c r="H19" i="18"/>
  <c r="P48" i="18"/>
  <c r="Q56" i="18"/>
  <c r="R56" i="18" s="1"/>
  <c r="P52" i="18"/>
  <c r="Q55" i="18"/>
  <c r="Q53" i="18"/>
  <c r="R53" i="18" s="1"/>
  <c r="H21" i="18"/>
  <c r="L36" i="18"/>
  <c r="F54" i="18"/>
  <c r="H54" i="18" s="1"/>
  <c r="U35" i="18"/>
  <c r="F48" i="18"/>
  <c r="F40" i="18"/>
  <c r="F52" i="18"/>
  <c r="K54" i="18"/>
  <c r="K35" i="18"/>
  <c r="K40" i="18"/>
  <c r="M40" i="18" s="1"/>
  <c r="P54" i="18"/>
  <c r="K37" i="18"/>
  <c r="M37" i="18" s="1"/>
  <c r="H18" i="18"/>
  <c r="M21" i="18"/>
  <c r="W18" i="18"/>
  <c r="AA48" i="18"/>
  <c r="AA53" i="18"/>
  <c r="AA37" i="18"/>
  <c r="AB31" i="18"/>
  <c r="AB22" i="18"/>
  <c r="AB24" i="18"/>
  <c r="AA54" i="18"/>
  <c r="AA52" i="18"/>
  <c r="AA50" i="18"/>
  <c r="AA42" i="18"/>
  <c r="AA41" i="18"/>
  <c r="AA55" i="18"/>
  <c r="AA40" i="18"/>
  <c r="AA57" i="18"/>
  <c r="AA51" i="18"/>
  <c r="AA56" i="18"/>
  <c r="AA44" i="18"/>
  <c r="Y55" i="18"/>
  <c r="Z55" i="18" s="1"/>
  <c r="Y39" i="18"/>
  <c r="Z39" i="18" s="1"/>
  <c r="AB39" i="18" s="1"/>
  <c r="Y48" i="18"/>
  <c r="Z48" i="18" s="1"/>
  <c r="Y40" i="18"/>
  <c r="Z40" i="18" s="1"/>
  <c r="Y54" i="18"/>
  <c r="Z54" i="18" s="1"/>
  <c r="AB54" i="18" s="1"/>
  <c r="Z23" i="18"/>
  <c r="AB23" i="18" s="1"/>
  <c r="Y49" i="18"/>
  <c r="Z49" i="18" s="1"/>
  <c r="AB49" i="18" s="1"/>
  <c r="Y37" i="18"/>
  <c r="Z37" i="18" s="1"/>
  <c r="Y57" i="18"/>
  <c r="Z57" i="18" s="1"/>
  <c r="Y56" i="18"/>
  <c r="Z56" i="18" s="1"/>
  <c r="Y42" i="18"/>
  <c r="Z42" i="18" s="1"/>
  <c r="Y41" i="18"/>
  <c r="Z41" i="18" s="1"/>
  <c r="Z26" i="18"/>
  <c r="AB26" i="18" s="1"/>
  <c r="Y43" i="18"/>
  <c r="Z43" i="18" s="1"/>
  <c r="AB43" i="18" s="1"/>
  <c r="Z27" i="18"/>
  <c r="AB27" i="18" s="1"/>
  <c r="Y44" i="18"/>
  <c r="Z44" i="18" s="1"/>
  <c r="Z28" i="18"/>
  <c r="AB28" i="18" s="1"/>
  <c r="Y47" i="18"/>
  <c r="Z47" i="18" s="1"/>
  <c r="Y36" i="18"/>
  <c r="Z36" i="18" s="1"/>
  <c r="AB36" i="18" s="1"/>
  <c r="Y52" i="18"/>
  <c r="Z52" i="18" s="1"/>
  <c r="Y51" i="18"/>
  <c r="Z51" i="18" s="1"/>
  <c r="Y38" i="18"/>
  <c r="Z38" i="18" s="1"/>
  <c r="Y50" i="18"/>
  <c r="Z50" i="18" s="1"/>
  <c r="AB50" i="18" s="1"/>
  <c r="Y53" i="18"/>
  <c r="Z53" i="18" s="1"/>
  <c r="Z21" i="18"/>
  <c r="AB21" i="18" s="1"/>
  <c r="H37" i="18"/>
  <c r="W42" i="18"/>
  <c r="M42" i="18"/>
  <c r="W36" i="18" l="1"/>
  <c r="H36" i="18"/>
  <c r="W57" i="18"/>
  <c r="H25" i="18"/>
  <c r="K34" i="18"/>
  <c r="M34" i="18" s="1"/>
  <c r="Z34" i="18"/>
  <c r="AB34" i="18" s="1"/>
  <c r="P34" i="18"/>
  <c r="R34" i="18" s="1"/>
  <c r="U36" i="18"/>
  <c r="K36" i="18"/>
  <c r="M36" i="18" s="1"/>
  <c r="H51" i="18"/>
  <c r="M31" i="18"/>
  <c r="M27" i="18"/>
  <c r="K43" i="18"/>
  <c r="M43" i="18" s="1"/>
  <c r="AB25" i="18"/>
  <c r="H57" i="18"/>
  <c r="R48" i="18"/>
  <c r="Q54" i="18"/>
  <c r="R54" i="18" s="1"/>
  <c r="Q50" i="18"/>
  <c r="F44" i="18"/>
  <c r="H44" i="18" s="1"/>
  <c r="K44" i="18"/>
  <c r="Q40" i="18"/>
  <c r="R40" i="18" s="1"/>
  <c r="R44" i="18"/>
  <c r="R30" i="18"/>
  <c r="W30" i="18"/>
  <c r="F42" i="18"/>
  <c r="H42" i="18" s="1"/>
  <c r="P42" i="18"/>
  <c r="Q57" i="18"/>
  <c r="R57" i="18" s="1"/>
  <c r="Q42" i="18"/>
  <c r="H48" i="18"/>
  <c r="M50" i="18"/>
  <c r="R38" i="18"/>
  <c r="H35" i="18"/>
  <c r="H47" i="18"/>
  <c r="R36" i="18"/>
  <c r="R39" i="18"/>
  <c r="M48" i="18"/>
  <c r="W55" i="18"/>
  <c r="M39" i="18"/>
  <c r="W54" i="18"/>
  <c r="W35" i="18"/>
  <c r="M52" i="18"/>
  <c r="W51" i="18"/>
  <c r="M55" i="18"/>
  <c r="AB57" i="18"/>
  <c r="W56" i="18"/>
  <c r="H53" i="18"/>
  <c r="W53" i="18"/>
  <c r="M44" i="18"/>
  <c r="M47" i="18"/>
  <c r="W49" i="18"/>
  <c r="M35" i="18"/>
  <c r="H52" i="18"/>
  <c r="H50" i="18"/>
  <c r="M54" i="18"/>
  <c r="M56" i="18"/>
  <c r="AB38" i="18"/>
  <c r="W48" i="18"/>
  <c r="W52" i="18"/>
  <c r="W38" i="18"/>
  <c r="W40" i="18"/>
  <c r="H41" i="18"/>
  <c r="AB47" i="18"/>
  <c r="H34" i="18"/>
  <c r="H39" i="18"/>
  <c r="H49" i="18"/>
  <c r="W43" i="18"/>
  <c r="R52" i="18"/>
  <c r="R50" i="18"/>
  <c r="R51" i="18"/>
  <c r="W47" i="18"/>
  <c r="R55" i="18"/>
  <c r="H38" i="18"/>
  <c r="H40" i="18"/>
  <c r="AB48" i="18"/>
  <c r="AB41" i="18"/>
  <c r="AB37" i="18"/>
  <c r="AB40" i="18"/>
  <c r="AB51" i="18"/>
  <c r="AB42" i="18"/>
  <c r="AB53" i="18"/>
  <c r="AB52" i="18"/>
  <c r="AB44" i="18"/>
  <c r="AB56" i="18"/>
  <c r="AB55" i="18"/>
  <c r="R42" i="18" l="1"/>
</calcChain>
</file>

<file path=xl/comments1.xml><?xml version="1.0" encoding="utf-8"?>
<comments xmlns="http://schemas.openxmlformats.org/spreadsheetml/2006/main">
  <authors>
    <author>jpurushotham</author>
  </authors>
  <commentList>
    <comment ref="AB12" authorId="0">
      <text>
        <r>
          <rPr>
            <b/>
            <sz val="8"/>
            <color indexed="81"/>
            <rFont val="Tahoma"/>
            <family val="2"/>
          </rPr>
          <t>Bloomberg: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 to follow a very specific format. xYxM. For example, 9month will be 0Y9M, 3.5 years would be 3Y6M</t>
        </r>
      </text>
    </comment>
  </commentList>
</comments>
</file>

<file path=xl/sharedStrings.xml><?xml version="1.0" encoding="utf-8"?>
<sst xmlns="http://schemas.openxmlformats.org/spreadsheetml/2006/main" count="639" uniqueCount="448">
  <si>
    <t>Start Date</t>
  </si>
  <si>
    <t>End Date</t>
  </si>
  <si>
    <t>Currency</t>
  </si>
  <si>
    <t>Settlement</t>
  </si>
  <si>
    <t>Curve Date</t>
  </si>
  <si>
    <t>1M</t>
  </si>
  <si>
    <t>3M</t>
  </si>
  <si>
    <t>2Y</t>
  </si>
  <si>
    <t>2M</t>
  </si>
  <si>
    <t>4M</t>
  </si>
  <si>
    <t>6M</t>
  </si>
  <si>
    <t>7M</t>
  </si>
  <si>
    <t>8M</t>
  </si>
  <si>
    <t>9M</t>
  </si>
  <si>
    <t>10M</t>
  </si>
  <si>
    <t>11M</t>
  </si>
  <si>
    <t>3Y</t>
  </si>
  <si>
    <t>4Y</t>
  </si>
  <si>
    <t>5Y</t>
  </si>
  <si>
    <t>7Y</t>
  </si>
  <si>
    <t>10Y</t>
  </si>
  <si>
    <t>Discount Factor</t>
  </si>
  <si>
    <t>5M</t>
  </si>
  <si>
    <t>Date</t>
  </si>
  <si>
    <t>Ticker</t>
  </si>
  <si>
    <t>Par</t>
  </si>
  <si>
    <t>Tenor</t>
  </si>
  <si>
    <t>Zero</t>
  </si>
  <si>
    <t>DF</t>
  </si>
  <si>
    <t>Curve Type</t>
  </si>
  <si>
    <t>EUR</t>
  </si>
  <si>
    <t>6Y</t>
  </si>
  <si>
    <t>8Y</t>
  </si>
  <si>
    <t>9Y</t>
  </si>
  <si>
    <t>CURVE ID</t>
  </si>
  <si>
    <t>CURRENT CURVE ID</t>
  </si>
  <si>
    <t>Settlement:</t>
  </si>
  <si>
    <t>6m</t>
  </si>
  <si>
    <t>9m</t>
  </si>
  <si>
    <t>1y</t>
  </si>
  <si>
    <t>ICVS</t>
  </si>
  <si>
    <t>2y</t>
  </si>
  <si>
    <t>5y</t>
  </si>
  <si>
    <t>3y</t>
  </si>
  <si>
    <t>4y</t>
  </si>
  <si>
    <t>GBP</t>
  </si>
  <si>
    <t>USD</t>
  </si>
  <si>
    <t>Conventional</t>
  </si>
  <si>
    <t>BROKEN DATES</t>
  </si>
  <si>
    <t>Date/Tenor</t>
  </si>
  <si>
    <t>Coupon</t>
  </si>
  <si>
    <t>Spot</t>
  </si>
  <si>
    <t>Broken Dates</t>
  </si>
  <si>
    <t>Forward Rates</t>
  </si>
  <si>
    <t>SETTINGS</t>
  </si>
  <si>
    <t>Curves</t>
  </si>
  <si>
    <t>AUD</t>
  </si>
  <si>
    <t>CAD</t>
  </si>
  <si>
    <t>CHFvs3M</t>
  </si>
  <si>
    <t>EURvs3M</t>
  </si>
  <si>
    <t>GBPvs3M</t>
  </si>
  <si>
    <t>HKD</t>
  </si>
  <si>
    <t>JPY</t>
  </si>
  <si>
    <t>CURVE</t>
  </si>
  <si>
    <t>11m</t>
  </si>
  <si>
    <t>6y</t>
  </si>
  <si>
    <t>7y</t>
  </si>
  <si>
    <t>8y</t>
  </si>
  <si>
    <t>9y</t>
  </si>
  <si>
    <t>10y</t>
  </si>
  <si>
    <t>12y</t>
  </si>
  <si>
    <t>15y</t>
  </si>
  <si>
    <t>1D</t>
  </si>
  <si>
    <t>1W</t>
  </si>
  <si>
    <t>18M</t>
  </si>
  <si>
    <t>20y</t>
  </si>
  <si>
    <t>Frequency:</t>
  </si>
  <si>
    <t>Day Count:</t>
  </si>
  <si>
    <t>1Y</t>
  </si>
  <si>
    <t>1D IMPLIED PAR</t>
  </si>
  <si>
    <t>2D</t>
  </si>
  <si>
    <t>2D IMPLIED PAR</t>
  </si>
  <si>
    <t>1W IMPLIED PAR</t>
  </si>
  <si>
    <t>2W</t>
  </si>
  <si>
    <t>2W IMPLIED PAR</t>
  </si>
  <si>
    <t>1M IMPLIED PAR</t>
  </si>
  <si>
    <t>2M IMPLIED PAR</t>
  </si>
  <si>
    <t>3M IMPLIED PAR</t>
  </si>
  <si>
    <t>4M IMPLIED PAR</t>
  </si>
  <si>
    <t>5M IMPLIED PAR</t>
  </si>
  <si>
    <t>6M IMPLIED PAR</t>
  </si>
  <si>
    <t>7M IMPLIED PAR</t>
  </si>
  <si>
    <t>8M IMPLIED PAR</t>
  </si>
  <si>
    <t>9M IMPLIED PAR</t>
  </si>
  <si>
    <t>10M IMPLIED PAR</t>
  </si>
  <si>
    <t>11M IMPLIED PAR</t>
  </si>
  <si>
    <t>1Y IMPLIED PAR</t>
  </si>
  <si>
    <t>2Y IMPLIED PAR</t>
  </si>
  <si>
    <t>3Y IMPLIED PAR</t>
  </si>
  <si>
    <t>4Y IMPLIED PAR</t>
  </si>
  <si>
    <t>5Y IMPLIED PAR</t>
  </si>
  <si>
    <t>6Y IMPLIED PAR</t>
  </si>
  <si>
    <t>7Y IMPLIED PAR</t>
  </si>
  <si>
    <t>8Y IMPLIED PAR</t>
  </si>
  <si>
    <t>9Y IMPLIED PAR</t>
  </si>
  <si>
    <t>10Y IMPLIED PAR</t>
  </si>
  <si>
    <t>15M</t>
  </si>
  <si>
    <t>21M</t>
  </si>
  <si>
    <t>27M</t>
  </si>
  <si>
    <t>30M</t>
  </si>
  <si>
    <t>33M</t>
  </si>
  <si>
    <t>39M</t>
  </si>
  <si>
    <t>42M</t>
  </si>
  <si>
    <t>45M</t>
  </si>
  <si>
    <t>Fwd</t>
  </si>
  <si>
    <t>Carry</t>
  </si>
  <si>
    <t>Roll Down</t>
  </si>
  <si>
    <t>Total</t>
  </si>
  <si>
    <t>1mth</t>
  </si>
  <si>
    <t>6mth</t>
  </si>
  <si>
    <t>1 yr</t>
  </si>
  <si>
    <t>1Mx11M</t>
  </si>
  <si>
    <t>1Mx23M</t>
  </si>
  <si>
    <t>1Mx35M</t>
  </si>
  <si>
    <t>1Mx47M</t>
  </si>
  <si>
    <t>1Mx59M</t>
  </si>
  <si>
    <t>1Mx83M</t>
  </si>
  <si>
    <t>1Mx119M</t>
  </si>
  <si>
    <t>1Mx143M</t>
  </si>
  <si>
    <t>1Mx179M</t>
  </si>
  <si>
    <t>1Mx239M</t>
  </si>
  <si>
    <t>1Mx299M</t>
  </si>
  <si>
    <t>3Mx9M</t>
  </si>
  <si>
    <t>3Mx21M</t>
  </si>
  <si>
    <t>3Mx33M</t>
  </si>
  <si>
    <t>3Mx45M</t>
  </si>
  <si>
    <t>3Mx57M</t>
  </si>
  <si>
    <t>3Mx81M</t>
  </si>
  <si>
    <t>3Mx117M</t>
  </si>
  <si>
    <t>3Mx141M</t>
  </si>
  <si>
    <t>3Mx177M</t>
  </si>
  <si>
    <t>3Mx237M</t>
  </si>
  <si>
    <t>3Mx297M</t>
  </si>
  <si>
    <t xml:space="preserve"> 6Mx6M</t>
  </si>
  <si>
    <t xml:space="preserve"> 6Mx18M</t>
  </si>
  <si>
    <t xml:space="preserve"> 6Mx30M</t>
  </si>
  <si>
    <t xml:space="preserve"> 6Mx42M</t>
  </si>
  <si>
    <t xml:space="preserve"> 6Mx54M</t>
  </si>
  <si>
    <t xml:space="preserve"> 6Mx78M</t>
  </si>
  <si>
    <t>6Mx114M</t>
  </si>
  <si>
    <t>6Mx138M</t>
  </si>
  <si>
    <t>6Mx174M</t>
  </si>
  <si>
    <t>6Mx234M</t>
  </si>
  <si>
    <t>6Mx294M</t>
  </si>
  <si>
    <t xml:space="preserve"> 12Mx0M</t>
  </si>
  <si>
    <t>12Mx12M</t>
  </si>
  <si>
    <t>12Mx24M</t>
  </si>
  <si>
    <t>12Mx36M</t>
  </si>
  <si>
    <t>12Mx48M</t>
  </si>
  <si>
    <t>12Mx72M</t>
  </si>
  <si>
    <t>12Mx108M</t>
  </si>
  <si>
    <t>12Mx132M</t>
  </si>
  <si>
    <t>12Mx168M</t>
  </si>
  <si>
    <t>12Mx228M</t>
  </si>
  <si>
    <t>12Mx288M</t>
  </si>
  <si>
    <t>3mth</t>
  </si>
  <si>
    <t>1y6m</t>
  </si>
  <si>
    <t>1y9m</t>
  </si>
  <si>
    <t>1y11m</t>
  </si>
  <si>
    <t>2y6m</t>
  </si>
  <si>
    <t>2y9m</t>
  </si>
  <si>
    <t>2y11m</t>
  </si>
  <si>
    <t>3y6m</t>
  </si>
  <si>
    <t>3y9m</t>
  </si>
  <si>
    <t>3y11m</t>
  </si>
  <si>
    <t>4y6m</t>
  </si>
  <si>
    <t>4y9m</t>
  </si>
  <si>
    <t>4y11m</t>
  </si>
  <si>
    <t>5y6m</t>
  </si>
  <si>
    <t>5y9m</t>
  </si>
  <si>
    <t>5y11m</t>
  </si>
  <si>
    <t>6y6m</t>
  </si>
  <si>
    <t>6y9m</t>
  </si>
  <si>
    <t>6y11m</t>
  </si>
  <si>
    <t>7y6m</t>
  </si>
  <si>
    <t>7y9m</t>
  </si>
  <si>
    <t>7y11m</t>
  </si>
  <si>
    <t>8y6m</t>
  </si>
  <si>
    <t>8y9m</t>
  </si>
  <si>
    <t>8y11m</t>
  </si>
  <si>
    <t>9y6m</t>
  </si>
  <si>
    <t>9y9m</t>
  </si>
  <si>
    <t>9y11m</t>
  </si>
  <si>
    <t>10y6m</t>
  </si>
  <si>
    <t>10y9m</t>
  </si>
  <si>
    <t>10y11m</t>
  </si>
  <si>
    <t>11y</t>
  </si>
  <si>
    <t>11y6m</t>
  </si>
  <si>
    <t>11y9m</t>
  </si>
  <si>
    <t>11y11m</t>
  </si>
  <si>
    <t>14y</t>
  </si>
  <si>
    <t>14y6m</t>
  </si>
  <si>
    <t>14y9m</t>
  </si>
  <si>
    <t>14y11m</t>
  </si>
  <si>
    <t>19y</t>
  </si>
  <si>
    <t>19y6m</t>
  </si>
  <si>
    <t>19y9m</t>
  </si>
  <si>
    <t>19y11m</t>
  </si>
  <si>
    <t>24y</t>
  </si>
  <si>
    <t>24y6m</t>
  </si>
  <si>
    <t>24y9m</t>
  </si>
  <si>
    <t>24y11m</t>
  </si>
  <si>
    <t>25y</t>
  </si>
  <si>
    <t>1s/2s</t>
  </si>
  <si>
    <t>2s/3s</t>
  </si>
  <si>
    <t>2s/5s</t>
  </si>
  <si>
    <t>2s/10s</t>
  </si>
  <si>
    <t>3s/5s</t>
  </si>
  <si>
    <t>3s/7s</t>
  </si>
  <si>
    <t>5s/7s</t>
  </si>
  <si>
    <t>5s/10s</t>
  </si>
  <si>
    <t>7s/10s</t>
  </si>
  <si>
    <t>10s/12s</t>
  </si>
  <si>
    <t>10s/15s</t>
  </si>
  <si>
    <t>6Mx6M</t>
  </si>
  <si>
    <t>6Mx18M</t>
  </si>
  <si>
    <t>6Mx30M</t>
  </si>
  <si>
    <t>6Mx54M</t>
  </si>
  <si>
    <t>6Mx78M</t>
  </si>
  <si>
    <t>0m</t>
  </si>
  <si>
    <t>1y0m</t>
  </si>
  <si>
    <t>2y0m</t>
  </si>
  <si>
    <t>4y0m</t>
  </si>
  <si>
    <t>9y0m</t>
  </si>
  <si>
    <t>6y0m</t>
  </si>
  <si>
    <t>11y0m</t>
  </si>
  <si>
    <t>14y0m</t>
  </si>
  <si>
    <t>2s/3s/5s</t>
  </si>
  <si>
    <t>2s/3s/7s</t>
  </si>
  <si>
    <t>2s/3s/10s</t>
  </si>
  <si>
    <t>2s/5s/7s</t>
  </si>
  <si>
    <t>2s/5s/10s</t>
  </si>
  <si>
    <t>3s/5s/7s</t>
  </si>
  <si>
    <t>3s/5s/10s</t>
  </si>
  <si>
    <t>3s/7s/10s</t>
  </si>
  <si>
    <t>5s/7s/10s</t>
  </si>
  <si>
    <t>5s/10s/12s</t>
  </si>
  <si>
    <t>7s/10s/12s</t>
  </si>
  <si>
    <t>3y0m</t>
  </si>
  <si>
    <t>19y0m</t>
  </si>
  <si>
    <t>24y0m</t>
  </si>
  <si>
    <t>6Mx42M</t>
  </si>
  <si>
    <t>Rates</t>
  </si>
  <si>
    <t xml:space="preserve">Purpose: </t>
  </si>
  <si>
    <t>** ICVS curves only contain spot information</t>
  </si>
  <si>
    <t>Rolldown Tab</t>
  </si>
  <si>
    <t>Notes:</t>
  </si>
  <si>
    <t>1)The user is able to select different options for Currency, Curve Type and Curve Date.</t>
  </si>
  <si>
    <t xml:space="preserve">   The are two different options for Curve Type:</t>
  </si>
  <si>
    <t>CHF</t>
  </si>
  <si>
    <t>CZK</t>
  </si>
  <si>
    <t>DKK</t>
  </si>
  <si>
    <t>HUF</t>
  </si>
  <si>
    <t>INR</t>
  </si>
  <si>
    <t>MXN</t>
  </si>
  <si>
    <t>MYR</t>
  </si>
  <si>
    <t>NOK</t>
  </si>
  <si>
    <t>NZD</t>
  </si>
  <si>
    <t>PHP</t>
  </si>
  <si>
    <t>PKR</t>
  </si>
  <si>
    <t>PLN</t>
  </si>
  <si>
    <t>RUB</t>
  </si>
  <si>
    <t>SEK</t>
  </si>
  <si>
    <t>SGD</t>
  </si>
  <si>
    <t>THB</t>
  </si>
  <si>
    <t>ZAR</t>
  </si>
  <si>
    <t>Custom</t>
  </si>
  <si>
    <t>Custom Conversion</t>
  </si>
  <si>
    <t>Subtraction</t>
  </si>
  <si>
    <t>Date format</t>
  </si>
  <si>
    <t xml:space="preserve">The purpose of this application is to calculate the implied carry for swaps and the swap trades based upon implied forward rates. </t>
  </si>
  <si>
    <t xml:space="preserve">This tab calculates forward rates and discount factors from a set of par swap rates to calculate implied carry for various swap structures. </t>
  </si>
  <si>
    <t xml:space="preserve">Clients can utilize this report to gain an understanding on how their portfolio of swaps with carry through time. In addition to that, this report </t>
  </si>
  <si>
    <t>can also help our clients find trading opportunities.</t>
  </si>
  <si>
    <t>How to read the table:</t>
  </si>
  <si>
    <t xml:space="preserve">Eg: The 1 year 3 month forward on the image above is actually the 9 month rate 3 months from now. </t>
  </si>
  <si>
    <t xml:space="preserve">Eg: The 2 year 3 month forward on the image above is actually the 1 year 9 month rate 3 months from now. </t>
  </si>
  <si>
    <t xml:space="preserve">Eg: The 3 year 3 month forward on the image above is actually the 2 year 9 month rate 3 months from now. </t>
  </si>
  <si>
    <t>The implied carry for swaps can be broken up into two components, the carry component and the roll down component.</t>
  </si>
  <si>
    <t>Carry Component:</t>
  </si>
  <si>
    <r>
      <t xml:space="preserve">The carry component is the return/cost of holding the asset. This is calculated by taking the difference between the </t>
    </r>
    <r>
      <rPr>
        <i/>
        <sz val="11"/>
        <rFont val="Calibri"/>
        <family val="2"/>
      </rPr>
      <t>forward rate</t>
    </r>
    <r>
      <rPr>
        <sz val="11"/>
        <rFont val="Calibri"/>
        <family val="2"/>
      </rPr>
      <t xml:space="preserve"> and the current </t>
    </r>
    <r>
      <rPr>
        <i/>
        <sz val="11"/>
        <rFont val="Calibri"/>
        <family val="2"/>
      </rPr>
      <t>par coupon rate.</t>
    </r>
    <r>
      <rPr>
        <sz val="11"/>
        <rFont val="Calibri"/>
        <family val="2"/>
      </rPr>
      <t xml:space="preserve"> </t>
    </r>
  </si>
  <si>
    <t>For example, the 1Yx3M carry is calculated as follow:</t>
  </si>
  <si>
    <t>([9 month rate, 3 months from now spot rate] – [1 year par coupon rate]) * 100</t>
  </si>
  <si>
    <t xml:space="preserve">The reason we take the 9 month rate, 3 months from now is because we want to know the implied floating rate for the 9 months period 3 months from today as </t>
  </si>
  <si>
    <t xml:space="preserve">the swap will no longer be a 12 month swap.  </t>
  </si>
  <si>
    <t>Roll Down Component:</t>
  </si>
  <si>
    <r>
      <t xml:space="preserve">The roll down component allows us to determine how much we pick up from sliding down the curve. This is calculated by taking the difference between the current </t>
    </r>
    <r>
      <rPr>
        <i/>
        <sz val="11"/>
        <rFont val="Calibri"/>
        <family val="2"/>
      </rPr>
      <t/>
    </r>
  </si>
  <si>
    <t>par coupon rate and remaining par coupon rate of the swap. For example, the 1YX3M roll down is calculated as follow:</t>
  </si>
  <si>
    <t>([1 year par coupon rate] - [9 month par coupon rate])*100</t>
  </si>
  <si>
    <t>Swap Spread Trades</t>
  </si>
  <si>
    <t>The swap spread trades uses the same calculations as above. The only difference is we take the spread between the tenors instead of taking the rates of the tenor itself.</t>
  </si>
  <si>
    <t>Butterfly Trades</t>
  </si>
  <si>
    <t>The butterfly trades follow the same concept as the Swap Spread Trades. The difference is, you calculate the butterfly spread by using the following formula:  [2*(Middle Tenor) – Wings].</t>
  </si>
  <si>
    <t>Only Year?</t>
  </si>
  <si>
    <t>30y</t>
  </si>
  <si>
    <t>1Mx359M</t>
  </si>
  <si>
    <t>3Mx357M</t>
  </si>
  <si>
    <t>6Mx354M</t>
  </si>
  <si>
    <t>12Mx348M</t>
  </si>
  <si>
    <t>NA</t>
  </si>
  <si>
    <t>29y11m</t>
  </si>
  <si>
    <t>29y9m</t>
  </si>
  <si>
    <t>29y6m</t>
  </si>
  <si>
    <t>29y0m</t>
  </si>
  <si>
    <t>1Mx71M</t>
  </si>
  <si>
    <t>3Mx69M</t>
  </si>
  <si>
    <t>6Mx66M</t>
  </si>
  <si>
    <t>12Mx60M</t>
  </si>
  <si>
    <t>1Mx95M</t>
  </si>
  <si>
    <t>3Mx93M</t>
  </si>
  <si>
    <t>6Mx90M</t>
  </si>
  <si>
    <t>12Mx84M</t>
  </si>
  <si>
    <t>1Mx107M</t>
  </si>
  <si>
    <t>3Mx105M</t>
  </si>
  <si>
    <t>6Mx102M</t>
  </si>
  <si>
    <t>12Mx96M</t>
  </si>
  <si>
    <t>5y0m</t>
  </si>
  <si>
    <t>7y0m</t>
  </si>
  <si>
    <t>8y0m</t>
  </si>
  <si>
    <t>3m</t>
  </si>
  <si>
    <t>1Mx2M</t>
  </si>
  <si>
    <t>1Mx5M</t>
  </si>
  <si>
    <t>3Mx3M</t>
  </si>
  <si>
    <t>1Mx8M</t>
  </si>
  <si>
    <t>3Mx6M</t>
  </si>
  <si>
    <t>6Mx3M</t>
  </si>
  <si>
    <t>2m</t>
  </si>
  <si>
    <t>5m</t>
  </si>
  <si>
    <t>8m</t>
  </si>
  <si>
    <t>-</t>
  </si>
  <si>
    <t>*click on Refresh Bloomberg to update data</t>
  </si>
  <si>
    <t>AED</t>
  </si>
  <si>
    <t>ARS</t>
  </si>
  <si>
    <t>BGN</t>
  </si>
  <si>
    <t>CLP</t>
  </si>
  <si>
    <t>CNY</t>
  </si>
  <si>
    <t>COP</t>
  </si>
  <si>
    <t>IDR</t>
  </si>
  <si>
    <t>ILS</t>
  </si>
  <si>
    <t>ISK</t>
  </si>
  <si>
    <t>KRW</t>
  </si>
  <si>
    <t>KWD</t>
  </si>
  <si>
    <t>RON</t>
  </si>
  <si>
    <t>SAR</t>
  </si>
  <si>
    <t>TRY</t>
  </si>
  <si>
    <t>TWD</t>
  </si>
  <si>
    <t>VND</t>
  </si>
  <si>
    <t>15M IMPLIED PAR</t>
  </si>
  <si>
    <t>18M IMPLIED PAR</t>
  </si>
  <si>
    <t>21M IMPLIED PAR</t>
  </si>
  <si>
    <t>27M IMPLIED PAR</t>
  </si>
  <si>
    <t>30M IMPLIED PAR</t>
  </si>
  <si>
    <t>33M IMPLIED PAR</t>
  </si>
  <si>
    <t>39M IMPLIED PAR</t>
  </si>
  <si>
    <t>42M IMPLIED PAR</t>
  </si>
  <si>
    <t>45M IMPLIED PAR</t>
  </si>
  <si>
    <t>11Y</t>
  </si>
  <si>
    <t>11Y IMPLIED PAR</t>
  </si>
  <si>
    <t>12Y</t>
  </si>
  <si>
    <t>12Y IMPLIED PAR</t>
  </si>
  <si>
    <t>13Y</t>
  </si>
  <si>
    <t>13Y IMPLIED PAR</t>
  </si>
  <si>
    <t>14Y</t>
  </si>
  <si>
    <t>14Y IMPLIED PAR</t>
  </si>
  <si>
    <t>15Y</t>
  </si>
  <si>
    <t>15Y IMPLIED PAR</t>
  </si>
  <si>
    <t>16Y</t>
  </si>
  <si>
    <t>16Y IMPLIED PAR</t>
  </si>
  <si>
    <t>17Y</t>
  </si>
  <si>
    <t>17Y IMPLIED PAR</t>
  </si>
  <si>
    <t>18Y</t>
  </si>
  <si>
    <t>18Y IMPLIED PAR</t>
  </si>
  <si>
    <t>19Y</t>
  </si>
  <si>
    <t>19Y IMPLIED PAR</t>
  </si>
  <si>
    <t>20Y</t>
  </si>
  <si>
    <t>20Y IMPLIED PAR</t>
  </si>
  <si>
    <t>21Y</t>
  </si>
  <si>
    <t>21Y IMPLIED PAR</t>
  </si>
  <si>
    <t>22Y</t>
  </si>
  <si>
    <t>22Y IMPLIED PAR</t>
  </si>
  <si>
    <t>23Y</t>
  </si>
  <si>
    <t>23Y IMPLIED PAR</t>
  </si>
  <si>
    <t>24Y</t>
  </si>
  <si>
    <t>24Y IMPLIED PAR</t>
  </si>
  <si>
    <t>25Y</t>
  </si>
  <si>
    <t>25Y IMPLIED PAR</t>
  </si>
  <si>
    <t>26Y</t>
  </si>
  <si>
    <t>26Y IMPLIED PAR</t>
  </si>
  <si>
    <t>27Y</t>
  </si>
  <si>
    <t>27Y IMPLIED PAR</t>
  </si>
  <si>
    <t>28Y</t>
  </si>
  <si>
    <t>28Y IMPLIED PAR</t>
  </si>
  <si>
    <t>29Y</t>
  </si>
  <si>
    <t>29Y IMPLIED PAR</t>
  </si>
  <si>
    <t>30Y</t>
  </si>
  <si>
    <t>30Y IMPLIED PAR</t>
  </si>
  <si>
    <t>31Y</t>
  </si>
  <si>
    <t>31Y IMPLIED PAR</t>
  </si>
  <si>
    <t>32Y</t>
  </si>
  <si>
    <t>32Y IMPLIED PAR</t>
  </si>
  <si>
    <t>33Y</t>
  </si>
  <si>
    <t>33Y IMPLIED PAR</t>
  </si>
  <si>
    <t>34Y</t>
  </si>
  <si>
    <t>34Y IMPLIED PAR</t>
  </si>
  <si>
    <t>35Y</t>
  </si>
  <si>
    <t>35Y IMPLIED PAR</t>
  </si>
  <si>
    <t>36Y</t>
  </si>
  <si>
    <t>36Y IMPLIED PAR</t>
  </si>
  <si>
    <t>37Y</t>
  </si>
  <si>
    <t>37Y IMPLIED PAR</t>
  </si>
  <si>
    <t>38Y</t>
  </si>
  <si>
    <t>38Y IMPLIED PAR</t>
  </si>
  <si>
    <t>39Y</t>
  </si>
  <si>
    <t>39Y IMPLIED PAR</t>
  </si>
  <si>
    <t>40Y</t>
  </si>
  <si>
    <t>40Y IMPLIED PAR</t>
  </si>
  <si>
    <t>41Y</t>
  </si>
  <si>
    <t>41Y IMPLIED PAR</t>
  </si>
  <si>
    <t>42Y</t>
  </si>
  <si>
    <t>42Y IMPLIED PAR</t>
  </si>
  <si>
    <t>43Y</t>
  </si>
  <si>
    <t>43Y IMPLIED PAR</t>
  </si>
  <si>
    <t>44Y</t>
  </si>
  <si>
    <t>44Y IMPLIED PAR</t>
  </si>
  <si>
    <t>45Y</t>
  </si>
  <si>
    <t>45Y IMPLIED PAR</t>
  </si>
  <si>
    <t>46Y</t>
  </si>
  <si>
    <t>46Y IMPLIED PAR</t>
  </si>
  <si>
    <t>47Y</t>
  </si>
  <si>
    <t>47Y IMPLIED PAR</t>
  </si>
  <si>
    <t>48Y</t>
  </si>
  <si>
    <t>48Y IMPLIED PAR</t>
  </si>
  <si>
    <t>49Y</t>
  </si>
  <si>
    <t>49Y IMPLIED PAR</t>
  </si>
  <si>
    <t>50Y</t>
  </si>
  <si>
    <t>50Y IMPLIED PAR</t>
  </si>
  <si>
    <t>Curve updated as of : 6/18/2013 6:14:17 PM</t>
  </si>
  <si>
    <t>MXNICVS20130618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</si>
</sst>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-* #,##0.00_-;\-* #,##0.00_-;_-* &quot;-&quot;??_-;_-@_-"/>
    <numFmt numFmtId="165" formatCode="0.00000000"/>
    <numFmt numFmtId="166" formatCode="0.0000000"/>
    <numFmt numFmtId="167" formatCode="0.000000"/>
    <numFmt numFmtId="168" formatCode="0.00000"/>
    <numFmt numFmtId="169" formatCode="0.0000"/>
    <numFmt numFmtId="170" formatCode="0.000"/>
    <numFmt numFmtId="171" formatCode="dd\-mmm\-yyyy"/>
    <numFmt numFmtId="172" formatCode="0.000000000"/>
  </numFmts>
  <fonts count="5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9"/>
      <name val="Calibri"/>
      <family val="2"/>
    </font>
    <font>
      <b/>
      <sz val="14"/>
      <color indexed="56"/>
      <name val="Calibri"/>
      <family val="2"/>
    </font>
    <font>
      <sz val="10"/>
      <name val="Calibri"/>
      <family val="2"/>
    </font>
    <font>
      <b/>
      <sz val="10"/>
      <color indexed="9"/>
      <name val="Calibri"/>
      <family val="2"/>
    </font>
    <font>
      <sz val="8"/>
      <name val="Calibri"/>
      <family val="2"/>
    </font>
    <font>
      <i/>
      <sz val="8"/>
      <name val="Calibri"/>
      <family val="2"/>
    </font>
    <font>
      <sz val="8"/>
      <color indexed="9"/>
      <name val="Calibri"/>
      <family val="2"/>
    </font>
    <font>
      <sz val="12"/>
      <name val="Calibri"/>
      <family val="2"/>
    </font>
    <font>
      <sz val="12"/>
      <color indexed="9"/>
      <name val="Calibri"/>
      <family val="2"/>
    </font>
    <font>
      <sz val="9"/>
      <name val="Calibri"/>
      <family val="2"/>
    </font>
    <font>
      <b/>
      <sz val="10"/>
      <color indexed="56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43"/>
      <name val="Calibri"/>
      <family val="2"/>
    </font>
    <font>
      <b/>
      <sz val="11"/>
      <color indexed="9"/>
      <name val="Calibri"/>
      <family val="2"/>
    </font>
    <font>
      <sz val="11"/>
      <color indexed="43"/>
      <name val="Calibri"/>
      <family val="2"/>
    </font>
    <font>
      <b/>
      <sz val="11"/>
      <color indexed="48"/>
      <name val="Calibri"/>
      <family val="2"/>
    </font>
    <font>
      <sz val="11"/>
      <color indexed="54"/>
      <name val="Calibri"/>
      <family val="2"/>
    </font>
    <font>
      <sz val="11"/>
      <color indexed="36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2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48"/>
      <name val="Cambria"/>
      <family val="2"/>
    </font>
    <font>
      <b/>
      <sz val="15"/>
      <color indexed="48"/>
      <name val="Calibri"/>
      <family val="2"/>
    </font>
    <font>
      <b/>
      <sz val="13"/>
      <color indexed="4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2"/>
      <name val="Arial"/>
      <family val="2"/>
    </font>
    <font>
      <b/>
      <i/>
      <u/>
      <sz val="10"/>
      <name val="Arial"/>
      <family val="2"/>
    </font>
    <font>
      <b/>
      <i/>
      <u/>
      <sz val="12"/>
      <name val="Arial"/>
      <family val="2"/>
    </font>
    <font>
      <sz val="11"/>
      <name val="Arial"/>
      <family val="2"/>
    </font>
    <font>
      <i/>
      <sz val="11"/>
      <name val="Calibri"/>
      <family val="2"/>
    </font>
    <font>
      <sz val="11"/>
      <name val="Calibri"/>
      <family val="2"/>
    </font>
    <font>
      <b/>
      <u/>
      <sz val="11"/>
      <name val="Calibri"/>
      <family val="2"/>
    </font>
    <font>
      <b/>
      <sz val="11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1"/>
      <name val="Tahoma"/>
      <family val="2"/>
    </font>
    <font>
      <sz val="10"/>
      <color theme="0"/>
      <name val="Arial"/>
      <family val="2"/>
    </font>
    <font>
      <sz val="10"/>
      <color theme="0" tint="-4.9989318521683403E-2"/>
      <name val="Arial"/>
      <family val="2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</font>
    <font>
      <i/>
      <sz val="10"/>
      <color theme="0"/>
      <name val="Calibri"/>
      <family val="2"/>
    </font>
    <font>
      <b/>
      <i/>
      <sz val="12"/>
      <color rgb="FFFF0000"/>
      <name val="Calibri"/>
      <family val="2"/>
      <scheme val="minor"/>
    </font>
    <font>
      <u/>
      <sz val="10"/>
      <color theme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63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40"/>
      </patternFill>
    </fill>
    <fill>
      <patternFill patternType="solid">
        <fgColor indexed="62"/>
      </patternFill>
    </fill>
    <fill>
      <patternFill patternType="solid">
        <fgColor indexed="11"/>
      </patternFill>
    </fill>
    <fill>
      <patternFill patternType="solid">
        <fgColor indexed="14"/>
      </patternFill>
    </fill>
    <fill>
      <patternFill patternType="solid">
        <fgColor indexed="54"/>
      </patternFill>
    </fill>
    <fill>
      <patternFill patternType="solid">
        <fgColor indexed="48"/>
      </patternFill>
    </fill>
    <fill>
      <patternFill patternType="solid">
        <fgColor indexed="57"/>
      </patternFill>
    </fill>
    <fill>
      <patternFill patternType="solid">
        <fgColor indexed="49"/>
      </patternFill>
    </fill>
    <fill>
      <patternFill patternType="solid">
        <fgColor indexed="18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4E1D1"/>
        <bgColor indexed="64"/>
      </patternFill>
    </fill>
    <fill>
      <patternFill patternType="solid">
        <fgColor rgb="FFB1D5A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23"/>
      </left>
      <right style="double">
        <color indexed="23"/>
      </right>
      <top style="double">
        <color indexed="23"/>
      </top>
      <bottom style="double">
        <color indexed="23"/>
      </bottom>
      <diagonal/>
    </border>
    <border>
      <left/>
      <right/>
      <top/>
      <bottom style="double">
        <color indexed="4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medium">
        <color indexed="4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/>
      <bottom/>
      <diagonal/>
    </border>
    <border>
      <left style="thin">
        <color indexed="2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2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 style="thin">
        <color indexed="48"/>
      </left>
      <right/>
      <top style="medium">
        <color indexed="64"/>
      </top>
      <bottom style="thin">
        <color indexed="4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64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2"/>
      </right>
      <top style="medium">
        <color indexed="64"/>
      </top>
      <bottom style="thin">
        <color indexed="62"/>
      </bottom>
      <diagonal/>
    </border>
    <border>
      <left style="thin">
        <color indexed="62"/>
      </left>
      <right/>
      <top style="medium">
        <color indexed="64"/>
      </top>
      <bottom/>
      <diagonal/>
    </border>
    <border>
      <left style="thin">
        <color indexed="23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3"/>
      </right>
      <top style="medium">
        <color indexed="64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medium">
        <color indexed="64"/>
      </top>
      <bottom style="thin">
        <color indexed="6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/>
      <diagonal/>
    </border>
    <border>
      <left style="thin">
        <color indexed="23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 style="thin">
        <color indexed="23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 style="thin">
        <color indexed="62"/>
      </right>
      <top style="thin">
        <color indexed="62"/>
      </top>
      <bottom style="medium">
        <color indexed="64"/>
      </bottom>
      <diagonal/>
    </border>
    <border>
      <left style="thin">
        <color indexed="62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medium">
        <color indexed="64"/>
      </left>
      <right style="thin">
        <color indexed="62"/>
      </right>
      <top style="thin">
        <color indexed="62"/>
      </top>
      <bottom/>
      <diagonal/>
    </border>
    <border>
      <left style="thin">
        <color indexed="22"/>
      </left>
      <right style="thin">
        <color indexed="23"/>
      </right>
      <top style="thin">
        <color indexed="22"/>
      </top>
      <bottom/>
      <diagonal/>
    </border>
    <border>
      <left/>
      <right/>
      <top/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45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3" borderId="0" applyNumberFormat="0" applyBorder="0" applyAlignment="0" applyProtection="0"/>
    <xf numFmtId="0" fontId="15" fillId="6" borderId="0" applyNumberFormat="0" applyBorder="0" applyAlignment="0" applyProtection="0"/>
    <xf numFmtId="0" fontId="15" fillId="9" borderId="0" applyNumberFormat="0" applyBorder="0" applyAlignment="0" applyProtection="0"/>
    <xf numFmtId="0" fontId="15" fillId="8" borderId="0" applyNumberFormat="0" applyBorder="0" applyAlignment="0" applyProtection="0"/>
    <xf numFmtId="0" fontId="15" fillId="10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0" applyNumberFormat="0" applyBorder="0" applyAlignment="0" applyProtection="0"/>
    <xf numFmtId="0" fontId="17" fillId="16" borderId="1" applyNumberFormat="0" applyAlignment="0" applyProtection="0"/>
    <xf numFmtId="0" fontId="18" fillId="17" borderId="2" applyNumberFormat="0" applyAlignment="0" applyProtection="0"/>
    <xf numFmtId="0" fontId="19" fillId="0" borderId="3" applyNumberFormat="0" applyFill="0" applyAlignment="0" applyProtection="0"/>
    <xf numFmtId="164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12" borderId="0" applyNumberFormat="0" applyBorder="0" applyAlignment="0" applyProtection="0"/>
    <xf numFmtId="0" fontId="15" fillId="10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21" fillId="18" borderId="1" applyNumberFormat="0" applyAlignment="0" applyProtection="0"/>
    <xf numFmtId="0" fontId="22" fillId="15" borderId="0" applyNumberFormat="0" applyBorder="0" applyAlignment="0" applyProtection="0"/>
    <xf numFmtId="0" fontId="23" fillId="18" borderId="0" applyNumberFormat="0" applyBorder="0" applyAlignment="0" applyProtection="0"/>
    <xf numFmtId="0" fontId="24" fillId="0" borderId="0"/>
    <xf numFmtId="0" fontId="24" fillId="19" borderId="7" applyNumberFormat="0" applyFont="0" applyAlignment="0" applyProtection="0"/>
    <xf numFmtId="0" fontId="25" fillId="16" borderId="1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30" fillId="0" borderId="5" applyNumberFormat="0" applyFill="0" applyAlignment="0" applyProtection="0"/>
    <xf numFmtId="0" fontId="20" fillId="0" borderId="6" applyNumberFormat="0" applyFill="0" applyAlignment="0" applyProtection="0"/>
    <xf numFmtId="0" fontId="31" fillId="0" borderId="8" applyNumberFormat="0" applyFill="0" applyAlignment="0" applyProtection="0"/>
    <xf numFmtId="0" fontId="54" fillId="0" borderId="0" applyNumberFormat="0" applyFill="0" applyBorder="0" applyAlignment="0" applyProtection="0"/>
  </cellStyleXfs>
  <cellXfs count="239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 applyFill="1" applyBorder="1" applyAlignment="1">
      <alignment horizontal="center"/>
    </xf>
    <xf numFmtId="14" fontId="7" fillId="0" borderId="0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5" fillId="0" borderId="0" xfId="0" applyFont="1" applyBorder="1"/>
    <xf numFmtId="49" fontId="5" fillId="0" borderId="0" xfId="0" applyNumberFormat="1" applyFont="1" applyBorder="1"/>
    <xf numFmtId="0" fontId="5" fillId="0" borderId="0" xfId="0" applyFont="1" applyBorder="1" applyAlignment="1">
      <alignment horizontal="left"/>
    </xf>
    <xf numFmtId="14" fontId="5" fillId="0" borderId="0" xfId="0" applyNumberFormat="1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/>
    </xf>
    <xf numFmtId="171" fontId="7" fillId="0" borderId="0" xfId="0" applyNumberFormat="1" applyFont="1" applyFill="1" applyBorder="1" applyAlignment="1">
      <alignment horizontal="center"/>
    </xf>
    <xf numFmtId="14" fontId="7" fillId="0" borderId="0" xfId="0" applyNumberFormat="1" applyFont="1" applyFill="1" applyBorder="1" applyAlignment="1">
      <alignment horizontal="left"/>
    </xf>
    <xf numFmtId="14" fontId="7" fillId="0" borderId="0" xfId="0" applyNumberFormat="1" applyFont="1" applyFill="1" applyBorder="1"/>
    <xf numFmtId="14" fontId="5" fillId="0" borderId="0" xfId="0" applyNumberFormat="1" applyFont="1"/>
    <xf numFmtId="167" fontId="7" fillId="0" borderId="0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7" fillId="0" borderId="0" xfId="0" applyFont="1" applyFill="1" applyBorder="1"/>
    <xf numFmtId="0" fontId="5" fillId="0" borderId="0" xfId="0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7" fillId="0" borderId="0" xfId="0" applyNumberFormat="1" applyFont="1" applyBorder="1" applyAlignment="1">
      <alignment horizontal="center"/>
    </xf>
    <xf numFmtId="19" fontId="5" fillId="0" borderId="0" xfId="0" applyNumberFormat="1" applyFont="1"/>
    <xf numFmtId="0" fontId="4" fillId="0" borderId="0" xfId="0" applyFont="1" applyAlignment="1">
      <alignment horizontal="left"/>
    </xf>
    <xf numFmtId="169" fontId="7" fillId="0" borderId="0" xfId="0" applyNumberFormat="1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4" fontId="5" fillId="0" borderId="0" xfId="0" applyNumberFormat="1" applyFont="1" applyFill="1" applyBorder="1"/>
    <xf numFmtId="0" fontId="9" fillId="20" borderId="9" xfId="0" applyFont="1" applyFill="1" applyBorder="1" applyAlignment="1">
      <alignment horizontal="center"/>
    </xf>
    <xf numFmtId="14" fontId="9" fillId="20" borderId="9" xfId="0" applyNumberFormat="1" applyFont="1" applyFill="1" applyBorder="1" applyAlignment="1">
      <alignment horizontal="center"/>
    </xf>
    <xf numFmtId="0" fontId="5" fillId="0" borderId="0" xfId="0" applyFont="1" applyFill="1"/>
    <xf numFmtId="49" fontId="5" fillId="0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14" fontId="7" fillId="21" borderId="0" xfId="0" applyNumberFormat="1" applyFont="1" applyFill="1" applyBorder="1" applyAlignment="1">
      <alignment horizontal="center"/>
    </xf>
    <xf numFmtId="14" fontId="9" fillId="20" borderId="10" xfId="0" applyNumberFormat="1" applyFont="1" applyFill="1" applyBorder="1" applyAlignment="1">
      <alignment horizontal="center"/>
    </xf>
    <xf numFmtId="168" fontId="7" fillId="0" borderId="0" xfId="0" applyNumberFormat="1" applyFont="1" applyFill="1" applyBorder="1" applyAlignment="1">
      <alignment horizontal="center"/>
    </xf>
    <xf numFmtId="0" fontId="0" fillId="0" borderId="0" xfId="0" applyFill="1"/>
    <xf numFmtId="165" fontId="2" fillId="0" borderId="0" xfId="0" applyNumberFormat="1" applyFont="1" applyFill="1"/>
    <xf numFmtId="14" fontId="0" fillId="0" borderId="0" xfId="0" applyNumberFormat="1" applyFill="1"/>
    <xf numFmtId="14" fontId="9" fillId="20" borderId="11" xfId="0" applyNumberFormat="1" applyFont="1" applyFill="1" applyBorder="1" applyAlignment="1">
      <alignment horizontal="center"/>
    </xf>
    <xf numFmtId="14" fontId="9" fillId="22" borderId="0" xfId="0" applyNumberFormat="1" applyFont="1" applyFill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19" fontId="5" fillId="0" borderId="0" xfId="0" applyNumberFormat="1" applyFont="1" applyFill="1" applyBorder="1"/>
    <xf numFmtId="14" fontId="10" fillId="0" borderId="0" xfId="0" applyNumberFormat="1" applyFont="1" applyFill="1" applyBorder="1" applyAlignment="1">
      <alignment horizontal="left"/>
    </xf>
    <xf numFmtId="2" fontId="5" fillId="0" borderId="0" xfId="0" applyNumberFormat="1" applyFont="1" applyBorder="1"/>
    <xf numFmtId="168" fontId="5" fillId="0" borderId="0" xfId="0" applyNumberFormat="1" applyFont="1" applyBorder="1"/>
    <xf numFmtId="0" fontId="4" fillId="0" borderId="0" xfId="0" applyFont="1" applyBorder="1"/>
    <xf numFmtId="172" fontId="0" fillId="0" borderId="0" xfId="0" applyNumberFormat="1" applyFill="1"/>
    <xf numFmtId="0" fontId="3" fillId="0" borderId="0" xfId="0" applyNumberFormat="1" applyFont="1" applyBorder="1"/>
    <xf numFmtId="0" fontId="12" fillId="0" borderId="0" xfId="0" applyNumberFormat="1" applyFont="1" applyFill="1" applyBorder="1" applyAlignment="1">
      <alignment horizontal="center"/>
    </xf>
    <xf numFmtId="14" fontId="12" fillId="0" borderId="0" xfId="0" applyNumberFormat="1" applyFont="1" applyFill="1" applyBorder="1" applyAlignment="1">
      <alignment horizontal="center"/>
    </xf>
    <xf numFmtId="168" fontId="0" fillId="0" borderId="0" xfId="0" applyNumberFormat="1" applyFill="1"/>
    <xf numFmtId="0" fontId="0" fillId="0" borderId="0" xfId="0" applyNumberFormat="1" applyFill="1"/>
    <xf numFmtId="166" fontId="10" fillId="0" borderId="0" xfId="0" applyNumberFormat="1" applyFont="1" applyFill="1" applyBorder="1" applyAlignment="1">
      <alignment horizontal="left"/>
    </xf>
    <xf numFmtId="0" fontId="3" fillId="20" borderId="0" xfId="0" applyFont="1" applyFill="1" applyBorder="1" applyAlignment="1">
      <alignment horizontal="center"/>
    </xf>
    <xf numFmtId="0" fontId="5" fillId="20" borderId="0" xfId="0" applyFont="1" applyFill="1" applyBorder="1"/>
    <xf numFmtId="14" fontId="9" fillId="20" borderId="0" xfId="0" applyNumberFormat="1" applyFont="1" applyFill="1" applyBorder="1" applyAlignment="1">
      <alignment horizontal="center"/>
    </xf>
    <xf numFmtId="14" fontId="2" fillId="0" borderId="0" xfId="0" applyNumberFormat="1" applyFont="1" applyFill="1"/>
    <xf numFmtId="14" fontId="13" fillId="0" borderId="0" xfId="0" applyNumberFormat="1" applyFont="1" applyBorder="1"/>
    <xf numFmtId="169" fontId="5" fillId="0" borderId="0" xfId="0" applyNumberFormat="1" applyFont="1" applyBorder="1"/>
    <xf numFmtId="0" fontId="3" fillId="22" borderId="0" xfId="0" applyFont="1" applyFill="1" applyBorder="1" applyAlignment="1">
      <alignment horizontal="center"/>
    </xf>
    <xf numFmtId="14" fontId="7" fillId="23" borderId="12" xfId="0" applyNumberFormat="1" applyFont="1" applyFill="1" applyBorder="1" applyAlignment="1">
      <alignment horizontal="center"/>
    </xf>
    <xf numFmtId="14" fontId="7" fillId="21" borderId="13" xfId="0" applyNumberFormat="1" applyFont="1" applyFill="1" applyBorder="1" applyAlignment="1">
      <alignment horizontal="center"/>
    </xf>
    <xf numFmtId="0" fontId="12" fillId="20" borderId="0" xfId="0" applyNumberFormat="1" applyFont="1" applyFill="1" applyBorder="1" applyAlignment="1">
      <alignment horizontal="center"/>
    </xf>
    <xf numFmtId="169" fontId="12" fillId="0" borderId="14" xfId="0" applyNumberFormat="1" applyFont="1" applyBorder="1" applyAlignment="1">
      <alignment horizontal="center"/>
    </xf>
    <xf numFmtId="169" fontId="12" fillId="0" borderId="15" xfId="0" applyNumberFormat="1" applyFont="1" applyBorder="1" applyAlignment="1">
      <alignment horizontal="center"/>
    </xf>
    <xf numFmtId="14" fontId="3" fillId="22" borderId="16" xfId="0" applyNumberFormat="1" applyFont="1" applyFill="1" applyBorder="1" applyAlignment="1">
      <alignment horizontal="center"/>
    </xf>
    <xf numFmtId="166" fontId="12" fillId="0" borderId="17" xfId="0" applyNumberFormat="1" applyFont="1" applyBorder="1" applyAlignment="1">
      <alignment horizontal="center"/>
    </xf>
    <xf numFmtId="14" fontId="11" fillId="20" borderId="0" xfId="0" applyNumberFormat="1" applyFont="1" applyFill="1" applyBorder="1" applyAlignment="1">
      <alignment horizontal="left"/>
    </xf>
    <xf numFmtId="49" fontId="5" fillId="20" borderId="0" xfId="0" applyNumberFormat="1" applyFont="1" applyFill="1" applyBorder="1"/>
    <xf numFmtId="169" fontId="5" fillId="0" borderId="0" xfId="0" applyNumberFormat="1" applyFont="1"/>
    <xf numFmtId="49" fontId="11" fillId="20" borderId="0" xfId="0" applyNumberFormat="1" applyFont="1" applyFill="1" applyBorder="1" applyAlignment="1">
      <alignment horizontal="left"/>
    </xf>
    <xf numFmtId="0" fontId="7" fillId="25" borderId="0" xfId="0" applyFont="1" applyFill="1" applyBorder="1" applyAlignment="1">
      <alignment horizontal="center"/>
    </xf>
    <xf numFmtId="14" fontId="7" fillId="26" borderId="0" xfId="0" applyNumberFormat="1" applyFont="1" applyFill="1" applyBorder="1" applyAlignment="1">
      <alignment horizontal="center"/>
    </xf>
    <xf numFmtId="14" fontId="7" fillId="25" borderId="0" xfId="0" applyNumberFormat="1" applyFont="1" applyFill="1" applyBorder="1" applyAlignment="1">
      <alignment horizontal="center"/>
    </xf>
    <xf numFmtId="14" fontId="7" fillId="27" borderId="0" xfId="0" applyNumberFormat="1" applyFont="1" applyFill="1" applyBorder="1" applyAlignment="1">
      <alignment horizontal="center"/>
    </xf>
    <xf numFmtId="169" fontId="7" fillId="27" borderId="0" xfId="0" applyNumberFormat="1" applyFont="1" applyFill="1" applyBorder="1" applyAlignment="1">
      <alignment horizontal="center"/>
    </xf>
    <xf numFmtId="171" fontId="7" fillId="28" borderId="0" xfId="0" applyNumberFormat="1" applyFont="1" applyFill="1" applyBorder="1" applyAlignment="1">
      <alignment horizontal="center"/>
    </xf>
    <xf numFmtId="14" fontId="7" fillId="28" borderId="0" xfId="0" applyNumberFormat="1" applyFont="1" applyFill="1" applyBorder="1" applyAlignment="1">
      <alignment horizontal="center"/>
    </xf>
    <xf numFmtId="169" fontId="7" fillId="28" borderId="0" xfId="0" applyNumberFormat="1" applyFont="1" applyFill="1" applyBorder="1" applyAlignment="1">
      <alignment horizontal="center"/>
    </xf>
    <xf numFmtId="171" fontId="7" fillId="27" borderId="0" xfId="0" applyNumberFormat="1" applyFont="1" applyFill="1" applyBorder="1" applyAlignment="1">
      <alignment horizontal="center"/>
    </xf>
    <xf numFmtId="14" fontId="7" fillId="29" borderId="0" xfId="0" applyNumberFormat="1" applyFont="1" applyFill="1" applyAlignment="1">
      <alignment horizontal="center"/>
    </xf>
    <xf numFmtId="14" fontId="7" fillId="29" borderId="0" xfId="0" applyNumberFormat="1" applyFont="1" applyFill="1" applyBorder="1" applyAlignment="1">
      <alignment horizontal="center"/>
    </xf>
    <xf numFmtId="169" fontId="7" fillId="29" borderId="0" xfId="0" applyNumberFormat="1" applyFont="1" applyFill="1" applyBorder="1" applyAlignment="1">
      <alignment horizontal="center"/>
    </xf>
    <xf numFmtId="167" fontId="7" fillId="29" borderId="0" xfId="0" applyNumberFormat="1" applyFont="1" applyFill="1" applyAlignment="1">
      <alignment horizontal="center"/>
    </xf>
    <xf numFmtId="14" fontId="7" fillId="30" borderId="0" xfId="0" applyNumberFormat="1" applyFont="1" applyFill="1" applyAlignment="1">
      <alignment horizontal="center"/>
    </xf>
    <xf numFmtId="14" fontId="7" fillId="30" borderId="0" xfId="0" applyNumberFormat="1" applyFont="1" applyFill="1" applyBorder="1" applyAlignment="1">
      <alignment horizontal="center"/>
    </xf>
    <xf numFmtId="169" fontId="7" fillId="30" borderId="0" xfId="0" applyNumberFormat="1" applyFont="1" applyFill="1" applyBorder="1" applyAlignment="1">
      <alignment horizontal="center"/>
    </xf>
    <xf numFmtId="167" fontId="7" fillId="30" borderId="0" xfId="0" applyNumberFormat="1" applyFont="1" applyFill="1" applyAlignment="1">
      <alignment horizontal="center"/>
    </xf>
    <xf numFmtId="167" fontId="7" fillId="29" borderId="0" xfId="0" applyNumberFormat="1" applyFont="1" applyFill="1" applyBorder="1" applyAlignment="1">
      <alignment horizontal="center"/>
    </xf>
    <xf numFmtId="0" fontId="24" fillId="0" borderId="18" xfId="0" applyFont="1" applyBorder="1"/>
    <xf numFmtId="0" fontId="24" fillId="0" borderId="0" xfId="0" applyFont="1"/>
    <xf numFmtId="2" fontId="0" fillId="0" borderId="19" xfId="0" applyNumberFormat="1" applyBorder="1" applyAlignment="1">
      <alignment horizontal="center"/>
    </xf>
    <xf numFmtId="2" fontId="0" fillId="0" borderId="19" xfId="23" applyNumberFormat="1" applyFont="1" applyBorder="1" applyAlignment="1">
      <alignment horizontal="center"/>
    </xf>
    <xf numFmtId="2" fontId="0" fillId="0" borderId="0" xfId="0" applyNumberFormat="1"/>
    <xf numFmtId="0" fontId="45" fillId="0" borderId="0" xfId="0" applyFont="1"/>
    <xf numFmtId="0" fontId="24" fillId="0" borderId="2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22" xfId="0" applyFont="1" applyBorder="1" applyAlignment="1">
      <alignment horizontal="center"/>
    </xf>
    <xf numFmtId="2" fontId="0" fillId="0" borderId="0" xfId="23" applyNumberFormat="1" applyFont="1" applyBorder="1"/>
    <xf numFmtId="2" fontId="0" fillId="0" borderId="0" xfId="0" applyNumberFormat="1" applyBorder="1"/>
    <xf numFmtId="14" fontId="11" fillId="20" borderId="23" xfId="0" applyNumberFormat="1" applyFont="1" applyFill="1" applyBorder="1" applyAlignment="1">
      <alignment horizontal="left"/>
    </xf>
    <xf numFmtId="0" fontId="3" fillId="20" borderId="24" xfId="0" applyFont="1" applyFill="1" applyBorder="1" applyAlignment="1">
      <alignment horizontal="center"/>
    </xf>
    <xf numFmtId="0" fontId="3" fillId="20" borderId="25" xfId="0" applyFont="1" applyFill="1" applyBorder="1" applyAlignment="1">
      <alignment horizontal="center"/>
    </xf>
    <xf numFmtId="14" fontId="11" fillId="20" borderId="26" xfId="0" applyNumberFormat="1" applyFont="1" applyFill="1" applyBorder="1" applyAlignment="1">
      <alignment horizontal="left"/>
    </xf>
    <xf numFmtId="0" fontId="5" fillId="20" borderId="25" xfId="0" applyFont="1" applyFill="1" applyBorder="1"/>
    <xf numFmtId="49" fontId="11" fillId="20" borderId="25" xfId="0" applyNumberFormat="1" applyFont="1" applyFill="1" applyBorder="1" applyAlignment="1">
      <alignment horizontal="left"/>
    </xf>
    <xf numFmtId="14" fontId="11" fillId="20" borderId="27" xfId="0" applyNumberFormat="1" applyFont="1" applyFill="1" applyBorder="1" applyAlignment="1">
      <alignment horizontal="center"/>
    </xf>
    <xf numFmtId="14" fontId="11" fillId="20" borderId="28" xfId="0" applyNumberFormat="1" applyFont="1" applyFill="1" applyBorder="1" applyAlignment="1">
      <alignment horizontal="left"/>
    </xf>
    <xf numFmtId="14" fontId="5" fillId="23" borderId="29" xfId="0" applyNumberFormat="1" applyFont="1" applyFill="1" applyBorder="1" applyAlignment="1">
      <alignment horizontal="center"/>
    </xf>
    <xf numFmtId="14" fontId="9" fillId="22" borderId="28" xfId="0" applyNumberFormat="1" applyFont="1" applyFill="1" applyBorder="1" applyAlignment="1">
      <alignment horizontal="center"/>
    </xf>
    <xf numFmtId="14" fontId="3" fillId="22" borderId="30" xfId="0" applyNumberFormat="1" applyFont="1" applyFill="1" applyBorder="1" applyAlignment="1">
      <alignment horizontal="center"/>
    </xf>
    <xf numFmtId="14" fontId="7" fillId="23" borderId="31" xfId="0" applyNumberFormat="1" applyFont="1" applyFill="1" applyBorder="1" applyAlignment="1">
      <alignment horizontal="center"/>
    </xf>
    <xf numFmtId="167" fontId="12" fillId="0" borderId="32" xfId="0" applyNumberFormat="1" applyFont="1" applyBorder="1" applyAlignment="1">
      <alignment horizontal="center"/>
    </xf>
    <xf numFmtId="14" fontId="7" fillId="23" borderId="33" xfId="0" applyNumberFormat="1" applyFont="1" applyFill="1" applyBorder="1" applyAlignment="1">
      <alignment horizontal="center"/>
    </xf>
    <xf numFmtId="14" fontId="7" fillId="21" borderId="34" xfId="0" applyNumberFormat="1" applyFont="1" applyFill="1" applyBorder="1" applyAlignment="1">
      <alignment horizontal="center"/>
    </xf>
    <xf numFmtId="169" fontId="12" fillId="0" borderId="35" xfId="0" applyNumberFormat="1" applyFont="1" applyBorder="1" applyAlignment="1">
      <alignment horizontal="center"/>
    </xf>
    <xf numFmtId="169" fontId="12" fillId="0" borderId="36" xfId="0" applyNumberFormat="1" applyFont="1" applyBorder="1" applyAlignment="1">
      <alignment horizontal="center"/>
    </xf>
    <xf numFmtId="166" fontId="12" fillId="0" borderId="37" xfId="0" applyNumberFormat="1" applyFont="1" applyBorder="1" applyAlignment="1">
      <alignment horizontal="center"/>
    </xf>
    <xf numFmtId="14" fontId="7" fillId="23" borderId="38" xfId="0" applyNumberFormat="1" applyFont="1" applyFill="1" applyBorder="1" applyAlignment="1">
      <alignment horizontal="center"/>
    </xf>
    <xf numFmtId="14" fontId="7" fillId="21" borderId="25" xfId="0" applyNumberFormat="1" applyFont="1" applyFill="1" applyBorder="1" applyAlignment="1">
      <alignment horizontal="center"/>
    </xf>
    <xf numFmtId="167" fontId="12" fillId="0" borderId="39" xfId="0" applyNumberFormat="1" applyFont="1" applyBorder="1" applyAlignment="1">
      <alignment horizontal="center"/>
    </xf>
    <xf numFmtId="2" fontId="24" fillId="31" borderId="40" xfId="0" applyNumberFormat="1" applyFont="1" applyFill="1" applyBorder="1" applyAlignment="1">
      <alignment horizontal="center"/>
    </xf>
    <xf numFmtId="2" fontId="0" fillId="31" borderId="40" xfId="0" applyNumberFormat="1" applyFill="1" applyBorder="1" applyAlignment="1">
      <alignment horizontal="center"/>
    </xf>
    <xf numFmtId="0" fontId="11" fillId="32" borderId="41" xfId="0" applyFont="1" applyFill="1" applyBorder="1"/>
    <xf numFmtId="0" fontId="11" fillId="32" borderId="39" xfId="0" applyFont="1" applyFill="1" applyBorder="1" applyAlignment="1">
      <alignment horizontal="center"/>
    </xf>
    <xf numFmtId="0" fontId="11" fillId="32" borderId="42" xfId="0" applyFont="1" applyFill="1" applyBorder="1"/>
    <xf numFmtId="0" fontId="11" fillId="32" borderId="32" xfId="0" applyFont="1" applyFill="1" applyBorder="1" applyAlignment="1">
      <alignment horizontal="center"/>
    </xf>
    <xf numFmtId="14" fontId="11" fillId="32" borderId="32" xfId="0" applyNumberFormat="1" applyFont="1" applyFill="1" applyBorder="1" applyAlignment="1">
      <alignment horizontal="center"/>
    </xf>
    <xf numFmtId="0" fontId="11" fillId="32" borderId="43" xfId="0" applyFont="1" applyFill="1" applyBorder="1"/>
    <xf numFmtId="14" fontId="11" fillId="32" borderId="44" xfId="0" applyNumberFormat="1" applyFont="1" applyFill="1" applyBorder="1" applyAlignment="1">
      <alignment horizontal="center"/>
    </xf>
    <xf numFmtId="170" fontId="46" fillId="32" borderId="21" xfId="0" applyNumberFormat="1" applyFont="1" applyFill="1" applyBorder="1"/>
    <xf numFmtId="170" fontId="46" fillId="32" borderId="22" xfId="0" applyNumberFormat="1" applyFont="1" applyFill="1" applyBorder="1"/>
    <xf numFmtId="2" fontId="0" fillId="0" borderId="45" xfId="23" applyNumberFormat="1" applyFont="1" applyBorder="1" applyAlignment="1">
      <alignment horizontal="center"/>
    </xf>
    <xf numFmtId="2" fontId="0" fillId="31" borderId="46" xfId="0" applyNumberFormat="1" applyFill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0" fillId="0" borderId="47" xfId="23" applyNumberFormat="1" applyFont="1" applyBorder="1" applyAlignment="1">
      <alignment horizontal="center"/>
    </xf>
    <xf numFmtId="2" fontId="0" fillId="0" borderId="48" xfId="23" applyNumberFormat="1" applyFont="1" applyBorder="1" applyAlignment="1">
      <alignment horizontal="center"/>
    </xf>
    <xf numFmtId="2" fontId="0" fillId="31" borderId="49" xfId="0" applyNumberFormat="1" applyFill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2" fontId="0" fillId="31" borderId="50" xfId="0" applyNumberFormat="1" applyFill="1" applyBorder="1" applyAlignment="1">
      <alignment horizontal="center"/>
    </xf>
    <xf numFmtId="0" fontId="0" fillId="33" borderId="28" xfId="0" applyFill="1" applyBorder="1" applyAlignment="1">
      <alignment horizontal="center"/>
    </xf>
    <xf numFmtId="2" fontId="0" fillId="33" borderId="0" xfId="0" applyNumberFormat="1" applyFill="1" applyBorder="1"/>
    <xf numFmtId="2" fontId="0" fillId="33" borderId="29" xfId="0" applyNumberFormat="1" applyFill="1" applyBorder="1"/>
    <xf numFmtId="0" fontId="45" fillId="31" borderId="28" xfId="0" applyFont="1" applyFill="1" applyBorder="1" applyAlignment="1">
      <alignment horizontal="center"/>
    </xf>
    <xf numFmtId="2" fontId="0" fillId="31" borderId="0" xfId="0" applyNumberFormat="1" applyFill="1" applyBorder="1"/>
    <xf numFmtId="2" fontId="0" fillId="31" borderId="29" xfId="0" applyNumberFormat="1" applyFill="1" applyBorder="1"/>
    <xf numFmtId="2" fontId="0" fillId="31" borderId="28" xfId="0" applyNumberFormat="1" applyFill="1" applyBorder="1"/>
    <xf numFmtId="0" fontId="0" fillId="31" borderId="51" xfId="0" applyFill="1" applyBorder="1"/>
    <xf numFmtId="0" fontId="0" fillId="31" borderId="28" xfId="0" applyFill="1" applyBorder="1"/>
    <xf numFmtId="0" fontId="32" fillId="31" borderId="0" xfId="0" applyFont="1" applyFill="1" applyBorder="1" applyAlignment="1">
      <alignment horizontal="center"/>
    </xf>
    <xf numFmtId="0" fontId="32" fillId="31" borderId="29" xfId="0" applyFont="1" applyFill="1" applyBorder="1" applyAlignment="1">
      <alignment horizontal="center"/>
    </xf>
    <xf numFmtId="0" fontId="32" fillId="31" borderId="28" xfId="0" applyFont="1" applyFill="1" applyBorder="1" applyAlignment="1">
      <alignment horizontal="center"/>
    </xf>
    <xf numFmtId="14" fontId="11" fillId="0" borderId="0" xfId="0" applyNumberFormat="1" applyFont="1" applyFill="1" applyBorder="1" applyAlignment="1">
      <alignment horizontal="center"/>
    </xf>
    <xf numFmtId="170" fontId="45" fillId="32" borderId="20" xfId="0" applyNumberFormat="1" applyFont="1" applyFill="1" applyBorder="1"/>
    <xf numFmtId="170" fontId="45" fillId="32" borderId="21" xfId="0" applyNumberFormat="1" applyFont="1" applyFill="1" applyBorder="1"/>
    <xf numFmtId="170" fontId="45" fillId="32" borderId="22" xfId="0" applyNumberFormat="1" applyFont="1" applyFill="1" applyBorder="1"/>
    <xf numFmtId="2" fontId="0" fillId="34" borderId="0" xfId="0" applyNumberFormat="1" applyFill="1" applyAlignment="1" applyProtection="1">
      <alignment horizontal="center"/>
      <protection locked="0"/>
    </xf>
    <xf numFmtId="0" fontId="0" fillId="34" borderId="0" xfId="0" applyFill="1" applyAlignment="1" applyProtection="1">
      <alignment horizontal="center"/>
      <protection locked="0"/>
    </xf>
    <xf numFmtId="2" fontId="0" fillId="34" borderId="52" xfId="0" applyNumberFormat="1" applyFill="1" applyBorder="1" applyAlignment="1" applyProtection="1">
      <alignment horizontal="center"/>
      <protection locked="0"/>
    </xf>
    <xf numFmtId="0" fontId="9" fillId="20" borderId="53" xfId="0" applyFont="1" applyFill="1" applyBorder="1"/>
    <xf numFmtId="0" fontId="7" fillId="23" borderId="54" xfId="0" applyFont="1" applyFill="1" applyBorder="1" applyAlignment="1">
      <alignment horizontal="center"/>
    </xf>
    <xf numFmtId="0" fontId="9" fillId="20" borderId="55" xfId="0" applyFont="1" applyFill="1" applyBorder="1"/>
    <xf numFmtId="0" fontId="7" fillId="23" borderId="56" xfId="0" applyFont="1" applyFill="1" applyBorder="1" applyAlignment="1">
      <alignment horizontal="center"/>
    </xf>
    <xf numFmtId="14" fontId="7" fillId="23" borderId="56" xfId="0" applyNumberFormat="1" applyFont="1" applyFill="1" applyBorder="1" applyAlignment="1">
      <alignment horizontal="center"/>
    </xf>
    <xf numFmtId="0" fontId="9" fillId="20" borderId="57" xfId="0" applyFont="1" applyFill="1" applyBorder="1"/>
    <xf numFmtId="171" fontId="7" fillId="21" borderId="58" xfId="0" applyNumberFormat="1" applyFont="1" applyFill="1" applyBorder="1" applyAlignment="1">
      <alignment horizontal="center"/>
    </xf>
    <xf numFmtId="0" fontId="32" fillId="31" borderId="59" xfId="0" applyFont="1" applyFill="1" applyBorder="1" applyAlignment="1">
      <alignment horizontal="centerContinuous"/>
    </xf>
    <xf numFmtId="0" fontId="32" fillId="31" borderId="60" xfId="0" applyFont="1" applyFill="1" applyBorder="1" applyAlignment="1">
      <alignment horizontal="centerContinuous"/>
    </xf>
    <xf numFmtId="168" fontId="0" fillId="0" borderId="0" xfId="0" applyNumberFormat="1"/>
    <xf numFmtId="0" fontId="36" fillId="0" borderId="0" xfId="34" applyFont="1"/>
    <xf numFmtId="0" fontId="24" fillId="0" borderId="0" xfId="34"/>
    <xf numFmtId="0" fontId="37" fillId="0" borderId="0" xfId="34" applyFont="1"/>
    <xf numFmtId="0" fontId="35" fillId="0" borderId="0" xfId="34" applyFont="1"/>
    <xf numFmtId="0" fontId="24" fillId="0" borderId="0" xfId="34" applyFont="1"/>
    <xf numFmtId="0" fontId="34" fillId="0" borderId="0" xfId="34" applyFont="1"/>
    <xf numFmtId="0" fontId="39" fillId="0" borderId="0" xfId="34" applyFont="1"/>
    <xf numFmtId="0" fontId="40" fillId="0" borderId="0" xfId="34" applyFont="1"/>
    <xf numFmtId="0" fontId="41" fillId="0" borderId="0" xfId="34" applyFont="1" applyAlignment="1">
      <alignment horizontal="centerContinuous"/>
    </xf>
    <xf numFmtId="0" fontId="24" fillId="0" borderId="0" xfId="34" applyAlignment="1">
      <alignment horizontal="centerContinuous"/>
    </xf>
    <xf numFmtId="0" fontId="32" fillId="0" borderId="0" xfId="34" applyFont="1" applyAlignment="1">
      <alignment horizontal="centerContinuous"/>
    </xf>
    <xf numFmtId="0" fontId="41" fillId="0" borderId="0" xfId="34" applyFont="1"/>
    <xf numFmtId="0" fontId="33" fillId="0" borderId="0" xfId="34" applyFont="1"/>
    <xf numFmtId="0" fontId="47" fillId="0" borderId="0" xfId="34" applyFont="1"/>
    <xf numFmtId="0" fontId="48" fillId="0" borderId="0" xfId="34" applyFont="1"/>
    <xf numFmtId="0" fontId="49" fillId="0" borderId="0" xfId="34" applyFont="1"/>
    <xf numFmtId="0" fontId="50" fillId="0" borderId="0" xfId="34" applyFont="1"/>
    <xf numFmtId="0" fontId="5" fillId="0" borderId="61" xfId="0" applyFont="1" applyFill="1" applyBorder="1" applyAlignment="1">
      <alignment horizontal="left"/>
    </xf>
    <xf numFmtId="49" fontId="51" fillId="35" borderId="62" xfId="0" applyNumberFormat="1" applyFont="1" applyFill="1" applyBorder="1"/>
    <xf numFmtId="0" fontId="32" fillId="36" borderId="63" xfId="0" applyFont="1" applyFill="1" applyBorder="1" applyAlignment="1">
      <alignment horizontal="centerContinuous"/>
    </xf>
    <xf numFmtId="2" fontId="24" fillId="31" borderId="28" xfId="0" applyNumberFormat="1" applyFont="1" applyFill="1" applyBorder="1"/>
    <xf numFmtId="0" fontId="52" fillId="0" borderId="0" xfId="0" applyFont="1" applyFill="1" applyBorder="1"/>
    <xf numFmtId="0" fontId="53" fillId="0" borderId="0" xfId="0" applyFont="1"/>
    <xf numFmtId="0" fontId="0" fillId="0" borderId="0" xfId="0" applyAlignment="1">
      <alignment horizontal="left"/>
    </xf>
    <xf numFmtId="0" fontId="24" fillId="0" borderId="0" xfId="0" applyFont="1" applyAlignment="1">
      <alignment horizontal="left"/>
    </xf>
    <xf numFmtId="0" fontId="5" fillId="37" borderId="64" xfId="0" applyFont="1" applyFill="1" applyBorder="1"/>
    <xf numFmtId="166" fontId="12" fillId="0" borderId="65" xfId="0" applyNumberFormat="1" applyFont="1" applyBorder="1" applyAlignment="1">
      <alignment horizontal="center"/>
    </xf>
    <xf numFmtId="14" fontId="7" fillId="23" borderId="66" xfId="0" applyNumberFormat="1" applyFont="1" applyFill="1" applyBorder="1" applyAlignment="1">
      <alignment horizontal="center"/>
    </xf>
    <xf numFmtId="169" fontId="12" fillId="0" borderId="67" xfId="0" applyNumberFormat="1" applyFont="1" applyBorder="1" applyAlignment="1">
      <alignment horizontal="center"/>
    </xf>
    <xf numFmtId="169" fontId="12" fillId="0" borderId="9" xfId="0" applyNumberFormat="1" applyFont="1" applyBorder="1" applyAlignment="1">
      <alignment horizontal="center"/>
    </xf>
    <xf numFmtId="167" fontId="12" fillId="0" borderId="68" xfId="0" applyNumberFormat="1" applyFont="1" applyBorder="1" applyAlignment="1">
      <alignment horizontal="center"/>
    </xf>
    <xf numFmtId="14" fontId="7" fillId="23" borderId="69" xfId="0" applyNumberFormat="1" applyFont="1" applyFill="1" applyBorder="1" applyAlignment="1">
      <alignment horizontal="center"/>
    </xf>
    <xf numFmtId="169" fontId="12" fillId="0" borderId="70" xfId="0" applyNumberFormat="1" applyFont="1" applyBorder="1" applyAlignment="1">
      <alignment horizontal="center"/>
    </xf>
    <xf numFmtId="169" fontId="12" fillId="0" borderId="71" xfId="0" applyNumberFormat="1" applyFont="1" applyBorder="1" applyAlignment="1">
      <alignment horizontal="center"/>
    </xf>
    <xf numFmtId="167" fontId="12" fillId="0" borderId="72" xfId="0" applyNumberFormat="1" applyFont="1" applyBorder="1" applyAlignment="1">
      <alignment horizontal="center"/>
    </xf>
    <xf numFmtId="14" fontId="7" fillId="23" borderId="73" xfId="0" applyNumberFormat="1" applyFont="1" applyFill="1" applyBorder="1" applyAlignment="1">
      <alignment horizontal="center"/>
    </xf>
    <xf numFmtId="14" fontId="7" fillId="21" borderId="74" xfId="0" applyNumberFormat="1" applyFont="1" applyFill="1" applyBorder="1" applyAlignment="1">
      <alignment horizontal="center"/>
    </xf>
    <xf numFmtId="14" fontId="7" fillId="21" borderId="75" xfId="0" applyNumberFormat="1" applyFont="1" applyFill="1" applyBorder="1" applyAlignment="1">
      <alignment horizontal="center"/>
    </xf>
    <xf numFmtId="169" fontId="12" fillId="0" borderId="76" xfId="0" applyNumberFormat="1" applyFont="1" applyBorder="1" applyAlignment="1">
      <alignment horizontal="center"/>
    </xf>
    <xf numFmtId="169" fontId="12" fillId="0" borderId="77" xfId="0" applyNumberFormat="1" applyFont="1" applyBorder="1" applyAlignment="1">
      <alignment horizontal="center"/>
    </xf>
    <xf numFmtId="167" fontId="12" fillId="0" borderId="44" xfId="0" applyNumberFormat="1" applyFont="1" applyBorder="1" applyAlignment="1">
      <alignment horizontal="center"/>
    </xf>
    <xf numFmtId="14" fontId="7" fillId="23" borderId="78" xfId="0" applyNumberFormat="1" applyFont="1" applyFill="1" applyBorder="1" applyAlignment="1">
      <alignment horizontal="center"/>
    </xf>
    <xf numFmtId="14" fontId="7" fillId="23" borderId="79" xfId="0" applyNumberFormat="1" applyFont="1" applyFill="1" applyBorder="1" applyAlignment="1">
      <alignment horizontal="center"/>
    </xf>
    <xf numFmtId="166" fontId="12" fillId="0" borderId="80" xfId="0" applyNumberFormat="1" applyFont="1" applyBorder="1" applyAlignment="1">
      <alignment horizontal="center"/>
    </xf>
    <xf numFmtId="166" fontId="12" fillId="0" borderId="39" xfId="0" applyNumberFormat="1" applyFont="1" applyBorder="1" applyAlignment="1">
      <alignment horizontal="center"/>
    </xf>
    <xf numFmtId="166" fontId="12" fillId="0" borderId="32" xfId="0" applyNumberFormat="1" applyFont="1" applyBorder="1" applyAlignment="1">
      <alignment horizontal="center"/>
    </xf>
    <xf numFmtId="166" fontId="12" fillId="0" borderId="44" xfId="0" applyNumberFormat="1" applyFont="1" applyBorder="1" applyAlignment="1">
      <alignment horizontal="center"/>
    </xf>
    <xf numFmtId="0" fontId="45" fillId="34" borderId="0" xfId="0" applyFont="1" applyFill="1"/>
    <xf numFmtId="0" fontId="54" fillId="31" borderId="28" xfId="44" applyFill="1" applyBorder="1" applyAlignment="1">
      <alignment horizontal="center"/>
    </xf>
    <xf numFmtId="2" fontId="7" fillId="27" borderId="0" xfId="0" applyNumberFormat="1" applyFont="1" applyFill="1" applyBorder="1" applyAlignment="1">
      <alignment horizontal="center"/>
    </xf>
    <xf numFmtId="2" fontId="7" fillId="28" borderId="0" xfId="0" applyNumberFormat="1" applyFont="1" applyFill="1" applyBorder="1" applyAlignment="1">
      <alignment horizontal="center"/>
    </xf>
    <xf numFmtId="171" fontId="7" fillId="27" borderId="0" xfId="0" applyNumberFormat="1" applyFont="1" applyFill="1" applyBorder="1" applyAlignment="1">
      <alignment horizontal="left"/>
    </xf>
    <xf numFmtId="171" fontId="7" fillId="28" borderId="0" xfId="0" applyNumberFormat="1" applyFont="1" applyFill="1" applyBorder="1" applyAlignment="1">
      <alignment horizontal="left"/>
    </xf>
    <xf numFmtId="167" fontId="7" fillId="30" borderId="0" xfId="0" applyNumberFormat="1" applyFont="1" applyFill="1" applyBorder="1" applyAlignment="1">
      <alignment horizontal="center"/>
    </xf>
    <xf numFmtId="14" fontId="7" fillId="0" borderId="0" xfId="0" quotePrefix="1" applyNumberFormat="1" applyFont="1" applyFill="1" applyBorder="1" applyAlignment="1">
      <alignment horizontal="center"/>
    </xf>
    <xf numFmtId="0" fontId="7" fillId="0" borderId="0" xfId="0" quotePrefix="1" applyFont="1" applyFill="1" applyBorder="1" applyAlignment="1">
      <alignment horizontal="center"/>
    </xf>
    <xf numFmtId="0" fontId="32" fillId="31" borderId="60" xfId="0" applyFont="1" applyFill="1" applyBorder="1" applyAlignment="1">
      <alignment horizontal="center"/>
    </xf>
    <xf numFmtId="0" fontId="32" fillId="31" borderId="63" xfId="0" applyFont="1" applyFill="1" applyBorder="1" applyAlignment="1">
      <alignment horizontal="center"/>
    </xf>
    <xf numFmtId="0" fontId="32" fillId="31" borderId="59" xfId="0" applyFont="1" applyFill="1" applyBorder="1" applyAlignment="1">
      <alignment horizontal="center"/>
    </xf>
    <xf numFmtId="0" fontId="3" fillId="20" borderId="81" xfId="0" applyFont="1" applyFill="1" applyBorder="1" applyAlignment="1">
      <alignment horizontal="center"/>
    </xf>
    <xf numFmtId="0" fontId="8" fillId="24" borderId="82" xfId="0" applyFont="1" applyFill="1" applyBorder="1" applyAlignment="1">
      <alignment horizontal="center"/>
    </xf>
    <xf numFmtId="0" fontId="8" fillId="24" borderId="83" xfId="0" applyFont="1" applyFill="1" applyBorder="1" applyAlignment="1">
      <alignment horizontal="center"/>
    </xf>
  </cellXfs>
  <cellStyles count="45">
    <cellStyle name="20% - Énfasis1" xfId="1"/>
    <cellStyle name="20% - Énfasis2" xfId="2"/>
    <cellStyle name="20% - Énfasis3" xfId="3"/>
    <cellStyle name="20% - Énfasis4" xfId="4"/>
    <cellStyle name="20% - Énfasis5" xfId="5"/>
    <cellStyle name="20% - Énfasis6" xfId="6"/>
    <cellStyle name="40% - Énfasis1" xfId="7"/>
    <cellStyle name="40% - Énfasis2" xfId="8"/>
    <cellStyle name="40% - Énfasis3" xfId="9"/>
    <cellStyle name="40% - Énfasis4" xfId="10"/>
    <cellStyle name="40% - Énfasis5" xfId="11"/>
    <cellStyle name="40% - Énfasis6" xfId="12"/>
    <cellStyle name="60% - Énfasis1" xfId="13"/>
    <cellStyle name="60% - Énfasis2" xfId="14"/>
    <cellStyle name="60% - Énfasis3" xfId="15"/>
    <cellStyle name="60% - Énfasis4" xfId="16"/>
    <cellStyle name="60% - Énfasis5" xfId="17"/>
    <cellStyle name="60% - Énfasis6" xfId="18"/>
    <cellStyle name="Buena" xfId="19"/>
    <cellStyle name="Cálculo" xfId="20"/>
    <cellStyle name="Celda de comprobación" xfId="21"/>
    <cellStyle name="Celda vinculada" xfId="22"/>
    <cellStyle name="Comma" xfId="23" builtinId="3"/>
    <cellStyle name="Encabezado 4" xfId="24"/>
    <cellStyle name="Énfasis1" xfId="25"/>
    <cellStyle name="Énfasis2" xfId="26"/>
    <cellStyle name="Énfasis3" xfId="27"/>
    <cellStyle name="Énfasis4" xfId="28"/>
    <cellStyle name="Énfasis5" xfId="29"/>
    <cellStyle name="Énfasis6" xfId="30"/>
    <cellStyle name="Entrada" xfId="31"/>
    <cellStyle name="Hyperlink" xfId="44" builtinId="8"/>
    <cellStyle name="Incorrecto" xfId="32"/>
    <cellStyle name="Neutral" xfId="33" builtinId="28" customBuiltin="1"/>
    <cellStyle name="Normal" xfId="0" builtinId="0"/>
    <cellStyle name="Normal 2" xfId="34"/>
    <cellStyle name="Notas" xfId="35"/>
    <cellStyle name="Salida" xfId="36"/>
    <cellStyle name="Texto de advertencia" xfId="37"/>
    <cellStyle name="Texto explicativo" xfId="38"/>
    <cellStyle name="Título" xfId="39"/>
    <cellStyle name="Título 1" xfId="40"/>
    <cellStyle name="Título 2" xfId="41"/>
    <cellStyle name="Título 3" xfId="42"/>
    <cellStyle name="Total" xfId="43" builtinId="25" customBuiltin="1"/>
  </cellStyles>
  <dxfs count="39">
    <dxf>
      <fill>
        <patternFill>
          <bgColor indexed="11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0"/>
        </patternFill>
      </fill>
    </dxf>
    <dxf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F79646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DD5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BC4D10"/>
      <rgbColor rgb="00FAC090"/>
      <rgbColor rgb="00FCD5B4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26284111629631"/>
          <c:y val="0.10248695996041807"/>
          <c:w val="0.83282133695954508"/>
          <c:h val="0.85074217682717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Rolldown!$K$13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Rolldown!$C$14:$C$31</c:f>
              <c:strCache>
                <c:ptCount val="18"/>
                <c:pt idx="0">
                  <c:v>0.25Y</c:v>
                </c:pt>
                <c:pt idx="1">
                  <c:v>0.5Y</c:v>
                </c:pt>
                <c:pt idx="2">
                  <c:v>0.75Y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</c:strCache>
            </c:strRef>
          </c:cat>
          <c:val>
            <c:numRef>
              <c:f>Rolldown!$K$14:$K$31</c:f>
              <c:numCache>
                <c:formatCode>0.00</c:formatCode>
                <c:ptCount val="18"/>
                <c:pt idx="1">
                  <c:v>-17.146806724219754</c:v>
                </c:pt>
                <c:pt idx="2">
                  <c:v>-12.606671118691359</c:v>
                </c:pt>
                <c:pt idx="3">
                  <c:v>-11.194680472253804</c:v>
                </c:pt>
                <c:pt idx="4">
                  <c:v>0.26026114525894428</c:v>
                </c:pt>
                <c:pt idx="5">
                  <c:v>-1.1403736708653689</c:v>
                </c:pt>
                <c:pt idx="6">
                  <c:v>-0.48503823070387142</c:v>
                </c:pt>
                <c:pt idx="7">
                  <c:v>0.46635548479345701</c:v>
                </c:pt>
                <c:pt idx="8">
                  <c:v>1.1370778375233037</c:v>
                </c:pt>
                <c:pt idx="9">
                  <c:v>0.92583096407556909</c:v>
                </c:pt>
                <c:pt idx="10">
                  <c:v>3.54130299877502</c:v>
                </c:pt>
                <c:pt idx="11">
                  <c:v>-0.33545724089272255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Rolldown!$L$13</c:f>
              <c:strCache>
                <c:ptCount val="1"/>
                <c:pt idx="0">
                  <c:v>Roll Down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Rolldown!$C$14:$C$31</c:f>
              <c:strCache>
                <c:ptCount val="18"/>
                <c:pt idx="0">
                  <c:v>0.25Y</c:v>
                </c:pt>
                <c:pt idx="1">
                  <c:v>0.5Y</c:v>
                </c:pt>
                <c:pt idx="2">
                  <c:v>0.75Y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</c:strCache>
            </c:strRef>
          </c:cat>
          <c:val>
            <c:numRef>
              <c:f>Rolldown!$L$14:$L$31</c:f>
              <c:numCache>
                <c:formatCode>0.00</c:formatCode>
                <c:ptCount val="18"/>
                <c:pt idx="1">
                  <c:v>-10.902313423645271</c:v>
                </c:pt>
                <c:pt idx="2">
                  <c:v>-2.0730339265851327</c:v>
                </c:pt>
                <c:pt idx="3">
                  <c:v>-2.8559832867144586</c:v>
                </c:pt>
                <c:pt idx="4">
                  <c:v>-0.92949854002561949</c:v>
                </c:pt>
                <c:pt idx="5">
                  <c:v>3.1598419671886369</c:v>
                </c:pt>
                <c:pt idx="6">
                  <c:v>3.4394953214073709</c:v>
                </c:pt>
                <c:pt idx="7">
                  <c:v>2.604699656343179</c:v>
                </c:pt>
                <c:pt idx="8">
                  <c:v>2.2471228329540516</c:v>
                </c:pt>
                <c:pt idx="9">
                  <c:v>2.2495765548148583</c:v>
                </c:pt>
                <c:pt idx="10">
                  <c:v>1.7247692097054568</c:v>
                </c:pt>
                <c:pt idx="11">
                  <c:v>3.9550631625074217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724992"/>
        <c:axId val="428726528"/>
      </c:barChart>
      <c:catAx>
        <c:axId val="4287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726528"/>
        <c:crosses val="autoZero"/>
        <c:auto val="1"/>
        <c:lblAlgn val="ctr"/>
        <c:lblOffset val="100"/>
        <c:noMultiLvlLbl val="0"/>
      </c:catAx>
      <c:valAx>
        <c:axId val="4287265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" sourceLinked="1"/>
        <c:majorTickMark val="out"/>
        <c:minorTickMark val="none"/>
        <c:tickLblPos val="nextTo"/>
        <c:crossAx val="428724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414693883858207"/>
          <c:y val="0.13134538676400012"/>
          <c:w val="0.39547134733158351"/>
          <c:h val="7.947142023913676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Up Front carry and roll (TIIE swap  receiver, in bps/3mo)</a:t>
            </a:r>
          </a:p>
        </c:rich>
      </c:tx>
      <c:layout>
        <c:manualLayout>
          <c:xMode val="edge"/>
          <c:yMode val="edge"/>
          <c:x val="9.2539898108590257E-2"/>
          <c:y val="3.541666795773797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956999266861829E-2"/>
          <c:y val="0.12251554425962391"/>
          <c:w val="0.89233747010248199"/>
          <c:h val="0.753100099259950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Rolldown!$K$13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rgbClr val="FF7C00"/>
            </a:solidFill>
          </c:spPr>
          <c:invertIfNegative val="0"/>
          <c:dLbls>
            <c:numFmt formatCode="#,##0.0" sourceLinked="0"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Rolldown!$C$14:$C$31</c:f>
              <c:strCache>
                <c:ptCount val="18"/>
                <c:pt idx="0">
                  <c:v>0.25Y</c:v>
                </c:pt>
                <c:pt idx="1">
                  <c:v>0.5Y</c:v>
                </c:pt>
                <c:pt idx="2">
                  <c:v>0.75Y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</c:strCache>
            </c:strRef>
          </c:cat>
          <c:val>
            <c:numRef>
              <c:f>Rolldown!$K$14:$K$31</c:f>
              <c:numCache>
                <c:formatCode>0.00</c:formatCode>
                <c:ptCount val="18"/>
                <c:pt idx="1">
                  <c:v>-17.146806724219754</c:v>
                </c:pt>
                <c:pt idx="2">
                  <c:v>-12.606671118691359</c:v>
                </c:pt>
                <c:pt idx="3">
                  <c:v>-11.194680472253804</c:v>
                </c:pt>
                <c:pt idx="4">
                  <c:v>0.26026114525894428</c:v>
                </c:pt>
                <c:pt idx="5">
                  <c:v>-1.1403736708653689</c:v>
                </c:pt>
                <c:pt idx="6">
                  <c:v>-0.48503823070387142</c:v>
                </c:pt>
                <c:pt idx="7">
                  <c:v>0.46635548479345701</c:v>
                </c:pt>
                <c:pt idx="8">
                  <c:v>1.1370778375233037</c:v>
                </c:pt>
                <c:pt idx="9">
                  <c:v>0.92583096407556909</c:v>
                </c:pt>
                <c:pt idx="10">
                  <c:v>3.54130299877502</c:v>
                </c:pt>
                <c:pt idx="11">
                  <c:v>-0.33545724089272255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Rolldown!$L$13</c:f>
              <c:strCache>
                <c:ptCount val="1"/>
                <c:pt idx="0">
                  <c:v>Roll Down</c:v>
                </c:pt>
              </c:strCache>
            </c:strRef>
          </c:tx>
          <c:spPr>
            <a:solidFill>
              <a:srgbClr val="045ABE"/>
            </a:solidFill>
          </c:spPr>
          <c:invertIfNegative val="0"/>
          <c:dLbls>
            <c:numFmt formatCode="#,##0.0" sourceLinked="0"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Rolldown!$C$14:$C$31</c:f>
              <c:strCache>
                <c:ptCount val="18"/>
                <c:pt idx="0">
                  <c:v>0.25Y</c:v>
                </c:pt>
                <c:pt idx="1">
                  <c:v>0.5Y</c:v>
                </c:pt>
                <c:pt idx="2">
                  <c:v>0.75Y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</c:strCache>
            </c:strRef>
          </c:cat>
          <c:val>
            <c:numRef>
              <c:f>Rolldown!$L$14:$L$31</c:f>
              <c:numCache>
                <c:formatCode>0.00</c:formatCode>
                <c:ptCount val="18"/>
                <c:pt idx="1">
                  <c:v>-10.902313423645271</c:v>
                </c:pt>
                <c:pt idx="2">
                  <c:v>-2.0730339265851327</c:v>
                </c:pt>
                <c:pt idx="3">
                  <c:v>-2.8559832867144586</c:v>
                </c:pt>
                <c:pt idx="4">
                  <c:v>-0.92949854002561949</c:v>
                </c:pt>
                <c:pt idx="5">
                  <c:v>3.1598419671886369</c:v>
                </c:pt>
                <c:pt idx="6">
                  <c:v>3.4394953214073709</c:v>
                </c:pt>
                <c:pt idx="7">
                  <c:v>2.604699656343179</c:v>
                </c:pt>
                <c:pt idx="8">
                  <c:v>2.2471228329540516</c:v>
                </c:pt>
                <c:pt idx="9">
                  <c:v>2.2495765548148583</c:v>
                </c:pt>
                <c:pt idx="10">
                  <c:v>1.7247692097054568</c:v>
                </c:pt>
                <c:pt idx="11">
                  <c:v>3.9550631625074217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29616128"/>
        <c:axId val="429631360"/>
      </c:barChart>
      <c:scatterChart>
        <c:scatterStyle val="lineMarker"/>
        <c:varyColors val="0"/>
        <c:ser>
          <c:idx val="2"/>
          <c:order val="2"/>
          <c:tx>
            <c:strRef>
              <c:f>Rolldown!$M$13</c:f>
              <c:strCache>
                <c:ptCount val="1"/>
                <c:pt idx="0">
                  <c:v>Total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9D019"/>
              </a:solidFill>
              <a:ln w="15875">
                <a:solidFill>
                  <a:schemeClr val="tx1"/>
                </a:solidFill>
              </a:ln>
            </c:spPr>
          </c:marker>
          <c:dLbls>
            <c:numFmt formatCode="#,##0.0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strRef>
              <c:f>Rolldown!$C$14:$C$31</c:f>
              <c:strCache>
                <c:ptCount val="18"/>
                <c:pt idx="0">
                  <c:v>0.25Y</c:v>
                </c:pt>
                <c:pt idx="1">
                  <c:v>0.5Y</c:v>
                </c:pt>
                <c:pt idx="2">
                  <c:v>0.75Y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</c:strCache>
            </c:strRef>
          </c:xVal>
          <c:yVal>
            <c:numRef>
              <c:f>Rolldown!$M$14:$M$31</c:f>
              <c:numCache>
                <c:formatCode>0.00</c:formatCode>
                <c:ptCount val="18"/>
                <c:pt idx="1">
                  <c:v>-28.049120147865025</c:v>
                </c:pt>
                <c:pt idx="2">
                  <c:v>-14.679705045276492</c:v>
                </c:pt>
                <c:pt idx="3">
                  <c:v>-14.050663758968263</c:v>
                </c:pt>
                <c:pt idx="4">
                  <c:v>-0.66923739476667521</c:v>
                </c:pt>
                <c:pt idx="5">
                  <c:v>2.019468296323268</c:v>
                </c:pt>
                <c:pt idx="6">
                  <c:v>2.9544570907034995</c:v>
                </c:pt>
                <c:pt idx="7">
                  <c:v>3.071055141136636</c:v>
                </c:pt>
                <c:pt idx="8">
                  <c:v>3.3842006704773553</c:v>
                </c:pt>
                <c:pt idx="9">
                  <c:v>3.1754075188904274</c:v>
                </c:pt>
                <c:pt idx="10">
                  <c:v>5.2660722084804767</c:v>
                </c:pt>
                <c:pt idx="11">
                  <c:v>3.6196059216146992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35072"/>
        <c:axId val="429633536"/>
      </c:scatterChart>
      <c:catAx>
        <c:axId val="429616128"/>
        <c:scaling>
          <c:orientation val="minMax"/>
        </c:scaling>
        <c:delete val="0"/>
        <c:axPos val="b"/>
        <c:numFmt formatCode="0.00&quot;Y&quot;" sourceLinked="1"/>
        <c:majorTickMark val="none"/>
        <c:minorTickMark val="none"/>
        <c:tickLblPos val="low"/>
        <c:crossAx val="429631360"/>
        <c:crosses val="autoZero"/>
        <c:auto val="1"/>
        <c:lblAlgn val="ctr"/>
        <c:lblOffset val="100"/>
        <c:noMultiLvlLbl val="0"/>
      </c:catAx>
      <c:valAx>
        <c:axId val="429631360"/>
        <c:scaling>
          <c:orientation val="minMax"/>
          <c:min val="-3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[bp]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429616128"/>
        <c:crosses val="autoZero"/>
        <c:crossBetween val="between"/>
      </c:valAx>
      <c:valAx>
        <c:axId val="429633536"/>
        <c:scaling>
          <c:orientation val="minMax"/>
          <c:min val="-30"/>
        </c:scaling>
        <c:delete val="0"/>
        <c:axPos val="r"/>
        <c:numFmt formatCode="0" sourceLinked="0"/>
        <c:majorTickMark val="out"/>
        <c:minorTickMark val="none"/>
        <c:tickLblPos val="nextTo"/>
        <c:crossAx val="429635072"/>
        <c:crosses val="max"/>
        <c:crossBetween val="midCat"/>
      </c:valAx>
      <c:valAx>
        <c:axId val="429635072"/>
        <c:scaling>
          <c:orientation val="minMax"/>
        </c:scaling>
        <c:delete val="1"/>
        <c:axPos val="b"/>
        <c:majorTickMark val="out"/>
        <c:minorTickMark val="none"/>
        <c:tickLblPos val="nextTo"/>
        <c:crossAx val="429633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1922901674830376"/>
          <c:y val="0.76716523738015552"/>
          <c:w val="0.5117015173247903"/>
          <c:h val="8.5116590226727143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3.jpe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2</xdr:row>
      <xdr:rowOff>31296</xdr:rowOff>
    </xdr:from>
    <xdr:to>
      <xdr:col>14</xdr:col>
      <xdr:colOff>552450</xdr:colOff>
      <xdr:row>4</xdr:row>
      <xdr:rowOff>43996</xdr:rowOff>
    </xdr:to>
    <xdr:sp macro="" textlink="">
      <xdr:nvSpPr>
        <xdr:cNvPr id="6" name="com_bar"/>
        <xdr:cNvSpPr>
          <a:spLocks noChangeArrowheads="1"/>
        </xdr:cNvSpPr>
      </xdr:nvSpPr>
      <xdr:spPr bwMode="auto">
        <a:xfrm>
          <a:off x="1362075" y="355146"/>
          <a:ext cx="9991725" cy="33655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>
                <a:alpha val="74001"/>
              </a:srgbClr>
            </a:gs>
          </a:gsLst>
          <a:lin ang="0" scaled="1"/>
        </a:gra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chemeClr val="bg1"/>
              </a:solidFill>
              <a:latin typeface="+mn-lt"/>
            </a:rPr>
            <a:t>Rates</a:t>
          </a:r>
        </a:p>
      </xdr:txBody>
    </xdr:sp>
    <xdr:clientData/>
  </xdr:twoCellAnchor>
  <xdr:twoCellAnchor editAs="oneCell">
    <xdr:from>
      <xdr:col>1</xdr:col>
      <xdr:colOff>19050</xdr:colOff>
      <xdr:row>2</xdr:row>
      <xdr:rowOff>57150</xdr:rowOff>
    </xdr:from>
    <xdr:to>
      <xdr:col>2</xdr:col>
      <xdr:colOff>381000</xdr:colOff>
      <xdr:row>4</xdr:row>
      <xdr:rowOff>76200</xdr:rowOff>
    </xdr:to>
    <xdr:pic>
      <xdr:nvPicPr>
        <xdr:cNvPr id="2828" name="Picture 20" descr="whitebb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0"/>
          <a:ext cx="1228725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7</xdr:row>
          <xdr:rowOff>152400</xdr:rowOff>
        </xdr:from>
        <xdr:to>
          <xdr:col>5</xdr:col>
          <xdr:colOff>771525</xdr:colOff>
          <xdr:row>10</xdr:row>
          <xdr:rowOff>0</xdr:rowOff>
        </xdr:to>
        <xdr:sp macro="" textlink="">
          <xdr:nvSpPr>
            <xdr:cNvPr id="2250" name="CommandButton2" hidden="1">
              <a:extLst>
                <a:ext uri="{63B3BB69-23CF-44E3-9099-C40C66FF867C}">
                  <a14:compatExt spid="_x0000_s2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28575</xdr:rowOff>
        </xdr:from>
        <xdr:to>
          <xdr:col>2</xdr:col>
          <xdr:colOff>581025</xdr:colOff>
          <xdr:row>2</xdr:row>
          <xdr:rowOff>9525</xdr:rowOff>
        </xdr:to>
        <xdr:sp macro="" textlink="">
          <xdr:nvSpPr>
            <xdr:cNvPr id="2538" name="btnMain" hidden="1">
              <a:extLst>
                <a:ext uri="{63B3BB69-23CF-44E3-9099-C40C66FF867C}">
                  <a14:compatExt spid="_x0000_s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38100</xdr:rowOff>
    </xdr:from>
    <xdr:to>
      <xdr:col>1</xdr:col>
      <xdr:colOff>771525</xdr:colOff>
      <xdr:row>4</xdr:row>
      <xdr:rowOff>114300</xdr:rowOff>
    </xdr:to>
    <xdr:pic>
      <xdr:nvPicPr>
        <xdr:cNvPr id="24025" name="BBGLogo" descr="bloomberg logo blk converted w margi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361950"/>
          <a:ext cx="100012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828675</xdr:colOff>
      <xdr:row>2</xdr:row>
      <xdr:rowOff>57150</xdr:rowOff>
    </xdr:from>
    <xdr:to>
      <xdr:col>13</xdr:col>
      <xdr:colOff>191558</xdr:colOff>
      <xdr:row>4</xdr:row>
      <xdr:rowOff>69850</xdr:rowOff>
    </xdr:to>
    <xdr:sp macro="" textlink="">
      <xdr:nvSpPr>
        <xdr:cNvPr id="5" name="com_bar"/>
        <xdr:cNvSpPr>
          <a:spLocks noChangeArrowheads="1"/>
        </xdr:cNvSpPr>
      </xdr:nvSpPr>
      <xdr:spPr bwMode="auto">
        <a:xfrm>
          <a:off x="1114425" y="381000"/>
          <a:ext cx="10164233" cy="33655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>
                <a:alpha val="74001"/>
              </a:srgbClr>
            </a:gs>
          </a:gsLst>
          <a:lin ang="0" scaled="1"/>
        </a:gra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chemeClr val="bg1"/>
              </a:solidFill>
              <a:latin typeface="+mn-lt"/>
            </a:rPr>
            <a:t>IRS Curve Bootstrapper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1</xdr:col>
          <xdr:colOff>838200</xdr:colOff>
          <xdr:row>2</xdr:row>
          <xdr:rowOff>19050</xdr:rowOff>
        </xdr:to>
        <xdr:sp macro="" textlink="">
          <xdr:nvSpPr>
            <xdr:cNvPr id="23732" name="CommandButton1" hidden="1">
              <a:extLst>
                <a:ext uri="{63B3BB69-23CF-44E3-9099-C40C66FF867C}">
                  <a14:compatExt spid="_x0000_s23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57150</xdr:rowOff>
    </xdr:from>
    <xdr:to>
      <xdr:col>14</xdr:col>
      <xdr:colOff>9525</xdr:colOff>
      <xdr:row>1</xdr:row>
      <xdr:rowOff>123825</xdr:rowOff>
    </xdr:to>
    <xdr:sp macro="" textlink="">
      <xdr:nvSpPr>
        <xdr:cNvPr id="25174" name="Rectangle 1"/>
        <xdr:cNvSpPr>
          <a:spLocks noChangeArrowheads="1"/>
        </xdr:cNvSpPr>
      </xdr:nvSpPr>
      <xdr:spPr bwMode="auto">
        <a:xfrm>
          <a:off x="4619625" y="57150"/>
          <a:ext cx="6191250" cy="228600"/>
        </a:xfrm>
        <a:prstGeom prst="rect">
          <a:avLst/>
        </a:prstGeom>
        <a:gradFill rotWithShape="1">
          <a:gsLst>
            <a:gs pos="0">
              <a:srgbClr val="FFFFFF"/>
            </a:gs>
            <a:gs pos="100000">
              <a:srgbClr val="B8CCE4"/>
            </a:gs>
          </a:gsLst>
          <a:lin ang="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28575</xdr:colOff>
      <xdr:row>0</xdr:row>
      <xdr:rowOff>0</xdr:rowOff>
    </xdr:from>
    <xdr:to>
      <xdr:col>2</xdr:col>
      <xdr:colOff>219075</xdr:colOff>
      <xdr:row>2</xdr:row>
      <xdr:rowOff>76200</xdr:rowOff>
    </xdr:to>
    <xdr:pic>
      <xdr:nvPicPr>
        <xdr:cNvPr id="25175" name="BBGLogo" descr="bloomberg logo blk converted w margi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100012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14</xdr:col>
      <xdr:colOff>19050</xdr:colOff>
      <xdr:row>3</xdr:row>
      <xdr:rowOff>9525</xdr:rowOff>
    </xdr:to>
    <xdr:sp macro="" textlink="">
      <xdr:nvSpPr>
        <xdr:cNvPr id="24579" name="Rectangle 3"/>
        <xdr:cNvSpPr>
          <a:spLocks noChangeArrowheads="1"/>
        </xdr:cNvSpPr>
      </xdr:nvSpPr>
      <xdr:spPr bwMode="auto">
        <a:xfrm>
          <a:off x="0" y="323850"/>
          <a:ext cx="10820400" cy="171450"/>
        </a:xfrm>
        <a:prstGeom prst="rect">
          <a:avLst/>
        </a:prstGeom>
        <a:solidFill>
          <a:srgbClr val="477AB7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F8F8F8"/>
              </a:solidFill>
              <a:latin typeface="Calibri"/>
            </a:rPr>
            <a:t>IRS Curve Bootstrapper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603250</xdr:colOff>
      <xdr:row>2</xdr:row>
      <xdr:rowOff>95250</xdr:rowOff>
    </xdr:from>
    <xdr:to>
      <xdr:col>28</xdr:col>
      <xdr:colOff>42333</xdr:colOff>
      <xdr:row>4</xdr:row>
      <xdr:rowOff>148167</xdr:rowOff>
    </xdr:to>
    <xdr:sp macro="" textlink="">
      <xdr:nvSpPr>
        <xdr:cNvPr id="4" name="com_bar"/>
        <xdr:cNvSpPr>
          <a:spLocks noChangeArrowheads="1"/>
        </xdr:cNvSpPr>
      </xdr:nvSpPr>
      <xdr:spPr bwMode="auto">
        <a:xfrm>
          <a:off x="1492250" y="412750"/>
          <a:ext cx="13906500" cy="370417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>
                <a:alpha val="74001"/>
              </a:srgbClr>
            </a:gs>
          </a:gsLst>
          <a:lin ang="0" scaled="1"/>
        </a:gra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chemeClr val="bg1"/>
              </a:solidFill>
              <a:latin typeface="+mn-lt"/>
            </a:rPr>
            <a:t>Rolldown Rates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66675</xdr:rowOff>
        </xdr:from>
        <xdr:to>
          <xdr:col>2</xdr:col>
          <xdr:colOff>752475</xdr:colOff>
          <xdr:row>2</xdr:row>
          <xdr:rowOff>47625</xdr:rowOff>
        </xdr:to>
        <xdr:sp macro="" textlink="">
          <xdr:nvSpPr>
            <xdr:cNvPr id="56381" name="CommandButton2" hidden="1">
              <a:extLst>
                <a:ext uri="{63B3BB69-23CF-44E3-9099-C40C66FF867C}">
                  <a14:compatExt spid="_x0000_s56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6</xdr:row>
          <xdr:rowOff>38100</xdr:rowOff>
        </xdr:from>
        <xdr:to>
          <xdr:col>5</xdr:col>
          <xdr:colOff>133350</xdr:colOff>
          <xdr:row>7</xdr:row>
          <xdr:rowOff>133350</xdr:rowOff>
        </xdr:to>
        <xdr:sp macro="" textlink="">
          <xdr:nvSpPr>
            <xdr:cNvPr id="56450" name="CommandButton1" hidden="1">
              <a:extLst>
                <a:ext uri="{63B3BB69-23CF-44E3-9099-C40C66FF867C}">
                  <a14:compatExt spid="_x0000_s56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8</xdr:row>
          <xdr:rowOff>0</xdr:rowOff>
        </xdr:from>
        <xdr:to>
          <xdr:col>5</xdr:col>
          <xdr:colOff>133350</xdr:colOff>
          <xdr:row>9</xdr:row>
          <xdr:rowOff>95250</xdr:rowOff>
        </xdr:to>
        <xdr:sp macro="" textlink="">
          <xdr:nvSpPr>
            <xdr:cNvPr id="56665" name="CommandButton3" hidden="1">
              <a:extLst>
                <a:ext uri="{63B3BB69-23CF-44E3-9099-C40C66FF867C}">
                  <a14:compatExt spid="_x0000_s56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11204</xdr:colOff>
      <xdr:row>57</xdr:row>
      <xdr:rowOff>96371</xdr:rowOff>
    </xdr:from>
    <xdr:to>
      <xdr:col>9</xdr:col>
      <xdr:colOff>11205</xdr:colOff>
      <xdr:row>75</xdr:row>
      <xdr:rowOff>44824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324972</xdr:colOff>
      <xdr:row>11</xdr:row>
      <xdr:rowOff>1</xdr:rowOff>
    </xdr:from>
    <xdr:to>
      <xdr:col>39</xdr:col>
      <xdr:colOff>73785</xdr:colOff>
      <xdr:row>30</xdr:row>
      <xdr:rowOff>133670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84667</xdr:rowOff>
    </xdr:from>
    <xdr:to>
      <xdr:col>20</xdr:col>
      <xdr:colOff>436032</xdr:colOff>
      <xdr:row>4</xdr:row>
      <xdr:rowOff>131234</xdr:rowOff>
    </xdr:to>
    <xdr:sp macro="" textlink="">
      <xdr:nvSpPr>
        <xdr:cNvPr id="2" name="com_bar"/>
        <xdr:cNvSpPr>
          <a:spLocks noChangeArrowheads="1"/>
        </xdr:cNvSpPr>
      </xdr:nvSpPr>
      <xdr:spPr bwMode="auto">
        <a:xfrm>
          <a:off x="1276349" y="408517"/>
          <a:ext cx="11065933" cy="370417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>
                <a:alpha val="74001"/>
              </a:srgbClr>
            </a:gs>
          </a:gsLst>
          <a:lin ang="0" scaled="1"/>
        </a:gra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chemeClr val="bg1"/>
              </a:solidFill>
              <a:latin typeface="+mn-lt"/>
            </a:rPr>
            <a:t>Help</a:t>
          </a:r>
        </a:p>
      </xdr:txBody>
    </xdr:sp>
    <xdr:clientData/>
  </xdr:twoCellAnchor>
  <xdr:twoCellAnchor editAs="oneCell">
    <xdr:from>
      <xdr:col>1</xdr:col>
      <xdr:colOff>9525</xdr:colOff>
      <xdr:row>2</xdr:row>
      <xdr:rowOff>47625</xdr:rowOff>
    </xdr:from>
    <xdr:to>
      <xdr:col>2</xdr:col>
      <xdr:colOff>323850</xdr:colOff>
      <xdr:row>4</xdr:row>
      <xdr:rowOff>114300</xdr:rowOff>
    </xdr:to>
    <xdr:pic>
      <xdr:nvPicPr>
        <xdr:cNvPr id="238917" name="Picture 20" descr="whitebb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71475"/>
          <a:ext cx="10668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38100</xdr:colOff>
      <xdr:row>30</xdr:row>
      <xdr:rowOff>57150</xdr:rowOff>
    </xdr:to>
    <xdr:pic>
      <xdr:nvPicPr>
        <xdr:cNvPr id="23891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314825"/>
          <a:ext cx="32289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9525</xdr:colOff>
      <xdr:row>25</xdr:row>
      <xdr:rowOff>152400</xdr:rowOff>
    </xdr:from>
    <xdr:to>
      <xdr:col>5</xdr:col>
      <xdr:colOff>85725</xdr:colOff>
      <xdr:row>27</xdr:row>
      <xdr:rowOff>104775</xdr:rowOff>
    </xdr:to>
    <xdr:sp macro="" textlink="">
      <xdr:nvSpPr>
        <xdr:cNvPr id="238919" name="Oval 391"/>
        <xdr:cNvSpPr>
          <a:spLocks noChangeArrowheads="1"/>
        </xdr:cNvSpPr>
      </xdr:nvSpPr>
      <xdr:spPr bwMode="auto">
        <a:xfrm>
          <a:off x="1552575" y="4467225"/>
          <a:ext cx="1295400" cy="2762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6</xdr:col>
      <xdr:colOff>38100</xdr:colOff>
      <xdr:row>49</xdr:row>
      <xdr:rowOff>47625</xdr:rowOff>
    </xdr:to>
    <xdr:pic>
      <xdr:nvPicPr>
        <xdr:cNvPr id="23892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7677150"/>
          <a:ext cx="3228975" cy="857250"/>
        </a:xfrm>
        <a:prstGeom prst="rect">
          <a:avLst/>
        </a:prstGeom>
        <a:noFill/>
        <a:ln w="9525">
          <a:solidFill>
            <a:srgbClr val="0D0D0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53</xdr:row>
      <xdr:rowOff>47625</xdr:rowOff>
    </xdr:from>
    <xdr:to>
      <xdr:col>6</xdr:col>
      <xdr:colOff>28575</xdr:colOff>
      <xdr:row>58</xdr:row>
      <xdr:rowOff>85725</xdr:rowOff>
    </xdr:to>
    <xdr:pic>
      <xdr:nvPicPr>
        <xdr:cNvPr id="23892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9239250"/>
          <a:ext cx="3228975" cy="8477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6</xdr:col>
      <xdr:colOff>38100</xdr:colOff>
      <xdr:row>18</xdr:row>
      <xdr:rowOff>114300</xdr:rowOff>
    </xdr:to>
    <xdr:pic>
      <xdr:nvPicPr>
        <xdr:cNvPr id="23892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228850"/>
          <a:ext cx="32289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38100</xdr:rowOff>
        </xdr:from>
        <xdr:to>
          <xdr:col>3</xdr:col>
          <xdr:colOff>28575</xdr:colOff>
          <xdr:row>2</xdr:row>
          <xdr:rowOff>19050</xdr:rowOff>
        </xdr:to>
        <xdr:sp macro="" textlink="">
          <xdr:nvSpPr>
            <xdr:cNvPr id="238593" name="btnBAcktoApp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purushotham\Local%20Settings\Temp\Bloomberg\data\XRLD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BROKEN DATES"/>
      <sheetName val="SETTINGS"/>
      <sheetName val="Rolldown"/>
      <sheetName val="BBPTACShadowWks0001"/>
      <sheetName val="Help"/>
    </sheetNames>
    <sheetDataSet>
      <sheetData sheetId="0"/>
      <sheetData sheetId="1"/>
      <sheetData sheetId="2">
        <row r="6">
          <cell r="B6" t="str">
            <v>SETTINGS</v>
          </cell>
        </row>
        <row r="7">
          <cell r="B7">
            <v>1</v>
          </cell>
        </row>
        <row r="8">
          <cell r="B8" t="str">
            <v>Curves</v>
          </cell>
        </row>
        <row r="9">
          <cell r="B9" t="str">
            <v>AED</v>
          </cell>
        </row>
        <row r="10">
          <cell r="B10" t="str">
            <v>ARS</v>
          </cell>
        </row>
        <row r="11">
          <cell r="B11" t="str">
            <v>AUD</v>
          </cell>
        </row>
        <row r="12">
          <cell r="B12" t="str">
            <v>BGN</v>
          </cell>
        </row>
        <row r="13">
          <cell r="B13" t="str">
            <v>CAD</v>
          </cell>
        </row>
        <row r="14">
          <cell r="B14" t="str">
            <v>CHF</v>
          </cell>
        </row>
        <row r="15">
          <cell r="B15" t="str">
            <v>CHFvs3M</v>
          </cell>
        </row>
        <row r="16">
          <cell r="B16" t="str">
            <v>CLP</v>
          </cell>
        </row>
        <row r="17">
          <cell r="B17" t="str">
            <v>CNY</v>
          </cell>
        </row>
        <row r="18">
          <cell r="B18" t="str">
            <v>COP</v>
          </cell>
        </row>
        <row r="19">
          <cell r="B19" t="str">
            <v>CZK</v>
          </cell>
        </row>
        <row r="20">
          <cell r="B20" t="str">
            <v>DKK</v>
          </cell>
        </row>
        <row r="21">
          <cell r="B21" t="str">
            <v>EUR</v>
          </cell>
        </row>
        <row r="22">
          <cell r="B22" t="str">
            <v>EURvs3M</v>
          </cell>
        </row>
        <row r="23">
          <cell r="B23" t="str">
            <v>GBP</v>
          </cell>
        </row>
        <row r="24">
          <cell r="B24" t="str">
            <v>GBPvs3M</v>
          </cell>
        </row>
        <row r="25">
          <cell r="B25" t="str">
            <v>HKD</v>
          </cell>
        </row>
        <row r="26">
          <cell r="B26" t="str">
            <v>HUF</v>
          </cell>
        </row>
        <row r="27">
          <cell r="B27" t="str">
            <v>IDR</v>
          </cell>
        </row>
        <row r="28">
          <cell r="B28" t="str">
            <v>ILS</v>
          </cell>
        </row>
        <row r="29">
          <cell r="B29" t="str">
            <v>INR</v>
          </cell>
        </row>
        <row r="30">
          <cell r="B30" t="str">
            <v>ISK</v>
          </cell>
        </row>
        <row r="31">
          <cell r="B31" t="str">
            <v>JPY</v>
          </cell>
        </row>
        <row r="32">
          <cell r="B32" t="str">
            <v>KRW</v>
          </cell>
        </row>
        <row r="33">
          <cell r="B33" t="str">
            <v>KWD</v>
          </cell>
        </row>
        <row r="34">
          <cell r="B34" t="str">
            <v>MXN</v>
          </cell>
        </row>
        <row r="35">
          <cell r="B35" t="str">
            <v>MYR</v>
          </cell>
        </row>
        <row r="36">
          <cell r="B36" t="str">
            <v>NOK</v>
          </cell>
        </row>
        <row r="37">
          <cell r="B37" t="str">
            <v>NZD</v>
          </cell>
        </row>
        <row r="38">
          <cell r="B38" t="str">
            <v>PHP</v>
          </cell>
        </row>
        <row r="39">
          <cell r="B39" t="str">
            <v>PKR</v>
          </cell>
        </row>
        <row r="40">
          <cell r="B40" t="str">
            <v>PLN</v>
          </cell>
        </row>
        <row r="41">
          <cell r="B41" t="str">
            <v>RON</v>
          </cell>
        </row>
        <row r="42">
          <cell r="B42" t="str">
            <v>RUB</v>
          </cell>
        </row>
        <row r="43">
          <cell r="B43" t="str">
            <v>SAR</v>
          </cell>
        </row>
        <row r="44">
          <cell r="B44" t="str">
            <v>SEK</v>
          </cell>
        </row>
        <row r="45">
          <cell r="B45" t="str">
            <v>SGD</v>
          </cell>
        </row>
        <row r="46">
          <cell r="B46" t="str">
            <v>THB</v>
          </cell>
        </row>
        <row r="47">
          <cell r="B47" t="str">
            <v>TRY</v>
          </cell>
        </row>
        <row r="48">
          <cell r="B48" t="str">
            <v>TWD</v>
          </cell>
        </row>
        <row r="49">
          <cell r="B49" t="str">
            <v>USD</v>
          </cell>
        </row>
        <row r="50">
          <cell r="B50" t="str">
            <v>VND</v>
          </cell>
        </row>
        <row r="51">
          <cell r="B51" t="str">
            <v>ZAR</v>
          </cell>
        </row>
      </sheetData>
      <sheetData sheetId="3">
        <row r="7">
          <cell r="C7" t="str">
            <v>USD</v>
          </cell>
        </row>
        <row r="8">
          <cell r="C8" t="str">
            <v>ICVS</v>
          </cell>
        </row>
        <row r="9">
          <cell r="C9">
            <v>40820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1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48"/>
  </sheetPr>
  <dimension ref="A1:N389"/>
  <sheetViews>
    <sheetView showGridLines="0" workbookViewId="0">
      <selection activeCell="D7" sqref="D7"/>
    </sheetView>
  </sheetViews>
  <sheetFormatPr defaultRowHeight="12.75" x14ac:dyDescent="0.2"/>
  <cols>
    <col min="1" max="1" width="2.7109375" style="2" customWidth="1"/>
    <col min="2" max="2" width="13" style="14" customWidth="1"/>
    <col min="3" max="3" width="16.42578125" style="37" customWidth="1"/>
    <col min="4" max="4" width="11.140625" style="38" customWidth="1"/>
    <col min="5" max="8" width="12.7109375" style="14" customWidth="1"/>
    <col min="9" max="9" width="14.7109375" style="38" customWidth="1"/>
    <col min="10" max="10" width="13.28515625" style="14" customWidth="1"/>
    <col min="11" max="11" width="12.5703125" style="14" customWidth="1"/>
    <col min="12" max="12" width="9.7109375" style="36" bestFit="1" customWidth="1"/>
    <col min="13" max="13" width="9.140625" style="36"/>
    <col min="14" max="14" width="10.42578125" style="36" bestFit="1" customWidth="1"/>
    <col min="15" max="16384" width="9.140625" style="36"/>
  </cols>
  <sheetData>
    <row r="1" spans="2:12" s="2" customFormat="1" x14ac:dyDescent="0.2">
      <c r="I1" s="3"/>
    </row>
    <row r="2" spans="2:12" s="2" customFormat="1" x14ac:dyDescent="0.2">
      <c r="I2" s="3"/>
    </row>
    <row r="3" spans="2:12" s="2" customFormat="1" x14ac:dyDescent="0.2">
      <c r="I3" s="3"/>
    </row>
    <row r="4" spans="2:12" s="2" customFormat="1" x14ac:dyDescent="0.2">
      <c r="I4" s="3"/>
    </row>
    <row r="5" spans="2:12" s="2" customFormat="1" ht="20.25" customHeight="1" x14ac:dyDescent="0.3">
      <c r="B5" s="1" t="s">
        <v>63</v>
      </c>
      <c r="C5" s="1"/>
      <c r="D5" s="1"/>
      <c r="E5" s="1"/>
      <c r="F5" s="1"/>
      <c r="G5" s="1"/>
      <c r="I5" s="3"/>
    </row>
    <row r="6" spans="2:12" s="2" customFormat="1" x14ac:dyDescent="0.2">
      <c r="B6" s="4">
        <v>1</v>
      </c>
      <c r="I6" s="3"/>
    </row>
    <row r="7" spans="2:12" s="2" customFormat="1" x14ac:dyDescent="0.2">
      <c r="D7" s="5"/>
      <c r="E7" s="21"/>
      <c r="F7" s="9"/>
      <c r="G7" s="5"/>
      <c r="H7" s="5"/>
      <c r="I7" s="5"/>
      <c r="J7" s="5"/>
      <c r="K7" s="5"/>
    </row>
    <row r="8" spans="2:12" s="2" customFormat="1" x14ac:dyDescent="0.2">
      <c r="D8" s="5"/>
      <c r="E8" s="21"/>
      <c r="F8" s="9"/>
      <c r="G8" s="5"/>
      <c r="H8" s="5"/>
      <c r="I8" s="5"/>
      <c r="J8" s="5"/>
      <c r="K8" s="5"/>
    </row>
    <row r="9" spans="2:12" s="2" customFormat="1" x14ac:dyDescent="0.2">
      <c r="D9" s="5"/>
      <c r="E9" s="21"/>
      <c r="F9" s="6"/>
      <c r="I9" s="5"/>
      <c r="J9" s="5"/>
      <c r="K9" s="5"/>
    </row>
    <row r="10" spans="2:12" s="2" customFormat="1" x14ac:dyDescent="0.2">
      <c r="D10" s="8"/>
      <c r="E10" s="9"/>
      <c r="F10" s="9"/>
      <c r="I10" s="8"/>
      <c r="J10" s="9"/>
      <c r="K10" s="9"/>
    </row>
    <row r="11" spans="2:12" s="14" customFormat="1" x14ac:dyDescent="0.2">
      <c r="B11" s="6"/>
      <c r="C11" s="7"/>
      <c r="D11" s="8"/>
      <c r="E11" s="9"/>
      <c r="F11" s="9"/>
      <c r="G11" s="9"/>
      <c r="H11" s="9"/>
      <c r="I11" s="8"/>
      <c r="J11" s="9"/>
      <c r="K11" s="9"/>
    </row>
    <row r="12" spans="2:12" s="14" customFormat="1" x14ac:dyDescent="0.2">
      <c r="B12" s="34" t="s">
        <v>26</v>
      </c>
      <c r="C12" s="35" t="s">
        <v>24</v>
      </c>
      <c r="D12" s="35" t="s">
        <v>23</v>
      </c>
      <c r="E12" s="40" t="s">
        <v>25</v>
      </c>
      <c r="F12" s="35" t="s">
        <v>26</v>
      </c>
      <c r="G12" s="35" t="s">
        <v>23</v>
      </c>
      <c r="H12" s="40" t="s">
        <v>51</v>
      </c>
      <c r="I12" s="40" t="s">
        <v>28</v>
      </c>
      <c r="J12" s="231"/>
      <c r="K12" s="232"/>
      <c r="L12" s="232"/>
    </row>
    <row r="13" spans="2:12" s="14" customFormat="1" x14ac:dyDescent="0.2">
      <c r="B13" s="79" t="s">
        <v>72</v>
      </c>
      <c r="C13" s="82" t="s">
        <v>79</v>
      </c>
      <c r="D13" s="82">
        <v>41445</v>
      </c>
      <c r="E13" s="83">
        <v>4.3025000000000002</v>
      </c>
      <c r="F13" s="88" t="s">
        <v>72</v>
      </c>
      <c r="G13" s="89">
        <v>41445</v>
      </c>
      <c r="H13" s="90">
        <v>4.3025000000000002</v>
      </c>
      <c r="I13" s="91">
        <v>0.99988100000000002</v>
      </c>
      <c r="J13" s="32"/>
      <c r="K13" s="54"/>
      <c r="L13" s="42"/>
    </row>
    <row r="14" spans="2:12" s="14" customFormat="1" x14ac:dyDescent="0.2">
      <c r="B14" s="80" t="s">
        <v>80</v>
      </c>
      <c r="C14" s="84" t="s">
        <v>81</v>
      </c>
      <c r="D14" s="85">
        <v>41446</v>
      </c>
      <c r="E14" s="86">
        <v>4.3025000000000002</v>
      </c>
      <c r="F14" s="92" t="s">
        <v>80</v>
      </c>
      <c r="G14" s="93">
        <v>41446</v>
      </c>
      <c r="H14" s="94">
        <v>4.3025000000000002</v>
      </c>
      <c r="I14" s="95">
        <v>0.99976100000000001</v>
      </c>
      <c r="J14" s="44"/>
      <c r="K14" s="44"/>
      <c r="L14" s="42"/>
    </row>
    <row r="15" spans="2:12" s="14" customFormat="1" x14ac:dyDescent="0.2">
      <c r="B15" s="81" t="s">
        <v>73</v>
      </c>
      <c r="C15" s="87" t="s">
        <v>82</v>
      </c>
      <c r="D15" s="82">
        <v>41451</v>
      </c>
      <c r="E15" s="83">
        <v>4.3025000000000002</v>
      </c>
      <c r="F15" s="88" t="s">
        <v>73</v>
      </c>
      <c r="G15" s="89">
        <v>41451</v>
      </c>
      <c r="H15" s="90">
        <v>4.3025000000000002</v>
      </c>
      <c r="I15" s="91">
        <v>0.99916400000000005</v>
      </c>
      <c r="J15" s="42"/>
      <c r="K15" s="44"/>
      <c r="L15" s="42"/>
    </row>
    <row r="16" spans="2:12" s="14" customFormat="1" x14ac:dyDescent="0.2">
      <c r="B16" s="80" t="s">
        <v>83</v>
      </c>
      <c r="C16" s="84" t="s">
        <v>84</v>
      </c>
      <c r="D16" s="85">
        <v>41458</v>
      </c>
      <c r="E16" s="86">
        <v>4.3025000000000002</v>
      </c>
      <c r="F16" s="92" t="s">
        <v>83</v>
      </c>
      <c r="G16" s="93">
        <v>41458</v>
      </c>
      <c r="H16" s="94">
        <v>4.3025000000000002</v>
      </c>
      <c r="I16" s="95">
        <v>0.99833000000000005</v>
      </c>
      <c r="J16" s="42"/>
      <c r="K16" s="44"/>
      <c r="L16" s="42"/>
    </row>
    <row r="17" spans="2:12" s="14" customFormat="1" x14ac:dyDescent="0.2">
      <c r="B17" s="81" t="s">
        <v>5</v>
      </c>
      <c r="C17" s="87" t="s">
        <v>85</v>
      </c>
      <c r="D17" s="82">
        <v>41474</v>
      </c>
      <c r="E17" s="83">
        <v>4.3025000000000002</v>
      </c>
      <c r="F17" s="88" t="s">
        <v>5</v>
      </c>
      <c r="G17" s="89">
        <v>41474</v>
      </c>
      <c r="H17" s="90">
        <v>4.3025000000000002</v>
      </c>
      <c r="I17" s="91">
        <v>0.99666500000000002</v>
      </c>
      <c r="J17" s="42"/>
      <c r="K17" s="44"/>
      <c r="L17" s="42"/>
    </row>
    <row r="18" spans="2:12" s="14" customFormat="1" x14ac:dyDescent="0.2">
      <c r="B18" s="80" t="s">
        <v>8</v>
      </c>
      <c r="C18" s="84" t="s">
        <v>86</v>
      </c>
      <c r="D18" s="85">
        <v>41505</v>
      </c>
      <c r="E18" s="86">
        <v>4.3042800000000003</v>
      </c>
      <c r="F18" s="92" t="s">
        <v>8</v>
      </c>
      <c r="G18" s="93">
        <v>41505</v>
      </c>
      <c r="H18" s="94">
        <v>4.3042800000000003</v>
      </c>
      <c r="I18" s="95">
        <v>0.99333850000000001</v>
      </c>
      <c r="J18" s="42"/>
      <c r="K18" s="44"/>
      <c r="L18" s="42"/>
    </row>
    <row r="19" spans="2:12" s="14" customFormat="1" x14ac:dyDescent="0.2">
      <c r="B19" s="81" t="s">
        <v>6</v>
      </c>
      <c r="C19" s="87" t="s">
        <v>87</v>
      </c>
      <c r="D19" s="82">
        <v>41536</v>
      </c>
      <c r="E19" s="83">
        <v>4.3055199999999996</v>
      </c>
      <c r="F19" s="88" t="s">
        <v>6</v>
      </c>
      <c r="G19" s="89">
        <v>41536</v>
      </c>
      <c r="H19" s="90">
        <v>4.3055199999999996</v>
      </c>
      <c r="I19" s="91">
        <v>0.99002199999999996</v>
      </c>
      <c r="J19" s="42"/>
      <c r="K19" s="44"/>
      <c r="L19" s="42"/>
    </row>
    <row r="20" spans="2:12" s="14" customFormat="1" x14ac:dyDescent="0.2">
      <c r="B20" s="80" t="s">
        <v>9</v>
      </c>
      <c r="C20" s="84" t="s">
        <v>88</v>
      </c>
      <c r="D20" s="85">
        <v>41568</v>
      </c>
      <c r="E20" s="86">
        <v>4.3080699999999998</v>
      </c>
      <c r="F20" s="92" t="s">
        <v>9</v>
      </c>
      <c r="G20" s="93">
        <v>41568</v>
      </c>
      <c r="H20" s="94">
        <v>4.3080699999999998</v>
      </c>
      <c r="I20" s="95">
        <v>0.98670999999999998</v>
      </c>
      <c r="J20" s="42"/>
      <c r="K20" s="44"/>
      <c r="L20" s="42"/>
    </row>
    <row r="21" spans="2:12" s="14" customFormat="1" x14ac:dyDescent="0.2">
      <c r="B21" s="81" t="s">
        <v>22</v>
      </c>
      <c r="C21" s="87" t="s">
        <v>89</v>
      </c>
      <c r="D21" s="82">
        <v>41597</v>
      </c>
      <c r="E21" s="83">
        <v>4.3105849999999997</v>
      </c>
      <c r="F21" s="88" t="s">
        <v>22</v>
      </c>
      <c r="G21" s="89">
        <v>41597</v>
      </c>
      <c r="H21" s="90">
        <v>4.3105849999999997</v>
      </c>
      <c r="I21" s="91">
        <v>0.983406</v>
      </c>
      <c r="J21" s="42"/>
      <c r="K21" s="44"/>
      <c r="L21" s="42"/>
    </row>
    <row r="22" spans="2:12" s="14" customFormat="1" x14ac:dyDescent="0.2">
      <c r="B22" s="80" t="s">
        <v>10</v>
      </c>
      <c r="C22" s="84" t="s">
        <v>90</v>
      </c>
      <c r="D22" s="85">
        <v>41627</v>
      </c>
      <c r="E22" s="86">
        <v>4.3130600000000001</v>
      </c>
      <c r="F22" s="92" t="s">
        <v>10</v>
      </c>
      <c r="G22" s="93">
        <v>41627</v>
      </c>
      <c r="H22" s="94">
        <v>4.3130600000000001</v>
      </c>
      <c r="I22" s="95">
        <v>0.98010900000000001</v>
      </c>
      <c r="J22" s="42"/>
      <c r="K22" s="44"/>
      <c r="L22" s="42"/>
    </row>
    <row r="23" spans="2:12" s="14" customFormat="1" x14ac:dyDescent="0.2">
      <c r="B23" s="81" t="s">
        <v>11</v>
      </c>
      <c r="C23" s="87" t="s">
        <v>91</v>
      </c>
      <c r="D23" s="82">
        <v>41660</v>
      </c>
      <c r="E23" s="83">
        <v>4.3262450000000001</v>
      </c>
      <c r="F23" s="88" t="s">
        <v>11</v>
      </c>
      <c r="G23" s="89">
        <v>41660</v>
      </c>
      <c r="H23" s="90">
        <v>4.3262450000000001</v>
      </c>
      <c r="I23" s="91">
        <v>0.97664550000000006</v>
      </c>
      <c r="J23" s="42"/>
      <c r="K23" s="44"/>
      <c r="L23" s="42"/>
    </row>
    <row r="24" spans="2:12" s="14" customFormat="1" x14ac:dyDescent="0.2">
      <c r="B24" s="80" t="s">
        <v>12</v>
      </c>
      <c r="C24" s="84" t="s">
        <v>92</v>
      </c>
      <c r="D24" s="85">
        <v>41689</v>
      </c>
      <c r="E24" s="86">
        <v>4.3384299999999998</v>
      </c>
      <c r="F24" s="92" t="s">
        <v>12</v>
      </c>
      <c r="G24" s="93">
        <v>41689</v>
      </c>
      <c r="H24" s="94">
        <v>4.3384299999999998</v>
      </c>
      <c r="I24" s="95">
        <v>0.973414</v>
      </c>
      <c r="J24" s="42"/>
      <c r="K24" s="44"/>
      <c r="L24" s="42"/>
    </row>
    <row r="25" spans="2:12" s="14" customFormat="1" x14ac:dyDescent="0.2">
      <c r="B25" s="81" t="s">
        <v>13</v>
      </c>
      <c r="C25" s="87" t="s">
        <v>93</v>
      </c>
      <c r="D25" s="82">
        <v>41717</v>
      </c>
      <c r="E25" s="83">
        <v>4.3509549999999999</v>
      </c>
      <c r="F25" s="88" t="s">
        <v>13</v>
      </c>
      <c r="G25" s="89">
        <v>41717</v>
      </c>
      <c r="H25" s="90">
        <v>4.3509549999999999</v>
      </c>
      <c r="I25" s="91">
        <v>0.97005600000000003</v>
      </c>
      <c r="J25" s="42"/>
      <c r="K25" s="44"/>
      <c r="L25" s="42"/>
    </row>
    <row r="26" spans="2:12" s="14" customFormat="1" x14ac:dyDescent="0.2">
      <c r="B26" s="80" t="s">
        <v>14</v>
      </c>
      <c r="C26" s="84" t="s">
        <v>94</v>
      </c>
      <c r="D26" s="85">
        <v>41750</v>
      </c>
      <c r="E26" s="86">
        <v>4.3630149999999999</v>
      </c>
      <c r="F26" s="92" t="s">
        <v>14</v>
      </c>
      <c r="G26" s="93">
        <v>41750</v>
      </c>
      <c r="H26" s="94">
        <v>4.3630149999999999</v>
      </c>
      <c r="I26" s="95">
        <v>0.96669450000000001</v>
      </c>
      <c r="J26" s="42"/>
      <c r="K26" s="44"/>
      <c r="L26" s="42"/>
    </row>
    <row r="27" spans="2:12" s="14" customFormat="1" x14ac:dyDescent="0.2">
      <c r="B27" s="81" t="s">
        <v>15</v>
      </c>
      <c r="C27" s="87" t="s">
        <v>95</v>
      </c>
      <c r="D27" s="82">
        <v>41778</v>
      </c>
      <c r="E27" s="83">
        <v>4.3749799999999999</v>
      </c>
      <c r="F27" s="88" t="s">
        <v>15</v>
      </c>
      <c r="G27" s="89">
        <v>41778</v>
      </c>
      <c r="H27" s="90">
        <v>4.3749799999999999</v>
      </c>
      <c r="I27" s="91">
        <v>0.9633275</v>
      </c>
      <c r="J27" s="42"/>
      <c r="K27" s="44"/>
      <c r="L27" s="42"/>
    </row>
    <row r="28" spans="2:12" s="14" customFormat="1" x14ac:dyDescent="0.2">
      <c r="B28" s="80" t="s">
        <v>78</v>
      </c>
      <c r="C28" s="84" t="s">
        <v>96</v>
      </c>
      <c r="D28" s="85">
        <v>41809</v>
      </c>
      <c r="E28" s="86">
        <v>4.3964687895900729</v>
      </c>
      <c r="F28" s="92" t="s">
        <v>78</v>
      </c>
      <c r="G28" s="93">
        <v>41809</v>
      </c>
      <c r="H28" s="94">
        <v>4.3985950000000003</v>
      </c>
      <c r="I28" s="95">
        <v>0.95657800000000004</v>
      </c>
      <c r="J28" s="42"/>
      <c r="K28" s="44"/>
      <c r="L28" s="42"/>
    </row>
    <row r="29" spans="2:12" s="14" customFormat="1" x14ac:dyDescent="0.2">
      <c r="B29" s="81" t="s">
        <v>106</v>
      </c>
      <c r="C29" s="87" t="s">
        <v>357</v>
      </c>
      <c r="D29" s="82">
        <v>41901</v>
      </c>
      <c r="E29" s="83">
        <v>4.4377155544585039</v>
      </c>
      <c r="F29" s="88" t="s">
        <v>106</v>
      </c>
      <c r="G29" s="89">
        <v>41901</v>
      </c>
      <c r="H29" s="90">
        <v>4.4403449999999998</v>
      </c>
      <c r="I29" s="91">
        <v>0.94960549999999999</v>
      </c>
      <c r="J29" s="42"/>
      <c r="K29" s="44"/>
      <c r="L29" s="42"/>
    </row>
    <row r="30" spans="2:12" s="14" customFormat="1" x14ac:dyDescent="0.2">
      <c r="B30" s="80" t="s">
        <v>74</v>
      </c>
      <c r="C30" s="84" t="s">
        <v>358</v>
      </c>
      <c r="D30" s="85">
        <v>41992</v>
      </c>
      <c r="E30" s="86">
        <v>4.4977588383259315</v>
      </c>
      <c r="F30" s="92" t="s">
        <v>74</v>
      </c>
      <c r="G30" s="93">
        <v>41992</v>
      </c>
      <c r="H30" s="94">
        <v>4.5017300000000002</v>
      </c>
      <c r="I30" s="95">
        <v>0.93903150000000002</v>
      </c>
      <c r="J30" s="42"/>
      <c r="K30" s="44"/>
      <c r="L30" s="42"/>
    </row>
    <row r="31" spans="2:12" s="14" customFormat="1" x14ac:dyDescent="0.2">
      <c r="B31" s="81" t="s">
        <v>107</v>
      </c>
      <c r="C31" s="87" t="s">
        <v>359</v>
      </c>
      <c r="D31" s="82">
        <v>42082</v>
      </c>
      <c r="E31" s="83">
        <v>4.5560958239205478</v>
      </c>
      <c r="F31" s="88" t="s">
        <v>107</v>
      </c>
      <c r="G31" s="89">
        <v>42082</v>
      </c>
      <c r="H31" s="90">
        <v>4.5616349999999999</v>
      </c>
      <c r="I31" s="91">
        <v>0.9283325</v>
      </c>
      <c r="J31" s="42"/>
      <c r="K31" s="44"/>
      <c r="L31" s="42"/>
    </row>
    <row r="32" spans="2:12" s="14" customFormat="1" x14ac:dyDescent="0.2">
      <c r="B32" s="80" t="s">
        <v>7</v>
      </c>
      <c r="C32" s="84" t="s">
        <v>97</v>
      </c>
      <c r="D32" s="85">
        <v>42174</v>
      </c>
      <c r="E32" s="86">
        <v>4.6492974206897744</v>
      </c>
      <c r="F32" s="92" t="s">
        <v>7</v>
      </c>
      <c r="G32" s="93">
        <v>42174</v>
      </c>
      <c r="H32" s="94">
        <v>4.6581849999999996</v>
      </c>
      <c r="I32" s="95">
        <v>0.91026850000000004</v>
      </c>
      <c r="J32" s="58"/>
      <c r="K32" s="42"/>
      <c r="L32" s="42"/>
    </row>
    <row r="33" spans="2:14" s="14" customFormat="1" x14ac:dyDescent="0.2">
      <c r="B33" s="81" t="s">
        <v>108</v>
      </c>
      <c r="C33" s="87" t="s">
        <v>360</v>
      </c>
      <c r="D33" s="82">
        <v>42268</v>
      </c>
      <c r="E33" s="83">
        <v>4.6737351373286318</v>
      </c>
      <c r="F33" s="88" t="s">
        <v>108</v>
      </c>
      <c r="G33" s="89">
        <v>42268</v>
      </c>
      <c r="H33" s="90">
        <v>4.6828050000000001</v>
      </c>
      <c r="I33" s="96">
        <v>0.90651550000000003</v>
      </c>
      <c r="J33" s="44"/>
      <c r="K33" s="42"/>
      <c r="L33" s="42"/>
      <c r="N33" s="33"/>
    </row>
    <row r="34" spans="2:14" s="14" customFormat="1" x14ac:dyDescent="0.2">
      <c r="B34" s="80" t="s">
        <v>109</v>
      </c>
      <c r="C34" s="84" t="s">
        <v>361</v>
      </c>
      <c r="D34" s="85">
        <v>42359</v>
      </c>
      <c r="E34" s="86">
        <v>4.7432016573061331</v>
      </c>
      <c r="F34" s="92" t="s">
        <v>109</v>
      </c>
      <c r="G34" s="93">
        <v>42359</v>
      </c>
      <c r="H34" s="94">
        <v>4.7554150000000002</v>
      </c>
      <c r="I34" s="95">
        <v>0.89517100000000005</v>
      </c>
      <c r="J34" s="44"/>
      <c r="K34" s="42"/>
      <c r="L34" s="42"/>
      <c r="N34" s="33"/>
    </row>
    <row r="35" spans="2:14" s="14" customFormat="1" x14ac:dyDescent="0.2">
      <c r="B35" s="81" t="s">
        <v>110</v>
      </c>
      <c r="C35" s="87" t="s">
        <v>362</v>
      </c>
      <c r="D35" s="82">
        <v>42450</v>
      </c>
      <c r="E35" s="83">
        <v>4.8105558132742425</v>
      </c>
      <c r="F35" s="88" t="s">
        <v>110</v>
      </c>
      <c r="G35" s="89">
        <v>42450</v>
      </c>
      <c r="H35" s="90">
        <v>4.8261349999999998</v>
      </c>
      <c r="I35" s="91">
        <v>0.883714</v>
      </c>
      <c r="J35" s="59"/>
      <c r="K35" s="42"/>
      <c r="L35" s="42"/>
    </row>
    <row r="36" spans="2:14" s="14" customFormat="1" x14ac:dyDescent="0.2">
      <c r="B36" s="80" t="s">
        <v>16</v>
      </c>
      <c r="C36" s="84" t="s">
        <v>98</v>
      </c>
      <c r="D36" s="85">
        <v>42541</v>
      </c>
      <c r="E36" s="86">
        <v>4.9379704791309669</v>
      </c>
      <c r="F36" s="92" t="s">
        <v>16</v>
      </c>
      <c r="G36" s="93">
        <v>42541</v>
      </c>
      <c r="H36" s="94">
        <v>4.9619200000000001</v>
      </c>
      <c r="I36" s="95">
        <v>0.86053500000000005</v>
      </c>
      <c r="J36" s="42"/>
      <c r="K36" s="42"/>
      <c r="L36" s="42"/>
    </row>
    <row r="37" spans="2:14" s="14" customFormat="1" x14ac:dyDescent="0.2">
      <c r="B37" s="81" t="s">
        <v>111</v>
      </c>
      <c r="C37" s="87" t="s">
        <v>363</v>
      </c>
      <c r="D37" s="82">
        <v>42632</v>
      </c>
      <c r="E37" s="83">
        <v>4.9396710244751771</v>
      </c>
      <c r="F37" s="88" t="s">
        <v>111</v>
      </c>
      <c r="G37" s="89">
        <v>42632</v>
      </c>
      <c r="H37" s="90">
        <v>4.9619200000000001</v>
      </c>
      <c r="I37" s="91">
        <v>0.86053500000000005</v>
      </c>
      <c r="J37" s="42"/>
      <c r="K37" s="42"/>
      <c r="L37" s="42"/>
    </row>
    <row r="38" spans="2:14" s="14" customFormat="1" x14ac:dyDescent="0.2">
      <c r="B38" s="80" t="s">
        <v>112</v>
      </c>
      <c r="C38" s="84" t="s">
        <v>364</v>
      </c>
      <c r="D38" s="85">
        <v>42723</v>
      </c>
      <c r="E38" s="86">
        <v>5.0052068316281382</v>
      </c>
      <c r="F38" s="92" t="s">
        <v>112</v>
      </c>
      <c r="G38" s="93">
        <v>42723</v>
      </c>
      <c r="H38" s="94">
        <v>5.0319200000000004</v>
      </c>
      <c r="I38" s="95">
        <v>0.848715</v>
      </c>
      <c r="J38" s="42"/>
      <c r="K38" s="42"/>
      <c r="L38" s="42"/>
    </row>
    <row r="39" spans="2:14" s="14" customFormat="1" x14ac:dyDescent="0.2">
      <c r="B39" s="81" t="s">
        <v>113</v>
      </c>
      <c r="C39" s="87" t="s">
        <v>365</v>
      </c>
      <c r="D39" s="82">
        <v>42814</v>
      </c>
      <c r="E39" s="83">
        <v>5.0685474441316751</v>
      </c>
      <c r="F39" s="88" t="s">
        <v>113</v>
      </c>
      <c r="G39" s="89">
        <v>42814</v>
      </c>
      <c r="H39" s="90">
        <v>5.0999249999999998</v>
      </c>
      <c r="I39" s="91">
        <v>0.836843</v>
      </c>
      <c r="J39" s="42"/>
      <c r="K39" s="42"/>
      <c r="L39" s="42"/>
    </row>
    <row r="40" spans="2:14" s="14" customFormat="1" x14ac:dyDescent="0.2">
      <c r="B40" s="80" t="s">
        <v>17</v>
      </c>
      <c r="C40" s="84" t="s">
        <v>99</v>
      </c>
      <c r="D40" s="85">
        <v>42905</v>
      </c>
      <c r="E40" s="86">
        <v>5.2059709937636471</v>
      </c>
      <c r="F40" s="92" t="s">
        <v>17</v>
      </c>
      <c r="G40" s="93">
        <v>42905</v>
      </c>
      <c r="H40" s="94">
        <v>5.2509649999999999</v>
      </c>
      <c r="I40" s="95">
        <v>0.80903899999999995</v>
      </c>
      <c r="J40" s="42"/>
      <c r="K40" s="42"/>
      <c r="L40" s="42"/>
    </row>
    <row r="41" spans="2:14" s="14" customFormat="1" x14ac:dyDescent="0.2">
      <c r="B41" s="81" t="s">
        <v>18</v>
      </c>
      <c r="C41" s="87" t="s">
        <v>100</v>
      </c>
      <c r="D41" s="82">
        <v>43270</v>
      </c>
      <c r="E41" s="83">
        <v>5.4566359539547973</v>
      </c>
      <c r="F41" s="88" t="s">
        <v>18</v>
      </c>
      <c r="G41" s="89">
        <v>43270</v>
      </c>
      <c r="H41" s="90">
        <v>5.5254200000000004</v>
      </c>
      <c r="I41" s="91">
        <v>0.75676750000000004</v>
      </c>
      <c r="J41" s="42"/>
      <c r="K41" s="42"/>
      <c r="L41" s="42"/>
    </row>
    <row r="42" spans="2:14" s="14" customFormat="1" x14ac:dyDescent="0.2">
      <c r="B42" s="80" t="s">
        <v>31</v>
      </c>
      <c r="C42" s="84" t="s">
        <v>101</v>
      </c>
      <c r="D42" s="85">
        <v>43635</v>
      </c>
      <c r="E42" s="86">
        <v>5.6804926232563604</v>
      </c>
      <c r="F42" s="92" t="s">
        <v>31</v>
      </c>
      <c r="G42" s="93">
        <v>43635</v>
      </c>
      <c r="H42" s="94">
        <v>5.7772649999999999</v>
      </c>
      <c r="I42" s="95">
        <v>0.70493799999999995</v>
      </c>
      <c r="J42" s="42"/>
      <c r="K42" s="42"/>
      <c r="L42" s="42"/>
    </row>
    <row r="43" spans="2:14" s="14" customFormat="1" x14ac:dyDescent="0.2">
      <c r="B43" s="81" t="s">
        <v>19</v>
      </c>
      <c r="C43" s="226" t="s">
        <v>102</v>
      </c>
      <c r="D43" s="82">
        <v>44001</v>
      </c>
      <c r="E43" s="83">
        <v>5.8674261632253897</v>
      </c>
      <c r="F43" s="88" t="s">
        <v>19</v>
      </c>
      <c r="G43" s="89">
        <v>44001</v>
      </c>
      <c r="H43" s="90">
        <v>5.9927000000000001</v>
      </c>
      <c r="I43" s="91">
        <v>0.65501849999999995</v>
      </c>
      <c r="J43" s="42"/>
      <c r="K43" s="42"/>
      <c r="L43" s="42"/>
    </row>
    <row r="44" spans="2:14" s="14" customFormat="1" x14ac:dyDescent="0.2">
      <c r="B44" s="80" t="s">
        <v>32</v>
      </c>
      <c r="C44" s="227" t="s">
        <v>103</v>
      </c>
      <c r="D44" s="85">
        <v>44368</v>
      </c>
      <c r="E44" s="86">
        <v>6.028940473653952</v>
      </c>
      <c r="F44" s="92" t="s">
        <v>32</v>
      </c>
      <c r="G44" s="93">
        <v>44368</v>
      </c>
      <c r="H44" s="94">
        <v>6.1839649999999997</v>
      </c>
      <c r="I44" s="95">
        <v>0.60718249999999996</v>
      </c>
      <c r="J44" s="42"/>
      <c r="K44" s="42"/>
      <c r="L44" s="42"/>
    </row>
    <row r="45" spans="2:14" s="14" customFormat="1" x14ac:dyDescent="0.2">
      <c r="B45" s="81" t="s">
        <v>33</v>
      </c>
      <c r="C45" s="226" t="s">
        <v>104</v>
      </c>
      <c r="D45" s="82">
        <v>44732</v>
      </c>
      <c r="E45" s="83">
        <v>6.1609386382925093</v>
      </c>
      <c r="F45" s="88" t="s">
        <v>33</v>
      </c>
      <c r="G45" s="89">
        <v>44732</v>
      </c>
      <c r="H45" s="90">
        <v>6.34382</v>
      </c>
      <c r="I45" s="91">
        <v>0.56227550000000004</v>
      </c>
      <c r="J45" s="42"/>
      <c r="K45" s="42"/>
      <c r="L45" s="42"/>
    </row>
    <row r="46" spans="2:14" s="14" customFormat="1" x14ac:dyDescent="0.2">
      <c r="B46" s="80" t="s">
        <v>20</v>
      </c>
      <c r="C46" s="227" t="s">
        <v>105</v>
      </c>
      <c r="D46" s="85">
        <v>45096</v>
      </c>
      <c r="E46" s="86">
        <v>6.2678375140315978</v>
      </c>
      <c r="F46" s="92" t="s">
        <v>20</v>
      </c>
      <c r="G46" s="93">
        <v>45096</v>
      </c>
      <c r="H46" s="94">
        <v>6.4756349999999996</v>
      </c>
      <c r="I46" s="95">
        <v>0.52048550000000005</v>
      </c>
      <c r="J46" s="42"/>
      <c r="K46" s="42"/>
    </row>
    <row r="47" spans="2:14" s="14" customFormat="1" x14ac:dyDescent="0.2">
      <c r="B47" s="81" t="s">
        <v>366</v>
      </c>
      <c r="C47" s="226" t="s">
        <v>367</v>
      </c>
      <c r="D47" s="82">
        <v>45462</v>
      </c>
      <c r="E47" s="83">
        <v>6.4396467101716519</v>
      </c>
      <c r="F47" s="88" t="s">
        <v>366</v>
      </c>
      <c r="G47" s="89">
        <v>45462</v>
      </c>
      <c r="H47" s="90">
        <v>6.7108499999999998</v>
      </c>
      <c r="I47" s="91">
        <v>0.47506199999999998</v>
      </c>
      <c r="J47" s="42"/>
      <c r="K47" s="42"/>
    </row>
    <row r="48" spans="2:14" s="14" customFormat="1" x14ac:dyDescent="0.2">
      <c r="B48" s="80" t="s">
        <v>368</v>
      </c>
      <c r="C48" s="227" t="s">
        <v>369</v>
      </c>
      <c r="D48" s="85">
        <v>45827</v>
      </c>
      <c r="E48" s="86">
        <v>6.5768880426460559</v>
      </c>
      <c r="F48" s="93" t="s">
        <v>368</v>
      </c>
      <c r="G48" s="93">
        <v>45827</v>
      </c>
      <c r="H48" s="94">
        <v>6.9036049999999998</v>
      </c>
      <c r="I48" s="95">
        <v>0.43377549999999998</v>
      </c>
      <c r="J48" s="42"/>
      <c r="K48" s="42"/>
    </row>
    <row r="49" spans="2:11" s="14" customFormat="1" x14ac:dyDescent="0.2">
      <c r="B49" s="81" t="s">
        <v>370</v>
      </c>
      <c r="C49" s="226" t="s">
        <v>371</v>
      </c>
      <c r="D49" s="82">
        <v>46192</v>
      </c>
      <c r="E49" s="83">
        <v>6.6856901416559937</v>
      </c>
      <c r="F49" s="89" t="s">
        <v>370</v>
      </c>
      <c r="G49" s="89">
        <v>46192</v>
      </c>
      <c r="H49" s="90">
        <v>7.0593899999999996</v>
      </c>
      <c r="I49" s="91">
        <v>0.39645649999999999</v>
      </c>
      <c r="J49" s="42"/>
      <c r="K49" s="42"/>
    </row>
    <row r="50" spans="2:11" s="14" customFormat="1" x14ac:dyDescent="0.2">
      <c r="B50" s="80" t="s">
        <v>372</v>
      </c>
      <c r="C50" s="227" t="s">
        <v>373</v>
      </c>
      <c r="D50" s="85">
        <v>46559</v>
      </c>
      <c r="E50" s="86">
        <v>6.7712916593934276</v>
      </c>
      <c r="F50" s="93" t="s">
        <v>372</v>
      </c>
      <c r="G50" s="93">
        <v>46559</v>
      </c>
      <c r="H50" s="94">
        <v>7.1832050000000001</v>
      </c>
      <c r="I50" s="95">
        <v>0.36284499999999997</v>
      </c>
      <c r="J50" s="42"/>
      <c r="K50" s="42"/>
    </row>
    <row r="51" spans="2:11" s="14" customFormat="1" x14ac:dyDescent="0.2">
      <c r="B51" s="81" t="s">
        <v>374</v>
      </c>
      <c r="C51" s="226" t="s">
        <v>375</v>
      </c>
      <c r="D51" s="82">
        <v>46923</v>
      </c>
      <c r="E51" s="83">
        <v>6.8377664647244982</v>
      </c>
      <c r="F51" s="89" t="s">
        <v>374</v>
      </c>
      <c r="G51" s="89">
        <v>46923</v>
      </c>
      <c r="H51" s="90">
        <v>7.2795100000000001</v>
      </c>
      <c r="I51" s="91">
        <v>0.3326345</v>
      </c>
      <c r="J51" s="42"/>
      <c r="K51" s="42"/>
    </row>
    <row r="52" spans="2:11" s="14" customFormat="1" x14ac:dyDescent="0.2">
      <c r="B52" s="80" t="s">
        <v>376</v>
      </c>
      <c r="C52" s="227" t="s">
        <v>377</v>
      </c>
      <c r="D52" s="85">
        <v>47288</v>
      </c>
      <c r="E52" s="86">
        <v>6.9330117440671124</v>
      </c>
      <c r="F52" s="93" t="s">
        <v>376</v>
      </c>
      <c r="G52" s="93">
        <v>47288</v>
      </c>
      <c r="H52" s="94">
        <v>7.4402299999999997</v>
      </c>
      <c r="I52" s="95">
        <v>0.3012145</v>
      </c>
      <c r="J52" s="42"/>
      <c r="K52" s="42"/>
    </row>
    <row r="53" spans="2:11" s="14" customFormat="1" x14ac:dyDescent="0.2">
      <c r="B53" s="81" t="s">
        <v>378</v>
      </c>
      <c r="C53" s="226" t="s">
        <v>379</v>
      </c>
      <c r="D53" s="82">
        <v>47653</v>
      </c>
      <c r="E53" s="83">
        <v>7.0065604038129319</v>
      </c>
      <c r="F53" s="89" t="s">
        <v>378</v>
      </c>
      <c r="G53" s="89">
        <v>47653</v>
      </c>
      <c r="H53" s="90">
        <v>7.5656949999999998</v>
      </c>
      <c r="I53" s="91">
        <v>0.27352599999999999</v>
      </c>
      <c r="J53" s="42"/>
      <c r="K53" s="42"/>
    </row>
    <row r="54" spans="2:11" s="14" customFormat="1" x14ac:dyDescent="0.2">
      <c r="B54" s="80" t="s">
        <v>380</v>
      </c>
      <c r="C54" s="227" t="s">
        <v>381</v>
      </c>
      <c r="D54" s="85">
        <v>48018</v>
      </c>
      <c r="E54" s="86">
        <v>7.0629067061714501</v>
      </c>
      <c r="F54" s="93" t="s">
        <v>380</v>
      </c>
      <c r="G54" s="93">
        <v>48018</v>
      </c>
      <c r="H54" s="94">
        <v>7.6613550000000004</v>
      </c>
      <c r="I54" s="95">
        <v>0.2490965</v>
      </c>
      <c r="J54" s="42"/>
      <c r="K54" s="42"/>
    </row>
    <row r="55" spans="2:11" s="14" customFormat="1" x14ac:dyDescent="0.2">
      <c r="B55" s="81" t="s">
        <v>382</v>
      </c>
      <c r="C55" s="87" t="s">
        <v>383</v>
      </c>
      <c r="D55" s="82">
        <v>48386</v>
      </c>
      <c r="E55" s="83">
        <v>7.1057018483087511</v>
      </c>
      <c r="F55" s="89" t="s">
        <v>382</v>
      </c>
      <c r="G55" s="89">
        <v>48386</v>
      </c>
      <c r="H55" s="90">
        <v>7.7318550000000004</v>
      </c>
      <c r="I55" s="91">
        <v>0.2275035</v>
      </c>
      <c r="J55" s="42"/>
      <c r="K55" s="42"/>
    </row>
    <row r="56" spans="2:11" s="14" customFormat="1" x14ac:dyDescent="0.2">
      <c r="B56" s="80" t="s">
        <v>384</v>
      </c>
      <c r="C56" s="84" t="s">
        <v>385</v>
      </c>
      <c r="D56" s="85">
        <v>48750</v>
      </c>
      <c r="E56" s="86">
        <v>7.1374821848395591</v>
      </c>
      <c r="F56" s="93" t="s">
        <v>384</v>
      </c>
      <c r="G56" s="93">
        <v>48750</v>
      </c>
      <c r="H56" s="94">
        <v>7.7811399999999997</v>
      </c>
      <c r="I56" s="95">
        <v>0.208375</v>
      </c>
      <c r="J56" s="42"/>
      <c r="K56" s="42"/>
    </row>
    <row r="57" spans="2:11" s="14" customFormat="1" x14ac:dyDescent="0.2">
      <c r="B57" s="81" t="s">
        <v>386</v>
      </c>
      <c r="C57" s="226" t="s">
        <v>387</v>
      </c>
      <c r="D57" s="82">
        <v>49114</v>
      </c>
      <c r="E57" s="83">
        <v>7.2149025873088632</v>
      </c>
      <c r="F57" s="89" t="s">
        <v>386</v>
      </c>
      <c r="G57" s="89">
        <v>49114</v>
      </c>
      <c r="H57" s="90">
        <v>7.9611599999999996</v>
      </c>
      <c r="I57" s="91">
        <v>0.185476</v>
      </c>
      <c r="J57" s="43"/>
      <c r="K57" s="9"/>
    </row>
    <row r="58" spans="2:11" s="14" customFormat="1" x14ac:dyDescent="0.2">
      <c r="B58" s="80" t="s">
        <v>388</v>
      </c>
      <c r="C58" s="84" t="s">
        <v>389</v>
      </c>
      <c r="D58" s="85">
        <v>49479</v>
      </c>
      <c r="E58" s="86">
        <v>7.2729444228051516</v>
      </c>
      <c r="F58" s="93" t="s">
        <v>388</v>
      </c>
      <c r="G58" s="93">
        <v>49479</v>
      </c>
      <c r="H58" s="94">
        <v>8.0987349999999996</v>
      </c>
      <c r="I58" s="95">
        <v>0.16605049999999999</v>
      </c>
      <c r="J58" s="43"/>
      <c r="K58" s="9"/>
    </row>
    <row r="59" spans="2:11" s="14" customFormat="1" x14ac:dyDescent="0.2">
      <c r="B59" s="81" t="s">
        <v>390</v>
      </c>
      <c r="C59" s="87" t="s">
        <v>391</v>
      </c>
      <c r="D59" s="82">
        <v>49845</v>
      </c>
      <c r="E59" s="83">
        <v>7.3163859889782676</v>
      </c>
      <c r="F59" s="89" t="s">
        <v>390</v>
      </c>
      <c r="G59" s="89">
        <v>49845</v>
      </c>
      <c r="H59" s="90">
        <v>8.2014449999999997</v>
      </c>
      <c r="I59" s="91">
        <v>0.149449</v>
      </c>
      <c r="J59" s="43"/>
      <c r="K59" s="9"/>
    </row>
    <row r="60" spans="2:11" s="14" customFormat="1" x14ac:dyDescent="0.2">
      <c r="B60" s="80" t="s">
        <v>392</v>
      </c>
      <c r="C60" s="84" t="s">
        <v>393</v>
      </c>
      <c r="D60" s="85">
        <v>50210</v>
      </c>
      <c r="E60" s="86">
        <v>7.3486689493674957</v>
      </c>
      <c r="F60" s="93" t="s">
        <v>392</v>
      </c>
      <c r="G60" s="93">
        <v>50210</v>
      </c>
      <c r="H60" s="94">
        <v>8.2754549999999991</v>
      </c>
      <c r="I60" s="95">
        <v>0.13516249999999999</v>
      </c>
      <c r="J60" s="64"/>
      <c r="K60" s="9"/>
    </row>
    <row r="61" spans="2:11" s="14" customFormat="1" x14ac:dyDescent="0.2">
      <c r="B61" s="81" t="s">
        <v>394</v>
      </c>
      <c r="C61" s="87" t="s">
        <v>395</v>
      </c>
      <c r="D61" s="82">
        <v>50577</v>
      </c>
      <c r="E61" s="83">
        <v>7.3724685931332354</v>
      </c>
      <c r="F61" s="89" t="s">
        <v>394</v>
      </c>
      <c r="G61" s="89">
        <v>50577</v>
      </c>
      <c r="H61" s="90">
        <v>8.3257349999999999</v>
      </c>
      <c r="I61" s="91">
        <v>0.1227905</v>
      </c>
      <c r="J61" s="43"/>
      <c r="K61" s="9"/>
    </row>
    <row r="62" spans="2:11" s="14" customFormat="1" x14ac:dyDescent="0.2">
      <c r="B62" s="80" t="s">
        <v>396</v>
      </c>
      <c r="C62" s="84" t="s">
        <v>397</v>
      </c>
      <c r="D62" s="85">
        <v>50941</v>
      </c>
      <c r="E62" s="86">
        <v>7.3895895082776084</v>
      </c>
      <c r="F62" s="93" t="s">
        <v>396</v>
      </c>
      <c r="G62" s="93">
        <v>50941</v>
      </c>
      <c r="H62" s="94">
        <v>8.3563849999999995</v>
      </c>
      <c r="I62" s="95">
        <v>0.1120105</v>
      </c>
      <c r="J62" s="43"/>
      <c r="K62" s="9"/>
    </row>
    <row r="63" spans="2:11" s="14" customFormat="1" x14ac:dyDescent="0.2">
      <c r="B63" s="81" t="s">
        <v>398</v>
      </c>
      <c r="C63" s="87" t="s">
        <v>399</v>
      </c>
      <c r="D63" s="82">
        <v>51306</v>
      </c>
      <c r="E63" s="83">
        <v>7.4016098473425824</v>
      </c>
      <c r="F63" s="89" t="s">
        <v>398</v>
      </c>
      <c r="G63" s="89">
        <v>51306</v>
      </c>
      <c r="H63" s="90">
        <v>8.3707349999999998</v>
      </c>
      <c r="I63" s="91">
        <v>0.10256750000000001</v>
      </c>
      <c r="J63" s="43"/>
      <c r="K63" s="9"/>
    </row>
    <row r="64" spans="2:11" s="14" customFormat="1" x14ac:dyDescent="0.2">
      <c r="B64" s="80" t="s">
        <v>400</v>
      </c>
      <c r="C64" s="84" t="s">
        <v>401</v>
      </c>
      <c r="D64" s="85">
        <v>51671</v>
      </c>
      <c r="E64" s="86">
        <v>7.4096195733309038</v>
      </c>
      <c r="F64" s="93" t="s">
        <v>400</v>
      </c>
      <c r="G64" s="93">
        <v>51671</v>
      </c>
      <c r="H64" s="94">
        <v>8.3715349999999997</v>
      </c>
      <c r="I64" s="95">
        <v>9.4251500000000002E-2</v>
      </c>
      <c r="J64" s="64"/>
      <c r="K64" s="9"/>
    </row>
    <row r="65" spans="2:11" s="14" customFormat="1" x14ac:dyDescent="0.2">
      <c r="B65" s="81" t="s">
        <v>402</v>
      </c>
      <c r="C65" s="87" t="s">
        <v>403</v>
      </c>
      <c r="D65" s="82">
        <v>52036</v>
      </c>
      <c r="E65" s="83">
        <v>7.4144821982170441</v>
      </c>
      <c r="F65" s="89" t="s">
        <v>402</v>
      </c>
      <c r="G65" s="89">
        <v>52036</v>
      </c>
      <c r="H65" s="90">
        <v>8.3610699999999998</v>
      </c>
      <c r="I65" s="91">
        <v>8.6892499999999998E-2</v>
      </c>
      <c r="J65" s="43"/>
      <c r="K65" s="9"/>
    </row>
    <row r="66" spans="2:11" s="14" customFormat="1" x14ac:dyDescent="0.2">
      <c r="B66" s="80" t="s">
        <v>404</v>
      </c>
      <c r="C66" s="84" t="s">
        <v>405</v>
      </c>
      <c r="D66" s="85">
        <v>52401</v>
      </c>
      <c r="E66" s="86">
        <v>7.4168660393257246</v>
      </c>
      <c r="F66" s="93" t="s">
        <v>404</v>
      </c>
      <c r="G66" s="93">
        <v>52401</v>
      </c>
      <c r="H66" s="94">
        <v>8.3412249999999997</v>
      </c>
      <c r="I66" s="95">
        <v>8.0352499999999993E-2</v>
      </c>
      <c r="J66" s="43"/>
      <c r="K66" s="9"/>
    </row>
    <row r="67" spans="2:11" s="14" customFormat="1" x14ac:dyDescent="0.2">
      <c r="B67" s="81" t="s">
        <v>406</v>
      </c>
      <c r="C67" s="87" t="s">
        <v>407</v>
      </c>
      <c r="D67" s="82">
        <v>52768</v>
      </c>
      <c r="E67" s="83">
        <v>7.3887160378155858</v>
      </c>
      <c r="F67" s="89" t="s">
        <v>406</v>
      </c>
      <c r="G67" s="89">
        <v>52768</v>
      </c>
      <c r="H67" s="90">
        <v>8.1682349999999992</v>
      </c>
      <c r="I67" s="91">
        <v>7.7962000000000004E-2</v>
      </c>
      <c r="J67" s="43"/>
      <c r="K67" s="9"/>
    </row>
    <row r="68" spans="2:11" s="14" customFormat="1" x14ac:dyDescent="0.2">
      <c r="B68" s="80" t="s">
        <v>408</v>
      </c>
      <c r="C68" s="84" t="s">
        <v>409</v>
      </c>
      <c r="D68" s="85">
        <v>53132</v>
      </c>
      <c r="E68" s="86">
        <v>7.3611551867054397</v>
      </c>
      <c r="F68" s="93" t="s">
        <v>408</v>
      </c>
      <c r="G68" s="93">
        <v>53132</v>
      </c>
      <c r="H68" s="94">
        <v>8.0033250000000002</v>
      </c>
      <c r="I68" s="95">
        <v>7.57105E-2</v>
      </c>
      <c r="J68" s="43"/>
      <c r="K68" s="9"/>
    </row>
    <row r="69" spans="2:11" s="14" customFormat="1" x14ac:dyDescent="0.2">
      <c r="B69" s="81" t="s">
        <v>410</v>
      </c>
      <c r="C69" s="87" t="s">
        <v>411</v>
      </c>
      <c r="D69" s="82">
        <v>53497</v>
      </c>
      <c r="E69" s="83">
        <v>7.3342212499440214</v>
      </c>
      <c r="F69" s="89" t="s">
        <v>410</v>
      </c>
      <c r="G69" s="89">
        <v>53497</v>
      </c>
      <c r="H69" s="90">
        <v>7.8459099999999999</v>
      </c>
      <c r="I69" s="91">
        <v>7.3584499999999997E-2</v>
      </c>
      <c r="J69" s="43"/>
      <c r="K69" s="9"/>
    </row>
    <row r="70" spans="2:11" s="14" customFormat="1" x14ac:dyDescent="0.2">
      <c r="B70" s="80" t="s">
        <v>412</v>
      </c>
      <c r="C70" s="84" t="s">
        <v>413</v>
      </c>
      <c r="D70" s="85">
        <v>53862</v>
      </c>
      <c r="E70" s="86">
        <v>7.3078905764192843</v>
      </c>
      <c r="F70" s="93" t="s">
        <v>412</v>
      </c>
      <c r="G70" s="93">
        <v>53862</v>
      </c>
      <c r="H70" s="94">
        <v>7.6954650000000004</v>
      </c>
      <c r="I70" s="95">
        <v>7.15755E-2</v>
      </c>
      <c r="J70" s="43"/>
      <c r="K70" s="9"/>
    </row>
    <row r="71" spans="2:11" s="14" customFormat="1" x14ac:dyDescent="0.2">
      <c r="B71" s="81" t="s">
        <v>414</v>
      </c>
      <c r="C71" s="87" t="s">
        <v>415</v>
      </c>
      <c r="D71" s="82">
        <v>54228</v>
      </c>
      <c r="E71" s="83">
        <v>7.282155650193145</v>
      </c>
      <c r="F71" s="89" t="s">
        <v>414</v>
      </c>
      <c r="G71" s="89">
        <v>54228</v>
      </c>
      <c r="H71" s="90">
        <v>7.5515150000000002</v>
      </c>
      <c r="I71" s="91">
        <v>6.9672999999999999E-2</v>
      </c>
      <c r="J71" s="43"/>
      <c r="K71" s="9"/>
    </row>
    <row r="72" spans="2:11" s="14" customFormat="1" x14ac:dyDescent="0.2">
      <c r="B72" s="80" t="s">
        <v>416</v>
      </c>
      <c r="C72" s="84" t="s">
        <v>417</v>
      </c>
      <c r="D72" s="85">
        <v>54595</v>
      </c>
      <c r="E72" s="86">
        <v>7.2570004348413706</v>
      </c>
      <c r="F72" s="93" t="s">
        <v>416</v>
      </c>
      <c r="G72" s="93">
        <v>54595</v>
      </c>
      <c r="H72" s="94">
        <v>7.4136249999999997</v>
      </c>
      <c r="I72" s="95">
        <v>6.7868999999999999E-2</v>
      </c>
      <c r="J72" s="43"/>
      <c r="K72" s="9"/>
    </row>
    <row r="73" spans="2:11" s="14" customFormat="1" x14ac:dyDescent="0.2">
      <c r="B73" s="81" t="s">
        <v>418</v>
      </c>
      <c r="C73" s="87" t="s">
        <v>419</v>
      </c>
      <c r="D73" s="82">
        <v>54959</v>
      </c>
      <c r="E73" s="83">
        <v>7.2323958161709552</v>
      </c>
      <c r="F73" s="89" t="s">
        <v>418</v>
      </c>
      <c r="G73" s="89">
        <v>54959</v>
      </c>
      <c r="H73" s="90">
        <v>7.2813999999999997</v>
      </c>
      <c r="I73" s="91">
        <v>6.6156000000000006E-2</v>
      </c>
      <c r="J73" s="43"/>
      <c r="K73" s="9"/>
    </row>
    <row r="74" spans="2:11" s="14" customFormat="1" x14ac:dyDescent="0.2">
      <c r="B74" s="80" t="s">
        <v>420</v>
      </c>
      <c r="C74" s="84" t="s">
        <v>421</v>
      </c>
      <c r="D74" s="85">
        <v>55323</v>
      </c>
      <c r="E74" s="86">
        <v>7.2083291391709103</v>
      </c>
      <c r="F74" s="93" t="s">
        <v>420</v>
      </c>
      <c r="G74" s="93">
        <v>55323</v>
      </c>
      <c r="H74" s="94">
        <v>7.1544749999999997</v>
      </c>
      <c r="I74" s="95">
        <v>6.4527500000000002E-2</v>
      </c>
      <c r="J74" s="43"/>
      <c r="K74" s="9"/>
    </row>
    <row r="75" spans="2:11" s="14" customFormat="1" x14ac:dyDescent="0.2">
      <c r="B75" s="81" t="s">
        <v>422</v>
      </c>
      <c r="C75" s="87" t="s">
        <v>423</v>
      </c>
      <c r="D75" s="82">
        <v>55689</v>
      </c>
      <c r="E75" s="83">
        <v>7.1847868630587852</v>
      </c>
      <c r="F75" s="89" t="s">
        <v>422</v>
      </c>
      <c r="G75" s="89">
        <v>55689</v>
      </c>
      <c r="H75" s="90">
        <v>7.0325300000000004</v>
      </c>
      <c r="I75" s="91">
        <v>6.2977000000000005E-2</v>
      </c>
      <c r="J75" s="43"/>
      <c r="K75" s="9"/>
    </row>
    <row r="76" spans="2:11" s="14" customFormat="1" x14ac:dyDescent="0.2">
      <c r="B76" s="80" t="s">
        <v>424</v>
      </c>
      <c r="C76" s="84" t="s">
        <v>425</v>
      </c>
      <c r="D76" s="85">
        <v>56054</v>
      </c>
      <c r="E76" s="86">
        <v>7.1617557799318723</v>
      </c>
      <c r="F76" s="93" t="s">
        <v>424</v>
      </c>
      <c r="G76" s="93">
        <v>56054</v>
      </c>
      <c r="H76" s="94">
        <v>6.9152550000000002</v>
      </c>
      <c r="I76" s="95">
        <v>6.1499999999999999E-2</v>
      </c>
      <c r="J76" s="43"/>
      <c r="K76" s="9"/>
    </row>
    <row r="77" spans="2:11" s="14" customFormat="1" x14ac:dyDescent="0.2">
      <c r="B77" s="81" t="s">
        <v>426</v>
      </c>
      <c r="C77" s="87" t="s">
        <v>427</v>
      </c>
      <c r="D77" s="82">
        <v>56419</v>
      </c>
      <c r="E77" s="83">
        <v>7.1392176029851333</v>
      </c>
      <c r="F77" s="89" t="s">
        <v>426</v>
      </c>
      <c r="G77" s="89">
        <v>56419</v>
      </c>
      <c r="H77" s="90">
        <v>6.8023749999999996</v>
      </c>
      <c r="I77" s="91">
        <v>6.0089999999999998E-2</v>
      </c>
      <c r="J77" s="43"/>
      <c r="K77" s="9"/>
    </row>
    <row r="78" spans="2:11" s="14" customFormat="1" x14ac:dyDescent="0.2">
      <c r="B78" s="80" t="s">
        <v>428</v>
      </c>
      <c r="C78" s="84" t="s">
        <v>429</v>
      </c>
      <c r="D78" s="85">
        <v>56786</v>
      </c>
      <c r="E78" s="86">
        <v>7.1171509013685723</v>
      </c>
      <c r="F78" s="93" t="s">
        <v>428</v>
      </c>
      <c r="G78" s="93">
        <v>56786</v>
      </c>
      <c r="H78" s="94">
        <v>6.6936349999999996</v>
      </c>
      <c r="I78" s="230">
        <v>5.8743499999999997E-2</v>
      </c>
      <c r="J78" s="6"/>
      <c r="K78" s="9"/>
    </row>
    <row r="79" spans="2:11" s="14" customFormat="1" x14ac:dyDescent="0.2">
      <c r="B79" s="81" t="s">
        <v>430</v>
      </c>
      <c r="C79" s="87" t="s">
        <v>431</v>
      </c>
      <c r="D79" s="82">
        <v>57150</v>
      </c>
      <c r="E79" s="83">
        <v>7.0955639978949545</v>
      </c>
      <c r="F79" s="89" t="s">
        <v>430</v>
      </c>
      <c r="G79" s="89">
        <v>57150</v>
      </c>
      <c r="H79" s="90">
        <v>6.5888049999999998</v>
      </c>
      <c r="I79" s="96">
        <v>5.74555E-2</v>
      </c>
      <c r="J79" s="6"/>
      <c r="K79" s="9"/>
    </row>
    <row r="80" spans="2:11" x14ac:dyDescent="0.2">
      <c r="B80" s="80" t="s">
        <v>432</v>
      </c>
      <c r="C80" s="84" t="s">
        <v>433</v>
      </c>
      <c r="D80" s="85">
        <v>57515</v>
      </c>
      <c r="E80" s="86">
        <v>7.0744166264154114</v>
      </c>
      <c r="F80" s="93" t="s">
        <v>432</v>
      </c>
      <c r="G80" s="93">
        <v>57515</v>
      </c>
      <c r="H80" s="94">
        <v>6.4876550000000002</v>
      </c>
      <c r="I80" s="230">
        <v>5.6223000000000002E-2</v>
      </c>
      <c r="J80" s="6"/>
      <c r="K80" s="9"/>
    </row>
    <row r="81" spans="2:11" x14ac:dyDescent="0.2">
      <c r="B81" s="81" t="s">
        <v>434</v>
      </c>
      <c r="C81" s="228" t="s">
        <v>435</v>
      </c>
      <c r="D81" s="82">
        <v>57880</v>
      </c>
      <c r="E81" s="83">
        <v>7.053703715152265</v>
      </c>
      <c r="F81" s="89" t="s">
        <v>434</v>
      </c>
      <c r="G81" s="89">
        <v>57880</v>
      </c>
      <c r="H81" s="90">
        <v>6.3899949999999999</v>
      </c>
      <c r="I81" s="96">
        <v>5.5042500000000001E-2</v>
      </c>
      <c r="J81" s="6"/>
      <c r="K81" s="9"/>
    </row>
    <row r="82" spans="2:11" x14ac:dyDescent="0.2">
      <c r="B82" s="80" t="s">
        <v>436</v>
      </c>
      <c r="C82" s="229" t="s">
        <v>437</v>
      </c>
      <c r="D82" s="85">
        <v>58245</v>
      </c>
      <c r="E82" s="86">
        <v>7.0334117624630625</v>
      </c>
      <c r="F82" s="93" t="s">
        <v>436</v>
      </c>
      <c r="G82" s="93">
        <v>58245</v>
      </c>
      <c r="H82" s="94">
        <v>6.2956399999999997</v>
      </c>
      <c r="I82" s="230">
        <v>5.39105E-2</v>
      </c>
      <c r="J82" s="6"/>
      <c r="K82" s="9"/>
    </row>
    <row r="83" spans="2:11" x14ac:dyDescent="0.2">
      <c r="B83" s="81" t="s">
        <v>438</v>
      </c>
      <c r="C83" s="228" t="s">
        <v>439</v>
      </c>
      <c r="D83" s="82">
        <v>58613</v>
      </c>
      <c r="E83" s="83">
        <v>7.0135042675582318</v>
      </c>
      <c r="F83" s="89" t="s">
        <v>438</v>
      </c>
      <c r="G83" s="89">
        <v>58613</v>
      </c>
      <c r="H83" s="90">
        <v>6.2044050000000004</v>
      </c>
      <c r="I83" s="96">
        <v>5.2824000000000003E-2</v>
      </c>
      <c r="J83" s="6"/>
      <c r="K83" s="9"/>
    </row>
    <row r="84" spans="2:11" x14ac:dyDescent="0.2">
      <c r="B84" s="80" t="s">
        <v>440</v>
      </c>
      <c r="C84" s="229" t="s">
        <v>441</v>
      </c>
      <c r="D84" s="85">
        <v>58977</v>
      </c>
      <c r="E84" s="86">
        <v>6.994027785278595</v>
      </c>
      <c r="F84" s="93" t="s">
        <v>440</v>
      </c>
      <c r="G84" s="93">
        <v>58977</v>
      </c>
      <c r="H84" s="94">
        <v>6.1161399999999997</v>
      </c>
      <c r="I84" s="230">
        <v>5.17805E-2</v>
      </c>
      <c r="J84" s="6"/>
      <c r="K84" s="9"/>
    </row>
    <row r="85" spans="2:11" x14ac:dyDescent="0.2">
      <c r="B85" s="81" t="s">
        <v>442</v>
      </c>
      <c r="C85" s="228" t="s">
        <v>443</v>
      </c>
      <c r="D85" s="82">
        <v>59341</v>
      </c>
      <c r="E85" s="83">
        <v>6.9749302474077819</v>
      </c>
      <c r="F85" s="89" t="s">
        <v>442</v>
      </c>
      <c r="G85" s="89">
        <v>59341</v>
      </c>
      <c r="H85" s="90">
        <v>6.0306899999999999</v>
      </c>
      <c r="I85" s="96">
        <v>5.0777500000000003E-2</v>
      </c>
      <c r="J85" s="6"/>
      <c r="K85" s="9"/>
    </row>
    <row r="86" spans="2:11" x14ac:dyDescent="0.2">
      <c r="B86" s="80" t="s">
        <v>444</v>
      </c>
      <c r="C86" s="229" t="s">
        <v>445</v>
      </c>
      <c r="D86" s="85">
        <v>59706</v>
      </c>
      <c r="E86" s="86">
        <v>6.9561911337615649</v>
      </c>
      <c r="F86" s="93" t="s">
        <v>444</v>
      </c>
      <c r="G86" s="93">
        <v>59706</v>
      </c>
      <c r="H86" s="94">
        <v>5.9479150000000001</v>
      </c>
      <c r="I86" s="230">
        <v>4.9812500000000003E-2</v>
      </c>
      <c r="J86" s="6"/>
      <c r="K86" s="9"/>
    </row>
    <row r="87" spans="2:11" x14ac:dyDescent="0.2">
      <c r="B87" s="6"/>
      <c r="C87" s="16"/>
      <c r="D87" s="6"/>
      <c r="E87" s="9"/>
      <c r="F87" s="6"/>
      <c r="G87" s="6"/>
      <c r="H87" s="31"/>
      <c r="I87" s="20"/>
      <c r="J87" s="6"/>
      <c r="K87" s="9"/>
    </row>
    <row r="88" spans="2:11" x14ac:dyDescent="0.2">
      <c r="B88" s="6"/>
      <c r="C88" s="16"/>
      <c r="D88" s="6"/>
      <c r="E88" s="9"/>
      <c r="F88" s="6"/>
      <c r="G88" s="6"/>
      <c r="H88" s="31"/>
      <c r="I88" s="20"/>
      <c r="J88" s="6"/>
      <c r="K88" s="9"/>
    </row>
    <row r="89" spans="2:11" x14ac:dyDescent="0.2">
      <c r="B89" s="6"/>
      <c r="C89" s="16"/>
      <c r="D89" s="6"/>
      <c r="E89" s="9"/>
      <c r="F89" s="6"/>
      <c r="G89" s="6"/>
      <c r="H89" s="31"/>
      <c r="I89" s="20"/>
      <c r="J89" s="6"/>
      <c r="K89" s="9"/>
    </row>
    <row r="90" spans="2:11" x14ac:dyDescent="0.2">
      <c r="B90" s="6"/>
      <c r="C90" s="16"/>
      <c r="D90" s="6"/>
      <c r="E90" s="9"/>
      <c r="F90" s="6"/>
      <c r="G90" s="6"/>
      <c r="H90" s="31"/>
      <c r="I90" s="20"/>
      <c r="J90" s="6"/>
      <c r="K90" s="9"/>
    </row>
    <row r="91" spans="2:11" x14ac:dyDescent="0.2">
      <c r="B91" s="6"/>
      <c r="C91" s="16"/>
      <c r="D91" s="6"/>
      <c r="E91" s="9"/>
      <c r="F91" s="6"/>
      <c r="G91" s="6"/>
      <c r="H91" s="31"/>
      <c r="I91" s="20"/>
      <c r="J91" s="6"/>
      <c r="K91" s="9"/>
    </row>
    <row r="92" spans="2:11" x14ac:dyDescent="0.2">
      <c r="B92" s="6"/>
      <c r="C92" s="16"/>
      <c r="D92" s="6"/>
      <c r="E92" s="9"/>
      <c r="F92" s="6"/>
      <c r="G92" s="6"/>
      <c r="H92" s="31"/>
      <c r="I92" s="20"/>
      <c r="J92" s="6"/>
      <c r="K92" s="9"/>
    </row>
    <row r="93" spans="2:11" x14ac:dyDescent="0.2">
      <c r="B93" s="6"/>
      <c r="C93" s="16"/>
      <c r="D93" s="6"/>
      <c r="E93" s="9"/>
      <c r="F93" s="6"/>
      <c r="G93" s="6"/>
      <c r="H93" s="31"/>
      <c r="I93" s="20"/>
      <c r="J93" s="6"/>
      <c r="K93" s="9"/>
    </row>
    <row r="94" spans="2:11" x14ac:dyDescent="0.2">
      <c r="B94" s="6"/>
      <c r="C94" s="16"/>
      <c r="D94" s="6"/>
      <c r="E94" s="9"/>
      <c r="F94" s="6"/>
      <c r="G94" s="6"/>
      <c r="H94" s="31"/>
      <c r="I94" s="20"/>
      <c r="J94" s="6"/>
      <c r="K94" s="9"/>
    </row>
    <row r="95" spans="2:11" x14ac:dyDescent="0.2">
      <c r="B95" s="6"/>
      <c r="C95" s="16"/>
      <c r="D95" s="6"/>
      <c r="E95" s="9"/>
      <c r="F95" s="6"/>
      <c r="G95" s="6"/>
      <c r="H95" s="31"/>
      <c r="I95" s="20"/>
      <c r="J95" s="6"/>
      <c r="K95" s="9"/>
    </row>
    <row r="96" spans="2:11" x14ac:dyDescent="0.2">
      <c r="B96" s="6"/>
      <c r="C96" s="16"/>
      <c r="D96" s="6"/>
      <c r="E96" s="9"/>
      <c r="F96" s="6"/>
      <c r="G96" s="6"/>
      <c r="H96" s="31"/>
      <c r="I96" s="20"/>
      <c r="J96" s="6"/>
      <c r="K96" s="9"/>
    </row>
    <row r="97" spans="2:11" x14ac:dyDescent="0.2">
      <c r="B97" s="6"/>
      <c r="C97" s="16"/>
      <c r="D97" s="6"/>
      <c r="E97" s="9"/>
      <c r="F97" s="6"/>
      <c r="G97" s="6"/>
      <c r="H97" s="31"/>
      <c r="I97" s="20"/>
      <c r="J97" s="6"/>
      <c r="K97" s="9"/>
    </row>
    <row r="98" spans="2:11" x14ac:dyDescent="0.2">
      <c r="B98" s="6"/>
      <c r="C98" s="16"/>
      <c r="D98" s="6"/>
      <c r="E98" s="9"/>
      <c r="F98" s="6"/>
      <c r="G98" s="6"/>
      <c r="H98" s="31"/>
      <c r="I98" s="20"/>
      <c r="J98" s="6"/>
      <c r="K98" s="9"/>
    </row>
    <row r="99" spans="2:11" x14ac:dyDescent="0.2">
      <c r="B99" s="6"/>
      <c r="C99" s="16"/>
      <c r="D99" s="17"/>
      <c r="E99" s="9"/>
      <c r="F99" s="6"/>
      <c r="G99" s="6"/>
      <c r="H99" s="31"/>
      <c r="I99" s="20"/>
      <c r="J99" s="6"/>
      <c r="K99" s="9"/>
    </row>
    <row r="100" spans="2:11" x14ac:dyDescent="0.2">
      <c r="B100" s="6"/>
      <c r="C100" s="16"/>
      <c r="D100" s="17"/>
      <c r="E100" s="9"/>
      <c r="F100" s="6"/>
      <c r="G100" s="6"/>
      <c r="H100" s="31"/>
      <c r="I100" s="20"/>
      <c r="J100" s="6"/>
      <c r="K100" s="9"/>
    </row>
    <row r="101" spans="2:11" x14ac:dyDescent="0.2">
      <c r="B101" s="6"/>
      <c r="C101" s="16"/>
      <c r="D101" s="17"/>
      <c r="E101" s="9"/>
      <c r="F101" s="6"/>
      <c r="G101" s="6"/>
      <c r="H101" s="31"/>
      <c r="I101" s="20"/>
      <c r="J101" s="6"/>
      <c r="K101" s="9"/>
    </row>
    <row r="102" spans="2:11" x14ac:dyDescent="0.2">
      <c r="B102" s="6"/>
      <c r="C102" s="16"/>
      <c r="D102" s="17"/>
      <c r="E102" s="9"/>
      <c r="F102" s="6"/>
      <c r="G102" s="6"/>
      <c r="H102" s="31"/>
      <c r="I102" s="20"/>
      <c r="J102" s="6"/>
      <c r="K102" s="9"/>
    </row>
    <row r="103" spans="2:11" x14ac:dyDescent="0.2">
      <c r="B103" s="6"/>
      <c r="C103" s="16"/>
      <c r="D103" s="17"/>
      <c r="E103" s="9"/>
      <c r="F103" s="6"/>
      <c r="G103" s="6"/>
      <c r="H103" s="31"/>
      <c r="I103" s="20"/>
      <c r="J103" s="6"/>
      <c r="K103" s="9"/>
    </row>
    <row r="104" spans="2:11" x14ac:dyDescent="0.2">
      <c r="B104" s="6"/>
      <c r="C104" s="16"/>
      <c r="D104" s="17"/>
      <c r="E104" s="9"/>
      <c r="F104" s="6"/>
      <c r="G104" s="6"/>
      <c r="H104" s="31"/>
      <c r="I104" s="20"/>
      <c r="J104" s="6"/>
      <c r="K104" s="9"/>
    </row>
    <row r="105" spans="2:11" x14ac:dyDescent="0.2">
      <c r="B105" s="6"/>
      <c r="C105" s="16"/>
      <c r="D105" s="17"/>
      <c r="E105" s="9"/>
      <c r="F105" s="6"/>
      <c r="G105" s="6"/>
      <c r="H105" s="31"/>
      <c r="I105" s="20"/>
      <c r="J105" s="6"/>
      <c r="K105" s="9"/>
    </row>
    <row r="106" spans="2:11" x14ac:dyDescent="0.2">
      <c r="B106" s="6"/>
      <c r="C106" s="16"/>
      <c r="D106" s="17"/>
      <c r="E106" s="9"/>
      <c r="F106" s="6"/>
      <c r="G106" s="6"/>
      <c r="H106" s="31"/>
      <c r="I106" s="20"/>
      <c r="J106" s="6"/>
      <c r="K106" s="9"/>
    </row>
    <row r="107" spans="2:11" x14ac:dyDescent="0.2">
      <c r="B107" s="6"/>
      <c r="C107" s="16"/>
      <c r="D107" s="17"/>
      <c r="E107" s="9"/>
      <c r="F107" s="6"/>
      <c r="G107" s="6"/>
      <c r="H107" s="31"/>
      <c r="I107" s="20"/>
      <c r="J107" s="6"/>
      <c r="K107" s="9"/>
    </row>
    <row r="108" spans="2:11" x14ac:dyDescent="0.2">
      <c r="B108" s="6"/>
      <c r="C108" s="16"/>
      <c r="D108" s="17"/>
      <c r="E108" s="9"/>
      <c r="F108" s="6"/>
      <c r="G108" s="6"/>
      <c r="H108" s="31"/>
      <c r="I108" s="20"/>
      <c r="J108" s="6"/>
      <c r="K108" s="9"/>
    </row>
    <row r="109" spans="2:11" x14ac:dyDescent="0.2">
      <c r="B109" s="6"/>
      <c r="C109" s="16"/>
      <c r="D109" s="17"/>
      <c r="E109" s="9"/>
      <c r="F109" s="6"/>
      <c r="G109" s="6"/>
      <c r="H109" s="31"/>
      <c r="I109" s="20"/>
      <c r="J109" s="6"/>
      <c r="K109" s="9"/>
    </row>
    <row r="110" spans="2:11" x14ac:dyDescent="0.2">
      <c r="B110" s="6"/>
      <c r="C110" s="16"/>
      <c r="D110" s="17"/>
      <c r="E110" s="9"/>
      <c r="F110" s="6"/>
      <c r="G110" s="6"/>
      <c r="H110" s="31"/>
      <c r="I110" s="20"/>
      <c r="J110" s="6"/>
      <c r="K110" s="9"/>
    </row>
    <row r="111" spans="2:11" x14ac:dyDescent="0.2">
      <c r="B111" s="6"/>
      <c r="C111" s="16"/>
      <c r="D111" s="17"/>
      <c r="E111" s="9"/>
      <c r="F111" s="6"/>
      <c r="G111" s="6"/>
      <c r="H111" s="31"/>
      <c r="I111" s="20"/>
      <c r="J111" s="6"/>
      <c r="K111" s="9"/>
    </row>
    <row r="112" spans="2:11" x14ac:dyDescent="0.2">
      <c r="B112" s="6"/>
      <c r="C112" s="16"/>
      <c r="D112" s="17"/>
      <c r="E112" s="9"/>
      <c r="F112" s="6"/>
      <c r="G112" s="6"/>
      <c r="H112" s="31"/>
      <c r="I112" s="20"/>
      <c r="J112" s="6"/>
      <c r="K112" s="9"/>
    </row>
    <row r="113" spans="2:11" x14ac:dyDescent="0.2">
      <c r="B113" s="6"/>
      <c r="C113" s="16"/>
      <c r="D113" s="17"/>
      <c r="E113" s="9"/>
      <c r="F113" s="6"/>
      <c r="G113" s="6"/>
      <c r="H113" s="31"/>
      <c r="I113" s="20"/>
      <c r="J113" s="6"/>
      <c r="K113" s="9"/>
    </row>
    <row r="114" spans="2:11" x14ac:dyDescent="0.2">
      <c r="B114" s="6"/>
      <c r="C114" s="16"/>
      <c r="D114" s="17"/>
      <c r="E114" s="9"/>
      <c r="F114" s="6"/>
      <c r="G114" s="6"/>
      <c r="H114" s="31"/>
      <c r="I114" s="20"/>
      <c r="J114" s="6"/>
      <c r="K114" s="9"/>
    </row>
    <row r="115" spans="2:11" x14ac:dyDescent="0.2">
      <c r="B115" s="6"/>
      <c r="C115" s="16"/>
      <c r="D115" s="17"/>
      <c r="E115" s="9"/>
      <c r="F115" s="6"/>
      <c r="G115" s="6"/>
      <c r="H115" s="31"/>
      <c r="I115" s="20"/>
      <c r="J115" s="6"/>
      <c r="K115" s="9"/>
    </row>
    <row r="116" spans="2:11" x14ac:dyDescent="0.2">
      <c r="B116" s="6"/>
      <c r="C116" s="16"/>
      <c r="D116" s="17"/>
      <c r="E116" s="9"/>
      <c r="F116" s="6"/>
      <c r="G116" s="6"/>
      <c r="H116" s="31"/>
      <c r="I116" s="20"/>
      <c r="J116" s="6"/>
      <c r="K116" s="9"/>
    </row>
    <row r="117" spans="2:11" x14ac:dyDescent="0.2">
      <c r="B117" s="6"/>
      <c r="C117" s="16"/>
      <c r="D117" s="17"/>
      <c r="E117" s="9"/>
      <c r="F117" s="6"/>
      <c r="G117" s="6"/>
      <c r="H117" s="31"/>
      <c r="I117" s="20"/>
      <c r="J117" s="6"/>
      <c r="K117" s="9"/>
    </row>
    <row r="118" spans="2:11" x14ac:dyDescent="0.2">
      <c r="B118" s="6"/>
      <c r="C118" s="16"/>
      <c r="D118" s="17"/>
      <c r="E118" s="9"/>
      <c r="F118" s="6"/>
      <c r="G118" s="6"/>
      <c r="H118" s="31"/>
      <c r="I118" s="20"/>
      <c r="J118" s="6"/>
      <c r="K118" s="9"/>
    </row>
    <row r="119" spans="2:11" x14ac:dyDescent="0.2">
      <c r="B119" s="6"/>
      <c r="C119" s="16"/>
      <c r="D119" s="17"/>
      <c r="E119" s="9"/>
      <c r="F119" s="6"/>
      <c r="G119" s="6"/>
      <c r="H119" s="31"/>
      <c r="I119" s="20"/>
      <c r="J119" s="6"/>
      <c r="K119" s="9"/>
    </row>
    <row r="120" spans="2:11" x14ac:dyDescent="0.2">
      <c r="B120" s="6"/>
      <c r="C120" s="16"/>
      <c r="D120" s="17"/>
      <c r="E120" s="9"/>
      <c r="F120" s="6"/>
      <c r="G120" s="6"/>
      <c r="H120" s="31"/>
      <c r="I120" s="20"/>
      <c r="J120" s="6"/>
      <c r="K120" s="9"/>
    </row>
    <row r="121" spans="2:11" x14ac:dyDescent="0.2">
      <c r="B121" s="6"/>
      <c r="C121" s="16"/>
      <c r="D121" s="17"/>
      <c r="E121" s="9"/>
      <c r="F121" s="6"/>
      <c r="G121" s="6"/>
      <c r="H121" s="31"/>
      <c r="I121" s="20"/>
      <c r="J121" s="6"/>
      <c r="K121" s="9"/>
    </row>
    <row r="122" spans="2:11" x14ac:dyDescent="0.2">
      <c r="B122" s="6"/>
      <c r="C122" s="16"/>
      <c r="D122" s="17"/>
      <c r="E122" s="9"/>
      <c r="F122" s="6"/>
      <c r="G122" s="6"/>
      <c r="H122" s="31"/>
      <c r="I122" s="20"/>
      <c r="J122" s="6"/>
      <c r="K122" s="9"/>
    </row>
    <row r="123" spans="2:11" x14ac:dyDescent="0.2">
      <c r="B123" s="6"/>
      <c r="C123" s="16"/>
      <c r="D123" s="17"/>
      <c r="E123" s="9"/>
      <c r="F123" s="6"/>
      <c r="G123" s="6"/>
      <c r="H123" s="31"/>
      <c r="I123" s="20"/>
      <c r="J123" s="6"/>
      <c r="K123" s="9"/>
    </row>
    <row r="124" spans="2:11" x14ac:dyDescent="0.2">
      <c r="B124" s="6"/>
      <c r="C124" s="16"/>
      <c r="D124" s="17"/>
      <c r="E124" s="9"/>
      <c r="F124" s="6"/>
      <c r="G124" s="6"/>
      <c r="H124" s="31"/>
      <c r="I124" s="20"/>
      <c r="J124" s="6"/>
      <c r="K124" s="9"/>
    </row>
    <row r="125" spans="2:11" x14ac:dyDescent="0.2">
      <c r="B125" s="6"/>
      <c r="C125" s="16"/>
      <c r="D125" s="17"/>
      <c r="E125" s="9"/>
      <c r="F125" s="6"/>
      <c r="G125" s="6"/>
      <c r="H125" s="31"/>
      <c r="I125" s="20"/>
      <c r="J125" s="6"/>
      <c r="K125" s="9"/>
    </row>
    <row r="126" spans="2:11" x14ac:dyDescent="0.2">
      <c r="B126" s="6"/>
      <c r="C126" s="16"/>
      <c r="D126" s="17"/>
      <c r="E126" s="9"/>
      <c r="F126" s="6"/>
      <c r="G126" s="41"/>
      <c r="H126" s="20"/>
      <c r="I126" s="8"/>
      <c r="J126" s="6"/>
      <c r="K126" s="9"/>
    </row>
    <row r="127" spans="2:11" x14ac:dyDescent="0.2">
      <c r="B127" s="6"/>
      <c r="C127" s="16"/>
      <c r="D127" s="17"/>
      <c r="E127" s="9"/>
      <c r="F127" s="6"/>
      <c r="G127" s="41"/>
      <c r="H127" s="20"/>
      <c r="I127" s="8"/>
      <c r="J127" s="6"/>
      <c r="K127" s="9"/>
    </row>
    <row r="128" spans="2:11" x14ac:dyDescent="0.2">
      <c r="B128" s="6"/>
      <c r="C128" s="16"/>
      <c r="D128" s="17"/>
      <c r="E128" s="9"/>
      <c r="F128" s="6"/>
      <c r="G128" s="41"/>
      <c r="H128" s="20"/>
      <c r="I128" s="8"/>
      <c r="J128" s="6"/>
      <c r="K128" s="9"/>
    </row>
    <row r="129" spans="2:11" x14ac:dyDescent="0.2">
      <c r="B129" s="6"/>
      <c r="C129" s="16"/>
      <c r="D129" s="17"/>
      <c r="E129" s="9"/>
      <c r="F129" s="6"/>
      <c r="G129" s="41"/>
      <c r="H129" s="20"/>
      <c r="I129" s="8"/>
      <c r="J129" s="6"/>
      <c r="K129" s="9"/>
    </row>
    <row r="130" spans="2:11" x14ac:dyDescent="0.2">
      <c r="B130" s="6"/>
      <c r="C130" s="16"/>
      <c r="D130" s="17"/>
      <c r="E130" s="9"/>
      <c r="F130" s="6"/>
      <c r="G130" s="41"/>
      <c r="H130" s="20"/>
      <c r="I130" s="8"/>
      <c r="J130" s="6"/>
      <c r="K130" s="9"/>
    </row>
    <row r="131" spans="2:11" x14ac:dyDescent="0.2">
      <c r="B131" s="6"/>
      <c r="C131" s="16"/>
      <c r="D131" s="17"/>
      <c r="E131" s="9"/>
      <c r="F131" s="6"/>
      <c r="G131" s="41"/>
      <c r="H131" s="20"/>
      <c r="I131" s="8"/>
      <c r="J131" s="6"/>
      <c r="K131" s="9"/>
    </row>
    <row r="132" spans="2:11" x14ac:dyDescent="0.2">
      <c r="B132" s="6"/>
      <c r="C132" s="16"/>
      <c r="D132" s="17"/>
      <c r="E132" s="9"/>
      <c r="F132" s="6"/>
      <c r="G132" s="41"/>
      <c r="H132" s="20"/>
      <c r="I132" s="8"/>
      <c r="J132" s="6"/>
      <c r="K132" s="9"/>
    </row>
    <row r="133" spans="2:11" x14ac:dyDescent="0.2">
      <c r="B133" s="6"/>
      <c r="C133" s="16"/>
      <c r="D133" s="8"/>
      <c r="E133" s="9"/>
      <c r="F133" s="6"/>
      <c r="G133" s="41"/>
      <c r="H133" s="20"/>
      <c r="I133" s="8"/>
      <c r="J133" s="6"/>
      <c r="K133" s="9"/>
    </row>
    <row r="134" spans="2:11" x14ac:dyDescent="0.2">
      <c r="B134" s="6"/>
      <c r="C134" s="16"/>
      <c r="D134" s="8"/>
      <c r="E134" s="9"/>
      <c r="F134" s="6"/>
      <c r="G134" s="41"/>
      <c r="H134" s="20"/>
      <c r="I134" s="8"/>
      <c r="J134" s="6"/>
      <c r="K134" s="9"/>
    </row>
    <row r="135" spans="2:11" x14ac:dyDescent="0.2">
      <c r="B135" s="6"/>
      <c r="C135" s="16"/>
      <c r="D135" s="8"/>
      <c r="E135" s="9"/>
      <c r="F135" s="6"/>
      <c r="G135" s="41"/>
      <c r="H135" s="20"/>
      <c r="I135" s="8"/>
      <c r="J135" s="6"/>
      <c r="K135" s="9"/>
    </row>
    <row r="136" spans="2:11" x14ac:dyDescent="0.2">
      <c r="B136" s="6"/>
      <c r="C136" s="16"/>
      <c r="D136" s="8"/>
      <c r="E136" s="9"/>
      <c r="F136" s="6"/>
      <c r="G136" s="41"/>
      <c r="H136" s="20"/>
      <c r="I136" s="8"/>
      <c r="J136" s="6"/>
      <c r="K136" s="9"/>
    </row>
    <row r="137" spans="2:11" x14ac:dyDescent="0.2">
      <c r="B137" s="6"/>
      <c r="C137" s="16"/>
      <c r="D137" s="8"/>
      <c r="E137" s="9"/>
      <c r="F137" s="6"/>
      <c r="G137" s="41"/>
      <c r="H137" s="20"/>
      <c r="I137" s="8"/>
      <c r="J137" s="6"/>
      <c r="K137" s="9"/>
    </row>
    <row r="138" spans="2:11" x14ac:dyDescent="0.2">
      <c r="B138" s="6"/>
      <c r="C138" s="16"/>
      <c r="D138" s="8"/>
      <c r="E138" s="9"/>
      <c r="F138" s="6"/>
      <c r="G138" s="41"/>
      <c r="H138" s="20"/>
      <c r="I138" s="8"/>
      <c r="J138" s="6"/>
      <c r="K138" s="9"/>
    </row>
    <row r="139" spans="2:11" x14ac:dyDescent="0.2">
      <c r="B139" s="6"/>
      <c r="C139" s="16"/>
      <c r="D139" s="8"/>
      <c r="E139" s="9"/>
      <c r="F139" s="6"/>
      <c r="G139" s="41"/>
      <c r="H139" s="20"/>
      <c r="I139" s="8"/>
      <c r="J139" s="6"/>
      <c r="K139" s="9"/>
    </row>
    <row r="140" spans="2:11" x14ac:dyDescent="0.2">
      <c r="B140" s="6"/>
      <c r="C140" s="16"/>
      <c r="D140" s="8"/>
      <c r="E140" s="9"/>
      <c r="F140" s="6"/>
      <c r="G140" s="41"/>
      <c r="H140" s="20"/>
      <c r="I140" s="8"/>
      <c r="J140" s="6"/>
      <c r="K140" s="9"/>
    </row>
    <row r="141" spans="2:11" x14ac:dyDescent="0.2">
      <c r="B141" s="6"/>
      <c r="C141" s="16"/>
      <c r="D141" s="8"/>
      <c r="E141" s="9"/>
      <c r="F141" s="6"/>
      <c r="G141" s="41"/>
      <c r="H141" s="20"/>
      <c r="I141" s="8"/>
      <c r="J141" s="6"/>
      <c r="K141" s="9"/>
    </row>
    <row r="142" spans="2:11" x14ac:dyDescent="0.2">
      <c r="B142" s="6"/>
      <c r="C142" s="16"/>
      <c r="D142" s="8"/>
      <c r="E142" s="9"/>
      <c r="F142" s="6"/>
      <c r="G142" s="41"/>
      <c r="H142" s="20"/>
      <c r="I142" s="8"/>
      <c r="J142" s="6"/>
      <c r="K142" s="9"/>
    </row>
    <row r="143" spans="2:11" x14ac:dyDescent="0.2">
      <c r="B143" s="6"/>
      <c r="C143" s="16"/>
      <c r="D143" s="8"/>
      <c r="E143" s="9"/>
      <c r="F143" s="6"/>
      <c r="G143" s="41"/>
      <c r="H143" s="20"/>
      <c r="I143" s="8"/>
      <c r="J143" s="6"/>
      <c r="K143" s="9"/>
    </row>
    <row r="144" spans="2:11" x14ac:dyDescent="0.2">
      <c r="B144" s="6"/>
      <c r="C144" s="16"/>
      <c r="D144" s="8"/>
      <c r="E144" s="9"/>
      <c r="F144" s="6"/>
      <c r="G144" s="41"/>
      <c r="H144" s="20"/>
      <c r="I144" s="8"/>
      <c r="J144" s="6"/>
      <c r="K144" s="9"/>
    </row>
    <row r="145" spans="2:11" x14ac:dyDescent="0.2">
      <c r="B145" s="6"/>
      <c r="C145" s="16"/>
      <c r="D145" s="8"/>
      <c r="E145" s="9"/>
      <c r="F145" s="6"/>
      <c r="G145" s="41"/>
      <c r="H145" s="20"/>
      <c r="I145" s="8"/>
      <c r="J145" s="6"/>
      <c r="K145" s="9"/>
    </row>
    <row r="146" spans="2:11" x14ac:dyDescent="0.2">
      <c r="B146" s="6"/>
      <c r="C146" s="16"/>
      <c r="D146" s="8"/>
      <c r="E146" s="9"/>
      <c r="F146" s="6"/>
      <c r="G146" s="41"/>
      <c r="H146" s="20"/>
      <c r="I146" s="8"/>
      <c r="J146" s="6"/>
      <c r="K146" s="9"/>
    </row>
    <row r="147" spans="2:11" x14ac:dyDescent="0.2">
      <c r="B147" s="6"/>
      <c r="C147" s="16"/>
      <c r="D147" s="8"/>
      <c r="E147" s="9"/>
      <c r="F147" s="6"/>
      <c r="G147" s="41"/>
      <c r="H147" s="20"/>
      <c r="I147" s="8"/>
      <c r="J147" s="6"/>
      <c r="K147" s="9"/>
    </row>
    <row r="148" spans="2:11" x14ac:dyDescent="0.2">
      <c r="B148" s="6"/>
      <c r="C148" s="16"/>
      <c r="D148" s="8"/>
      <c r="E148" s="9"/>
      <c r="F148" s="6"/>
      <c r="G148" s="41"/>
      <c r="H148" s="20"/>
      <c r="I148" s="8"/>
      <c r="J148" s="6"/>
      <c r="K148" s="9"/>
    </row>
    <row r="149" spans="2:11" x14ac:dyDescent="0.2">
      <c r="B149" s="6"/>
      <c r="C149" s="16"/>
      <c r="D149" s="8"/>
      <c r="E149" s="9"/>
      <c r="F149" s="6"/>
      <c r="G149" s="41"/>
      <c r="H149" s="20"/>
      <c r="I149" s="8"/>
      <c r="J149" s="6"/>
      <c r="K149" s="9"/>
    </row>
    <row r="150" spans="2:11" x14ac:dyDescent="0.2">
      <c r="B150" s="6"/>
      <c r="C150" s="16"/>
      <c r="D150" s="8"/>
      <c r="E150" s="9"/>
      <c r="F150" s="6"/>
      <c r="G150" s="41"/>
      <c r="H150" s="20"/>
      <c r="I150" s="8"/>
      <c r="J150" s="6"/>
      <c r="K150" s="9"/>
    </row>
    <row r="151" spans="2:11" x14ac:dyDescent="0.2">
      <c r="B151" s="6"/>
      <c r="C151" s="16"/>
      <c r="D151" s="8"/>
      <c r="E151" s="9"/>
      <c r="F151" s="6"/>
      <c r="G151" s="41"/>
      <c r="H151" s="20"/>
      <c r="I151" s="8"/>
      <c r="J151" s="6"/>
      <c r="K151" s="9"/>
    </row>
    <row r="152" spans="2:11" x14ac:dyDescent="0.2">
      <c r="B152" s="6"/>
      <c r="C152" s="16"/>
      <c r="D152" s="8"/>
      <c r="E152" s="9"/>
      <c r="F152" s="6"/>
      <c r="G152" s="41"/>
      <c r="H152" s="20"/>
      <c r="I152" s="8"/>
      <c r="J152" s="6"/>
      <c r="K152" s="9"/>
    </row>
    <row r="153" spans="2:11" x14ac:dyDescent="0.2">
      <c r="B153" s="6"/>
      <c r="C153" s="16"/>
      <c r="D153" s="8"/>
      <c r="E153" s="9"/>
      <c r="F153" s="6"/>
      <c r="G153" s="41"/>
      <c r="H153" s="20"/>
      <c r="I153" s="8"/>
      <c r="J153" s="6"/>
      <c r="K153" s="9"/>
    </row>
    <row r="154" spans="2:11" x14ac:dyDescent="0.2">
      <c r="B154" s="6"/>
      <c r="C154" s="16"/>
      <c r="D154" s="8"/>
      <c r="E154" s="9"/>
      <c r="F154" s="6"/>
      <c r="G154" s="41"/>
      <c r="H154" s="20"/>
      <c r="I154" s="8"/>
      <c r="J154" s="6"/>
      <c r="K154" s="9"/>
    </row>
    <row r="155" spans="2:11" x14ac:dyDescent="0.2">
      <c r="B155" s="6"/>
      <c r="C155" s="16"/>
      <c r="D155" s="8"/>
      <c r="E155" s="9"/>
      <c r="F155" s="6"/>
      <c r="G155" s="41"/>
      <c r="H155" s="20"/>
      <c r="I155" s="8"/>
      <c r="J155" s="6"/>
      <c r="K155" s="9"/>
    </row>
    <row r="156" spans="2:11" x14ac:dyDescent="0.2">
      <c r="B156" s="6"/>
      <c r="C156" s="16"/>
      <c r="D156" s="8"/>
      <c r="E156" s="9"/>
      <c r="F156" s="6"/>
      <c r="G156" s="41"/>
      <c r="H156" s="20"/>
      <c r="I156" s="8"/>
      <c r="J156" s="6"/>
      <c r="K156" s="9"/>
    </row>
    <row r="157" spans="2:11" x14ac:dyDescent="0.2">
      <c r="B157" s="6"/>
      <c r="C157" s="16"/>
      <c r="D157" s="8"/>
      <c r="E157" s="9"/>
      <c r="F157" s="6"/>
      <c r="G157" s="41"/>
      <c r="H157" s="20"/>
      <c r="I157" s="8"/>
      <c r="J157" s="6"/>
      <c r="K157" s="9"/>
    </row>
    <row r="158" spans="2:11" x14ac:dyDescent="0.2">
      <c r="B158" s="6"/>
      <c r="C158" s="16"/>
      <c r="D158" s="8"/>
      <c r="E158" s="9"/>
      <c r="F158" s="6"/>
      <c r="G158" s="41"/>
      <c r="H158" s="20"/>
      <c r="I158" s="8"/>
      <c r="J158" s="6"/>
      <c r="K158" s="9"/>
    </row>
    <row r="159" spans="2:11" x14ac:dyDescent="0.2">
      <c r="B159" s="6"/>
      <c r="C159" s="16"/>
      <c r="D159" s="8"/>
      <c r="E159" s="9"/>
      <c r="F159" s="6"/>
      <c r="G159" s="41"/>
      <c r="H159" s="20"/>
      <c r="I159" s="8"/>
      <c r="J159" s="6"/>
      <c r="K159" s="9"/>
    </row>
    <row r="160" spans="2:11" x14ac:dyDescent="0.2">
      <c r="B160" s="6"/>
      <c r="C160" s="16"/>
      <c r="D160" s="8"/>
      <c r="E160" s="9"/>
      <c r="F160" s="6"/>
      <c r="G160" s="41"/>
      <c r="H160" s="20"/>
      <c r="I160" s="8"/>
      <c r="J160" s="6"/>
      <c r="K160" s="9"/>
    </row>
    <row r="161" spans="2:11" x14ac:dyDescent="0.2">
      <c r="B161" s="6"/>
      <c r="C161" s="16"/>
      <c r="D161" s="8"/>
      <c r="E161" s="9"/>
      <c r="F161" s="6"/>
      <c r="G161" s="41"/>
      <c r="H161" s="20"/>
      <c r="I161" s="8"/>
      <c r="J161" s="6"/>
      <c r="K161" s="9"/>
    </row>
    <row r="162" spans="2:11" x14ac:dyDescent="0.2">
      <c r="B162" s="6"/>
      <c r="C162" s="16"/>
      <c r="D162" s="8"/>
      <c r="E162" s="9"/>
      <c r="F162" s="6"/>
      <c r="G162" s="41"/>
      <c r="H162" s="20"/>
      <c r="I162" s="8"/>
      <c r="J162" s="6"/>
      <c r="K162" s="9"/>
    </row>
    <row r="163" spans="2:11" x14ac:dyDescent="0.2">
      <c r="B163" s="6"/>
      <c r="C163" s="16"/>
      <c r="D163" s="8"/>
      <c r="E163" s="9"/>
      <c r="F163" s="6"/>
      <c r="G163" s="41"/>
      <c r="H163" s="20"/>
      <c r="I163" s="8"/>
      <c r="J163" s="6"/>
      <c r="K163" s="9"/>
    </row>
    <row r="164" spans="2:11" x14ac:dyDescent="0.2">
      <c r="B164" s="6"/>
      <c r="C164" s="16"/>
      <c r="D164" s="8"/>
      <c r="E164" s="9"/>
      <c r="F164" s="6"/>
      <c r="G164" s="41"/>
      <c r="H164" s="20"/>
      <c r="I164" s="8"/>
      <c r="J164" s="6"/>
      <c r="K164" s="9"/>
    </row>
    <row r="165" spans="2:11" x14ac:dyDescent="0.2">
      <c r="B165" s="6"/>
      <c r="C165" s="16"/>
      <c r="D165" s="8"/>
      <c r="E165" s="9"/>
      <c r="F165" s="6"/>
      <c r="G165" s="41"/>
      <c r="H165" s="20"/>
      <c r="I165" s="8"/>
      <c r="J165" s="6"/>
      <c r="K165" s="9"/>
    </row>
    <row r="166" spans="2:11" x14ac:dyDescent="0.2">
      <c r="B166" s="6"/>
      <c r="C166" s="16"/>
      <c r="D166" s="8"/>
      <c r="E166" s="9"/>
      <c r="F166" s="6"/>
      <c r="G166" s="41"/>
      <c r="H166" s="20"/>
      <c r="I166" s="8"/>
      <c r="J166" s="6"/>
      <c r="K166" s="9"/>
    </row>
    <row r="167" spans="2:11" x14ac:dyDescent="0.2">
      <c r="B167" s="6"/>
      <c r="C167" s="16"/>
      <c r="D167" s="8"/>
      <c r="E167" s="9"/>
      <c r="F167" s="6"/>
      <c r="G167" s="41"/>
      <c r="H167" s="20"/>
      <c r="I167" s="8"/>
      <c r="J167" s="6"/>
      <c r="K167" s="9"/>
    </row>
    <row r="168" spans="2:11" x14ac:dyDescent="0.2">
      <c r="B168" s="6"/>
      <c r="C168" s="16"/>
      <c r="D168" s="8"/>
      <c r="E168" s="9"/>
      <c r="F168" s="6"/>
      <c r="G168" s="41"/>
      <c r="H168" s="20"/>
      <c r="I168" s="8"/>
      <c r="J168" s="6"/>
      <c r="K168" s="9"/>
    </row>
    <row r="169" spans="2:11" x14ac:dyDescent="0.2">
      <c r="B169" s="6"/>
      <c r="C169" s="16"/>
      <c r="D169" s="8"/>
      <c r="E169" s="9"/>
      <c r="F169" s="6"/>
      <c r="G169" s="41"/>
      <c r="H169" s="20"/>
      <c r="I169" s="8"/>
      <c r="J169" s="6"/>
      <c r="K169" s="9"/>
    </row>
    <row r="170" spans="2:11" x14ac:dyDescent="0.2">
      <c r="B170" s="6"/>
      <c r="C170" s="16"/>
      <c r="D170" s="8"/>
      <c r="E170" s="9"/>
      <c r="F170" s="6"/>
      <c r="G170" s="41"/>
      <c r="H170" s="20"/>
      <c r="I170" s="8"/>
      <c r="J170" s="6"/>
      <c r="K170" s="9"/>
    </row>
    <row r="171" spans="2:11" x14ac:dyDescent="0.2">
      <c r="B171" s="6"/>
      <c r="C171" s="16"/>
      <c r="D171" s="8"/>
      <c r="E171" s="9"/>
      <c r="F171" s="6"/>
      <c r="G171" s="41"/>
      <c r="H171" s="20"/>
      <c r="I171" s="8"/>
      <c r="J171" s="6"/>
      <c r="K171" s="9"/>
    </row>
    <row r="172" spans="2:11" x14ac:dyDescent="0.2">
      <c r="B172" s="6"/>
      <c r="C172" s="16"/>
      <c r="D172" s="8"/>
      <c r="E172" s="9"/>
      <c r="F172" s="6"/>
      <c r="G172" s="41"/>
      <c r="H172" s="20"/>
      <c r="I172" s="8"/>
      <c r="J172" s="6"/>
      <c r="K172" s="9"/>
    </row>
    <row r="173" spans="2:11" x14ac:dyDescent="0.2">
      <c r="B173" s="6"/>
      <c r="C173" s="16"/>
      <c r="D173" s="8"/>
      <c r="E173" s="9"/>
      <c r="F173" s="6"/>
      <c r="G173" s="41"/>
      <c r="H173" s="20"/>
      <c r="I173" s="8"/>
      <c r="J173" s="6"/>
      <c r="K173" s="9"/>
    </row>
    <row r="174" spans="2:11" x14ac:dyDescent="0.2">
      <c r="B174" s="6"/>
      <c r="C174" s="16"/>
      <c r="D174" s="8"/>
      <c r="E174" s="9"/>
      <c r="F174" s="6"/>
      <c r="G174" s="41"/>
      <c r="H174" s="20"/>
      <c r="I174" s="8"/>
      <c r="J174" s="6"/>
      <c r="K174" s="9"/>
    </row>
    <row r="175" spans="2:11" x14ac:dyDescent="0.2">
      <c r="B175" s="6"/>
      <c r="C175" s="16"/>
      <c r="D175" s="8"/>
      <c r="E175" s="9"/>
      <c r="F175" s="6"/>
      <c r="G175" s="41"/>
      <c r="H175" s="20"/>
      <c r="I175" s="8"/>
      <c r="J175" s="6"/>
      <c r="K175" s="9"/>
    </row>
    <row r="176" spans="2:11" x14ac:dyDescent="0.2">
      <c r="B176" s="6"/>
      <c r="C176" s="16"/>
      <c r="D176" s="8"/>
      <c r="E176" s="9"/>
      <c r="F176" s="6"/>
      <c r="G176" s="41"/>
      <c r="H176" s="20"/>
      <c r="I176" s="8"/>
      <c r="J176" s="6"/>
      <c r="K176" s="9"/>
    </row>
    <row r="177" spans="2:11" x14ac:dyDescent="0.2">
      <c r="B177" s="6"/>
      <c r="C177" s="16"/>
      <c r="D177" s="8"/>
      <c r="E177" s="9"/>
      <c r="F177" s="6"/>
      <c r="G177" s="41"/>
      <c r="H177" s="20"/>
      <c r="I177" s="8"/>
      <c r="J177" s="6"/>
      <c r="K177" s="9"/>
    </row>
    <row r="178" spans="2:11" x14ac:dyDescent="0.2">
      <c r="B178" s="6"/>
      <c r="C178" s="16"/>
      <c r="D178" s="8"/>
      <c r="E178" s="9"/>
      <c r="F178" s="6"/>
      <c r="G178" s="41"/>
      <c r="H178" s="20"/>
      <c r="I178" s="8"/>
      <c r="J178" s="6"/>
      <c r="K178" s="9"/>
    </row>
    <row r="179" spans="2:11" x14ac:dyDescent="0.2">
      <c r="B179" s="6"/>
      <c r="C179" s="16"/>
      <c r="D179" s="8"/>
      <c r="E179" s="9"/>
      <c r="F179" s="6"/>
      <c r="G179" s="41"/>
      <c r="H179" s="20"/>
      <c r="I179" s="8"/>
      <c r="J179" s="6"/>
      <c r="K179" s="9"/>
    </row>
    <row r="180" spans="2:11" x14ac:dyDescent="0.2">
      <c r="B180" s="6"/>
      <c r="C180" s="16"/>
      <c r="D180" s="8"/>
      <c r="E180" s="9"/>
      <c r="F180" s="6"/>
      <c r="G180" s="41"/>
      <c r="H180" s="20"/>
      <c r="I180" s="8"/>
      <c r="J180" s="6"/>
      <c r="K180" s="9"/>
    </row>
    <row r="181" spans="2:11" x14ac:dyDescent="0.2">
      <c r="B181" s="6"/>
      <c r="C181" s="16"/>
      <c r="D181" s="8"/>
      <c r="E181" s="9"/>
      <c r="F181" s="6"/>
      <c r="G181" s="41"/>
      <c r="H181" s="20"/>
      <c r="I181" s="8"/>
      <c r="J181" s="6"/>
      <c r="K181" s="9"/>
    </row>
    <row r="182" spans="2:11" x14ac:dyDescent="0.2">
      <c r="B182" s="6"/>
      <c r="C182" s="16"/>
      <c r="D182" s="8"/>
      <c r="E182" s="9"/>
      <c r="F182" s="6"/>
      <c r="G182" s="41"/>
      <c r="H182" s="20"/>
      <c r="I182" s="8"/>
      <c r="J182" s="6"/>
      <c r="K182" s="9"/>
    </row>
    <row r="183" spans="2:11" x14ac:dyDescent="0.2">
      <c r="B183" s="6"/>
      <c r="C183" s="16"/>
      <c r="D183" s="8"/>
      <c r="E183" s="9"/>
      <c r="F183" s="6"/>
      <c r="G183" s="41"/>
      <c r="H183" s="20"/>
      <c r="I183" s="8"/>
      <c r="J183" s="6"/>
      <c r="K183" s="9"/>
    </row>
    <row r="184" spans="2:11" x14ac:dyDescent="0.2">
      <c r="B184" s="6"/>
      <c r="C184" s="16"/>
      <c r="D184" s="8"/>
      <c r="E184" s="9"/>
      <c r="F184" s="6"/>
      <c r="G184" s="41"/>
      <c r="H184" s="20"/>
      <c r="I184" s="8"/>
      <c r="J184" s="6"/>
      <c r="K184" s="9"/>
    </row>
    <row r="185" spans="2:11" x14ac:dyDescent="0.2">
      <c r="B185" s="6"/>
      <c r="C185" s="16"/>
      <c r="D185" s="8"/>
      <c r="E185" s="9"/>
      <c r="F185" s="6"/>
      <c r="G185" s="41"/>
      <c r="H185" s="20"/>
      <c r="I185" s="8"/>
      <c r="J185" s="6"/>
      <c r="K185" s="9"/>
    </row>
    <row r="186" spans="2:11" x14ac:dyDescent="0.2">
      <c r="B186" s="6"/>
      <c r="C186" s="16"/>
      <c r="D186" s="8"/>
      <c r="E186" s="9"/>
      <c r="F186" s="6"/>
      <c r="G186" s="41"/>
      <c r="H186" s="20"/>
      <c r="I186" s="8"/>
      <c r="J186" s="6"/>
      <c r="K186" s="9"/>
    </row>
    <row r="187" spans="2:11" x14ac:dyDescent="0.2">
      <c r="B187" s="6"/>
      <c r="C187" s="16"/>
      <c r="D187" s="8"/>
      <c r="E187" s="9"/>
      <c r="F187" s="6"/>
      <c r="G187" s="41"/>
      <c r="H187" s="20"/>
      <c r="I187" s="8"/>
      <c r="J187" s="6"/>
      <c r="K187" s="9"/>
    </row>
    <row r="188" spans="2:11" x14ac:dyDescent="0.2">
      <c r="B188" s="6"/>
      <c r="C188" s="16"/>
      <c r="D188" s="8"/>
      <c r="E188" s="9"/>
      <c r="F188" s="6"/>
      <c r="G188" s="41"/>
      <c r="H188" s="20"/>
      <c r="I188" s="8"/>
      <c r="J188" s="6"/>
      <c r="K188" s="9"/>
    </row>
    <row r="189" spans="2:11" x14ac:dyDescent="0.2">
      <c r="B189" s="6"/>
      <c r="C189" s="16"/>
      <c r="D189" s="8"/>
      <c r="E189" s="9"/>
      <c r="F189" s="6"/>
      <c r="G189" s="41"/>
      <c r="H189" s="20"/>
      <c r="I189" s="8"/>
      <c r="J189" s="6"/>
      <c r="K189" s="9"/>
    </row>
    <row r="190" spans="2:11" x14ac:dyDescent="0.2">
      <c r="B190" s="6"/>
      <c r="C190" s="16"/>
      <c r="D190" s="8"/>
      <c r="E190" s="9"/>
      <c r="F190" s="6"/>
      <c r="G190" s="41"/>
      <c r="H190" s="20"/>
      <c r="I190" s="8"/>
      <c r="J190" s="6"/>
      <c r="K190" s="9"/>
    </row>
    <row r="191" spans="2:11" x14ac:dyDescent="0.2">
      <c r="B191" s="6"/>
      <c r="C191" s="16"/>
      <c r="D191" s="8"/>
      <c r="E191" s="9"/>
      <c r="F191" s="6"/>
      <c r="G191" s="41"/>
      <c r="H191" s="20"/>
      <c r="I191" s="8"/>
      <c r="J191" s="6"/>
      <c r="K191" s="9"/>
    </row>
    <row r="192" spans="2:11" x14ac:dyDescent="0.2">
      <c r="B192" s="6"/>
      <c r="C192" s="16"/>
      <c r="D192" s="8"/>
      <c r="E192" s="9"/>
      <c r="F192" s="6"/>
      <c r="G192" s="41"/>
      <c r="H192" s="20"/>
      <c r="I192" s="8"/>
      <c r="J192" s="6"/>
      <c r="K192" s="9"/>
    </row>
    <row r="193" spans="2:11" x14ac:dyDescent="0.2">
      <c r="B193" s="6"/>
      <c r="C193" s="16"/>
      <c r="D193" s="8"/>
      <c r="E193" s="9"/>
      <c r="F193" s="6"/>
      <c r="G193" s="9"/>
      <c r="H193" s="9"/>
      <c r="I193" s="8"/>
      <c r="J193" s="6"/>
      <c r="K193" s="9"/>
    </row>
    <row r="194" spans="2:11" x14ac:dyDescent="0.2">
      <c r="B194" s="6"/>
      <c r="C194" s="16"/>
      <c r="D194" s="8"/>
      <c r="E194" s="9"/>
      <c r="F194" s="6"/>
      <c r="G194" s="9"/>
      <c r="H194" s="9"/>
      <c r="I194" s="8"/>
      <c r="J194" s="6"/>
      <c r="K194" s="9"/>
    </row>
    <row r="195" spans="2:11" x14ac:dyDescent="0.2">
      <c r="B195" s="6"/>
      <c r="C195" s="16"/>
      <c r="D195" s="8"/>
      <c r="E195" s="9"/>
      <c r="F195" s="6"/>
      <c r="G195" s="9"/>
      <c r="H195" s="9"/>
      <c r="I195" s="8"/>
      <c r="J195" s="6"/>
      <c r="K195" s="9"/>
    </row>
    <row r="196" spans="2:11" x14ac:dyDescent="0.2">
      <c r="B196" s="6"/>
      <c r="C196" s="16"/>
      <c r="D196" s="8"/>
      <c r="E196" s="9"/>
      <c r="F196" s="6"/>
      <c r="G196" s="9"/>
      <c r="H196" s="9"/>
      <c r="I196" s="8"/>
      <c r="J196" s="6"/>
      <c r="K196" s="9"/>
    </row>
    <row r="197" spans="2:11" x14ac:dyDescent="0.2">
      <c r="B197" s="6"/>
      <c r="C197" s="16"/>
      <c r="D197" s="8"/>
      <c r="E197" s="9"/>
      <c r="F197" s="6"/>
      <c r="G197" s="9"/>
      <c r="H197" s="9"/>
      <c r="I197" s="8"/>
      <c r="J197" s="6"/>
      <c r="K197" s="9"/>
    </row>
    <row r="198" spans="2:11" x14ac:dyDescent="0.2">
      <c r="B198" s="6"/>
      <c r="C198" s="16"/>
      <c r="D198" s="8"/>
      <c r="E198" s="9"/>
      <c r="F198" s="6"/>
      <c r="G198" s="9"/>
      <c r="H198" s="9"/>
      <c r="I198" s="8"/>
      <c r="J198" s="6"/>
      <c r="K198" s="9"/>
    </row>
    <row r="199" spans="2:11" x14ac:dyDescent="0.2">
      <c r="B199" s="6"/>
      <c r="C199" s="16"/>
      <c r="D199" s="8"/>
      <c r="E199" s="9"/>
      <c r="F199" s="6"/>
      <c r="G199" s="9"/>
      <c r="H199" s="9"/>
      <c r="I199" s="8"/>
      <c r="J199" s="6"/>
      <c r="K199" s="9"/>
    </row>
    <row r="200" spans="2:11" x14ac:dyDescent="0.2">
      <c r="B200" s="6"/>
      <c r="C200" s="16"/>
      <c r="D200" s="8"/>
      <c r="E200" s="9"/>
      <c r="F200" s="6"/>
      <c r="G200" s="9"/>
      <c r="H200" s="9"/>
      <c r="I200" s="8"/>
      <c r="J200" s="6"/>
      <c r="K200" s="9"/>
    </row>
    <row r="201" spans="2:11" x14ac:dyDescent="0.2">
      <c r="B201" s="6"/>
      <c r="C201" s="16"/>
      <c r="D201" s="8"/>
      <c r="E201" s="9"/>
      <c r="F201" s="6"/>
      <c r="G201" s="9"/>
      <c r="H201" s="9"/>
      <c r="I201" s="8"/>
      <c r="J201" s="6"/>
      <c r="K201" s="9"/>
    </row>
    <row r="202" spans="2:11" x14ac:dyDescent="0.2">
      <c r="B202" s="6"/>
      <c r="C202" s="16"/>
      <c r="D202" s="8"/>
      <c r="E202" s="9"/>
      <c r="F202" s="6"/>
      <c r="G202" s="9"/>
      <c r="H202" s="9"/>
      <c r="I202" s="8"/>
      <c r="J202" s="6"/>
      <c r="K202" s="9"/>
    </row>
    <row r="203" spans="2:11" x14ac:dyDescent="0.2">
      <c r="B203" s="6"/>
      <c r="C203" s="16"/>
      <c r="D203" s="8"/>
      <c r="E203" s="9"/>
      <c r="F203" s="6"/>
      <c r="G203" s="9"/>
      <c r="H203" s="9"/>
      <c r="I203" s="8"/>
      <c r="J203" s="6"/>
      <c r="K203" s="9"/>
    </row>
    <row r="204" spans="2:11" x14ac:dyDescent="0.2">
      <c r="B204" s="6"/>
      <c r="C204" s="16"/>
      <c r="D204" s="8"/>
      <c r="E204" s="9"/>
      <c r="F204" s="6"/>
      <c r="G204" s="9"/>
      <c r="H204" s="9"/>
      <c r="I204" s="8"/>
      <c r="J204" s="6"/>
      <c r="K204" s="9"/>
    </row>
    <row r="205" spans="2:11" x14ac:dyDescent="0.2">
      <c r="B205" s="6"/>
      <c r="C205" s="16"/>
      <c r="D205" s="8"/>
      <c r="E205" s="9"/>
      <c r="F205" s="6"/>
      <c r="G205" s="9"/>
      <c r="H205" s="9"/>
      <c r="I205" s="8"/>
      <c r="J205" s="6"/>
      <c r="K205" s="9"/>
    </row>
    <row r="206" spans="2:11" x14ac:dyDescent="0.2">
      <c r="B206" s="6"/>
      <c r="C206" s="16"/>
      <c r="D206" s="8"/>
      <c r="E206" s="9"/>
      <c r="F206" s="6"/>
      <c r="G206" s="9"/>
      <c r="H206" s="9"/>
      <c r="I206" s="8"/>
      <c r="J206" s="6"/>
      <c r="K206" s="9"/>
    </row>
    <row r="207" spans="2:11" x14ac:dyDescent="0.2">
      <c r="B207" s="6"/>
      <c r="C207" s="7"/>
      <c r="D207" s="8"/>
      <c r="E207" s="9"/>
      <c r="F207" s="6"/>
      <c r="G207" s="9"/>
      <c r="H207" s="9"/>
      <c r="I207" s="8"/>
      <c r="J207" s="6"/>
      <c r="K207" s="9"/>
    </row>
    <row r="208" spans="2:11" x14ac:dyDescent="0.2">
      <c r="B208" s="6"/>
      <c r="C208" s="7"/>
      <c r="D208" s="8"/>
      <c r="E208" s="9"/>
      <c r="F208" s="6"/>
      <c r="G208" s="9"/>
      <c r="H208" s="9"/>
      <c r="I208" s="8"/>
      <c r="J208" s="6"/>
      <c r="K208" s="9"/>
    </row>
    <row r="209" spans="2:11" x14ac:dyDescent="0.2">
      <c r="B209" s="6"/>
      <c r="C209" s="7"/>
      <c r="D209" s="8"/>
      <c r="E209" s="9"/>
      <c r="F209" s="6"/>
      <c r="G209" s="9"/>
      <c r="H209" s="9"/>
      <c r="I209" s="8"/>
      <c r="J209" s="6"/>
      <c r="K209" s="9"/>
    </row>
    <row r="210" spans="2:11" x14ac:dyDescent="0.2">
      <c r="B210" s="6"/>
      <c r="C210" s="7"/>
      <c r="D210" s="8"/>
      <c r="E210" s="9"/>
      <c r="F210" s="6"/>
      <c r="G210" s="9"/>
      <c r="H210" s="9"/>
      <c r="I210" s="8"/>
      <c r="J210" s="6"/>
      <c r="K210" s="9"/>
    </row>
    <row r="211" spans="2:11" x14ac:dyDescent="0.2">
      <c r="B211" s="6"/>
      <c r="C211" s="7"/>
      <c r="D211" s="8"/>
      <c r="E211" s="9"/>
      <c r="F211" s="6"/>
      <c r="G211" s="9"/>
      <c r="H211" s="9"/>
      <c r="I211" s="8"/>
      <c r="J211" s="6"/>
      <c r="K211" s="9"/>
    </row>
    <row r="212" spans="2:11" x14ac:dyDescent="0.2">
      <c r="B212" s="6"/>
      <c r="C212" s="7"/>
      <c r="D212" s="8"/>
      <c r="E212" s="9"/>
      <c r="F212" s="6"/>
      <c r="G212" s="9"/>
      <c r="H212" s="9"/>
      <c r="I212" s="8"/>
      <c r="J212" s="6"/>
      <c r="K212" s="9"/>
    </row>
    <row r="213" spans="2:11" x14ac:dyDescent="0.2">
      <c r="B213" s="6"/>
      <c r="C213" s="7"/>
      <c r="D213" s="8"/>
      <c r="E213" s="9"/>
      <c r="F213" s="6"/>
      <c r="G213" s="9"/>
      <c r="H213" s="9"/>
      <c r="I213" s="8"/>
      <c r="J213" s="6"/>
      <c r="K213" s="9"/>
    </row>
    <row r="214" spans="2:11" x14ac:dyDescent="0.2">
      <c r="B214" s="6"/>
      <c r="C214" s="7"/>
      <c r="D214" s="8"/>
      <c r="E214" s="9"/>
      <c r="F214" s="6"/>
      <c r="G214" s="9"/>
      <c r="H214" s="9"/>
      <c r="I214" s="8"/>
      <c r="J214" s="6"/>
      <c r="K214" s="9"/>
    </row>
    <row r="215" spans="2:11" x14ac:dyDescent="0.2">
      <c r="B215" s="6"/>
      <c r="C215" s="7"/>
      <c r="D215" s="8"/>
      <c r="E215" s="9"/>
      <c r="F215" s="6"/>
      <c r="G215" s="9"/>
      <c r="H215" s="9"/>
      <c r="I215" s="8"/>
      <c r="J215" s="6"/>
      <c r="K215" s="9"/>
    </row>
    <row r="216" spans="2:11" x14ac:dyDescent="0.2">
      <c r="F216" s="18"/>
      <c r="G216" s="22"/>
      <c r="H216" s="22"/>
      <c r="J216" s="33"/>
    </row>
    <row r="217" spans="2:11" x14ac:dyDescent="0.2">
      <c r="F217" s="18"/>
      <c r="G217" s="22"/>
      <c r="H217" s="22"/>
      <c r="J217" s="33"/>
    </row>
    <row r="218" spans="2:11" x14ac:dyDescent="0.2">
      <c r="F218" s="18"/>
      <c r="G218" s="22"/>
      <c r="H218" s="22"/>
      <c r="J218" s="33"/>
    </row>
    <row r="219" spans="2:11" x14ac:dyDescent="0.2">
      <c r="F219" s="18"/>
      <c r="G219" s="22"/>
      <c r="H219" s="22"/>
      <c r="J219" s="33"/>
    </row>
    <row r="220" spans="2:11" x14ac:dyDescent="0.2">
      <c r="F220" s="18"/>
      <c r="G220" s="22"/>
      <c r="H220" s="22"/>
      <c r="J220" s="33"/>
    </row>
    <row r="221" spans="2:11" x14ac:dyDescent="0.2">
      <c r="F221" s="18"/>
      <c r="G221" s="22"/>
      <c r="H221" s="22"/>
      <c r="J221" s="33"/>
    </row>
    <row r="222" spans="2:11" x14ac:dyDescent="0.2">
      <c r="F222" s="18"/>
      <c r="G222" s="22"/>
      <c r="H222" s="22"/>
      <c r="J222" s="33"/>
    </row>
    <row r="223" spans="2:11" x14ac:dyDescent="0.2">
      <c r="F223" s="18"/>
      <c r="G223" s="22"/>
      <c r="H223" s="22"/>
      <c r="J223" s="33"/>
    </row>
    <row r="224" spans="2:11" x14ac:dyDescent="0.2">
      <c r="J224" s="33"/>
    </row>
    <row r="225" spans="10:10" x14ac:dyDescent="0.2">
      <c r="J225" s="33"/>
    </row>
    <row r="226" spans="10:10" x14ac:dyDescent="0.2">
      <c r="J226" s="33"/>
    </row>
    <row r="227" spans="10:10" x14ac:dyDescent="0.2">
      <c r="J227" s="33"/>
    </row>
    <row r="228" spans="10:10" x14ac:dyDescent="0.2">
      <c r="J228" s="33"/>
    </row>
    <row r="229" spans="10:10" x14ac:dyDescent="0.2">
      <c r="J229" s="33"/>
    </row>
    <row r="230" spans="10:10" x14ac:dyDescent="0.2">
      <c r="J230" s="33"/>
    </row>
    <row r="231" spans="10:10" x14ac:dyDescent="0.2">
      <c r="J231" s="33"/>
    </row>
    <row r="232" spans="10:10" x14ac:dyDescent="0.2">
      <c r="J232" s="33"/>
    </row>
    <row r="233" spans="10:10" x14ac:dyDescent="0.2">
      <c r="J233" s="33"/>
    </row>
    <row r="234" spans="10:10" x14ac:dyDescent="0.2">
      <c r="J234" s="33"/>
    </row>
    <row r="235" spans="10:10" x14ac:dyDescent="0.2">
      <c r="J235" s="33"/>
    </row>
    <row r="236" spans="10:10" x14ac:dyDescent="0.2">
      <c r="J236" s="33"/>
    </row>
    <row r="237" spans="10:10" x14ac:dyDescent="0.2">
      <c r="J237" s="33"/>
    </row>
    <row r="238" spans="10:10" x14ac:dyDescent="0.2">
      <c r="J238" s="33"/>
    </row>
    <row r="239" spans="10:10" x14ac:dyDescent="0.2">
      <c r="J239" s="33"/>
    </row>
    <row r="240" spans="10:10" x14ac:dyDescent="0.2">
      <c r="J240" s="33"/>
    </row>
    <row r="241" spans="10:10" x14ac:dyDescent="0.2">
      <c r="J241" s="33"/>
    </row>
    <row r="242" spans="10:10" x14ac:dyDescent="0.2">
      <c r="J242" s="33"/>
    </row>
    <row r="243" spans="10:10" x14ac:dyDescent="0.2">
      <c r="J243" s="33"/>
    </row>
    <row r="244" spans="10:10" x14ac:dyDescent="0.2">
      <c r="J244" s="33"/>
    </row>
    <row r="245" spans="10:10" x14ac:dyDescent="0.2">
      <c r="J245" s="33"/>
    </row>
    <row r="246" spans="10:10" x14ac:dyDescent="0.2">
      <c r="J246" s="33"/>
    </row>
    <row r="247" spans="10:10" x14ac:dyDescent="0.2">
      <c r="J247" s="33"/>
    </row>
    <row r="248" spans="10:10" x14ac:dyDescent="0.2">
      <c r="J248" s="33"/>
    </row>
    <row r="249" spans="10:10" x14ac:dyDescent="0.2">
      <c r="J249" s="33"/>
    </row>
    <row r="250" spans="10:10" x14ac:dyDescent="0.2">
      <c r="J250" s="33"/>
    </row>
    <row r="251" spans="10:10" x14ac:dyDescent="0.2">
      <c r="J251" s="33"/>
    </row>
    <row r="252" spans="10:10" x14ac:dyDescent="0.2">
      <c r="J252" s="33"/>
    </row>
    <row r="253" spans="10:10" x14ac:dyDescent="0.2">
      <c r="J253" s="33"/>
    </row>
    <row r="254" spans="10:10" x14ac:dyDescent="0.2">
      <c r="J254" s="33"/>
    </row>
    <row r="255" spans="10:10" x14ac:dyDescent="0.2">
      <c r="J255" s="33"/>
    </row>
    <row r="256" spans="10:10" x14ac:dyDescent="0.2">
      <c r="J256" s="33"/>
    </row>
    <row r="257" spans="10:10" x14ac:dyDescent="0.2">
      <c r="J257" s="33"/>
    </row>
    <row r="258" spans="10:10" x14ac:dyDescent="0.2">
      <c r="J258" s="33"/>
    </row>
    <row r="259" spans="10:10" x14ac:dyDescent="0.2">
      <c r="J259" s="33"/>
    </row>
    <row r="260" spans="10:10" x14ac:dyDescent="0.2">
      <c r="J260" s="33"/>
    </row>
    <row r="261" spans="10:10" x14ac:dyDescent="0.2">
      <c r="J261" s="33"/>
    </row>
    <row r="262" spans="10:10" x14ac:dyDescent="0.2">
      <c r="J262" s="33"/>
    </row>
    <row r="263" spans="10:10" x14ac:dyDescent="0.2">
      <c r="J263" s="33"/>
    </row>
    <row r="264" spans="10:10" x14ac:dyDescent="0.2">
      <c r="J264" s="33"/>
    </row>
    <row r="265" spans="10:10" x14ac:dyDescent="0.2">
      <c r="J265" s="33"/>
    </row>
    <row r="266" spans="10:10" x14ac:dyDescent="0.2">
      <c r="J266" s="33"/>
    </row>
    <row r="267" spans="10:10" x14ac:dyDescent="0.2">
      <c r="J267" s="33"/>
    </row>
    <row r="268" spans="10:10" x14ac:dyDescent="0.2">
      <c r="J268" s="33"/>
    </row>
    <row r="269" spans="10:10" x14ac:dyDescent="0.2">
      <c r="J269" s="33"/>
    </row>
    <row r="270" spans="10:10" x14ac:dyDescent="0.2">
      <c r="J270" s="33"/>
    </row>
    <row r="271" spans="10:10" x14ac:dyDescent="0.2">
      <c r="J271" s="33"/>
    </row>
    <row r="272" spans="10:10" x14ac:dyDescent="0.2">
      <c r="J272" s="33"/>
    </row>
    <row r="273" spans="10:10" x14ac:dyDescent="0.2">
      <c r="J273" s="33"/>
    </row>
    <row r="274" spans="10:10" x14ac:dyDescent="0.2">
      <c r="J274" s="33"/>
    </row>
    <row r="275" spans="10:10" x14ac:dyDescent="0.2">
      <c r="J275" s="33"/>
    </row>
    <row r="276" spans="10:10" x14ac:dyDescent="0.2">
      <c r="J276" s="33"/>
    </row>
    <row r="277" spans="10:10" x14ac:dyDescent="0.2">
      <c r="J277" s="33"/>
    </row>
    <row r="278" spans="10:10" x14ac:dyDescent="0.2">
      <c r="J278" s="33"/>
    </row>
    <row r="279" spans="10:10" x14ac:dyDescent="0.2">
      <c r="J279" s="33"/>
    </row>
    <row r="280" spans="10:10" x14ac:dyDescent="0.2">
      <c r="J280" s="33"/>
    </row>
    <row r="281" spans="10:10" x14ac:dyDescent="0.2">
      <c r="J281" s="33"/>
    </row>
    <row r="282" spans="10:10" x14ac:dyDescent="0.2">
      <c r="J282" s="33"/>
    </row>
    <row r="283" spans="10:10" x14ac:dyDescent="0.2">
      <c r="J283" s="33"/>
    </row>
    <row r="284" spans="10:10" x14ac:dyDescent="0.2">
      <c r="J284" s="33"/>
    </row>
    <row r="285" spans="10:10" x14ac:dyDescent="0.2">
      <c r="J285" s="33"/>
    </row>
    <row r="286" spans="10:10" x14ac:dyDescent="0.2">
      <c r="J286" s="33"/>
    </row>
    <row r="287" spans="10:10" x14ac:dyDescent="0.2">
      <c r="J287" s="33"/>
    </row>
    <row r="288" spans="10:10" x14ac:dyDescent="0.2">
      <c r="J288" s="33"/>
    </row>
    <row r="289" spans="10:10" x14ac:dyDescent="0.2">
      <c r="J289" s="33"/>
    </row>
    <row r="290" spans="10:10" x14ac:dyDescent="0.2">
      <c r="J290" s="33"/>
    </row>
    <row r="291" spans="10:10" x14ac:dyDescent="0.2">
      <c r="J291" s="33"/>
    </row>
    <row r="292" spans="10:10" x14ac:dyDescent="0.2">
      <c r="J292" s="33"/>
    </row>
    <row r="293" spans="10:10" x14ac:dyDescent="0.2">
      <c r="J293" s="33"/>
    </row>
    <row r="294" spans="10:10" x14ac:dyDescent="0.2">
      <c r="J294" s="33"/>
    </row>
    <row r="295" spans="10:10" x14ac:dyDescent="0.2">
      <c r="J295" s="33"/>
    </row>
    <row r="296" spans="10:10" x14ac:dyDescent="0.2">
      <c r="J296" s="33"/>
    </row>
    <row r="297" spans="10:10" x14ac:dyDescent="0.2">
      <c r="J297" s="33"/>
    </row>
    <row r="298" spans="10:10" x14ac:dyDescent="0.2">
      <c r="J298" s="33"/>
    </row>
    <row r="299" spans="10:10" x14ac:dyDescent="0.2">
      <c r="J299" s="33"/>
    </row>
    <row r="300" spans="10:10" x14ac:dyDescent="0.2">
      <c r="J300" s="33"/>
    </row>
    <row r="301" spans="10:10" x14ac:dyDescent="0.2">
      <c r="J301" s="33"/>
    </row>
    <row r="302" spans="10:10" x14ac:dyDescent="0.2">
      <c r="J302" s="33"/>
    </row>
    <row r="303" spans="10:10" x14ac:dyDescent="0.2">
      <c r="J303" s="33"/>
    </row>
    <row r="304" spans="10:10" x14ac:dyDescent="0.2">
      <c r="J304" s="33"/>
    </row>
    <row r="305" spans="10:10" x14ac:dyDescent="0.2">
      <c r="J305" s="33"/>
    </row>
    <row r="306" spans="10:10" x14ac:dyDescent="0.2">
      <c r="J306" s="33"/>
    </row>
    <row r="307" spans="10:10" x14ac:dyDescent="0.2">
      <c r="J307" s="33"/>
    </row>
    <row r="308" spans="10:10" x14ac:dyDescent="0.2">
      <c r="J308" s="33"/>
    </row>
    <row r="309" spans="10:10" x14ac:dyDescent="0.2">
      <c r="J309" s="33"/>
    </row>
    <row r="310" spans="10:10" x14ac:dyDescent="0.2">
      <c r="J310" s="33"/>
    </row>
    <row r="311" spans="10:10" x14ac:dyDescent="0.2">
      <c r="J311" s="33"/>
    </row>
    <row r="312" spans="10:10" x14ac:dyDescent="0.2">
      <c r="J312" s="33"/>
    </row>
    <row r="313" spans="10:10" x14ac:dyDescent="0.2">
      <c r="J313" s="33"/>
    </row>
    <row r="314" spans="10:10" x14ac:dyDescent="0.2">
      <c r="J314" s="33"/>
    </row>
    <row r="315" spans="10:10" x14ac:dyDescent="0.2">
      <c r="J315" s="33"/>
    </row>
    <row r="316" spans="10:10" x14ac:dyDescent="0.2">
      <c r="J316" s="33"/>
    </row>
    <row r="317" spans="10:10" x14ac:dyDescent="0.2">
      <c r="J317" s="33"/>
    </row>
    <row r="318" spans="10:10" x14ac:dyDescent="0.2">
      <c r="J318" s="33"/>
    </row>
    <row r="319" spans="10:10" x14ac:dyDescent="0.2">
      <c r="J319" s="33"/>
    </row>
    <row r="320" spans="10:10" x14ac:dyDescent="0.2">
      <c r="J320" s="33"/>
    </row>
    <row r="321" spans="10:10" x14ac:dyDescent="0.2">
      <c r="J321" s="33"/>
    </row>
    <row r="322" spans="10:10" x14ac:dyDescent="0.2">
      <c r="J322" s="33"/>
    </row>
    <row r="323" spans="10:10" x14ac:dyDescent="0.2">
      <c r="J323" s="33"/>
    </row>
    <row r="324" spans="10:10" x14ac:dyDescent="0.2">
      <c r="J324" s="33"/>
    </row>
    <row r="325" spans="10:10" x14ac:dyDescent="0.2">
      <c r="J325" s="33"/>
    </row>
    <row r="326" spans="10:10" x14ac:dyDescent="0.2">
      <c r="J326" s="33"/>
    </row>
    <row r="327" spans="10:10" x14ac:dyDescent="0.2">
      <c r="J327" s="33"/>
    </row>
    <row r="328" spans="10:10" x14ac:dyDescent="0.2">
      <c r="J328" s="33"/>
    </row>
    <row r="329" spans="10:10" x14ac:dyDescent="0.2">
      <c r="J329" s="33"/>
    </row>
    <row r="330" spans="10:10" x14ac:dyDescent="0.2">
      <c r="J330" s="33"/>
    </row>
    <row r="331" spans="10:10" x14ac:dyDescent="0.2">
      <c r="J331" s="33"/>
    </row>
    <row r="332" spans="10:10" x14ac:dyDescent="0.2">
      <c r="J332" s="33"/>
    </row>
    <row r="333" spans="10:10" x14ac:dyDescent="0.2">
      <c r="J333" s="33"/>
    </row>
    <row r="334" spans="10:10" x14ac:dyDescent="0.2">
      <c r="J334" s="33"/>
    </row>
    <row r="335" spans="10:10" x14ac:dyDescent="0.2">
      <c r="J335" s="33"/>
    </row>
    <row r="336" spans="10:10" x14ac:dyDescent="0.2">
      <c r="J336" s="33"/>
    </row>
    <row r="337" spans="10:10" x14ac:dyDescent="0.2">
      <c r="J337" s="33"/>
    </row>
    <row r="338" spans="10:10" x14ac:dyDescent="0.2">
      <c r="J338" s="33"/>
    </row>
    <row r="339" spans="10:10" x14ac:dyDescent="0.2">
      <c r="J339" s="33"/>
    </row>
    <row r="340" spans="10:10" x14ac:dyDescent="0.2">
      <c r="J340" s="33"/>
    </row>
    <row r="341" spans="10:10" x14ac:dyDescent="0.2">
      <c r="J341" s="33"/>
    </row>
    <row r="342" spans="10:10" x14ac:dyDescent="0.2">
      <c r="J342" s="33"/>
    </row>
    <row r="343" spans="10:10" x14ac:dyDescent="0.2">
      <c r="J343" s="33"/>
    </row>
    <row r="344" spans="10:10" x14ac:dyDescent="0.2">
      <c r="J344" s="33"/>
    </row>
    <row r="345" spans="10:10" x14ac:dyDescent="0.2">
      <c r="J345" s="33"/>
    </row>
    <row r="346" spans="10:10" x14ac:dyDescent="0.2">
      <c r="J346" s="33"/>
    </row>
    <row r="347" spans="10:10" x14ac:dyDescent="0.2">
      <c r="J347" s="33"/>
    </row>
    <row r="348" spans="10:10" x14ac:dyDescent="0.2">
      <c r="J348" s="33"/>
    </row>
    <row r="349" spans="10:10" x14ac:dyDescent="0.2">
      <c r="J349" s="33"/>
    </row>
    <row r="350" spans="10:10" x14ac:dyDescent="0.2">
      <c r="J350" s="33"/>
    </row>
    <row r="351" spans="10:10" x14ac:dyDescent="0.2">
      <c r="J351" s="33"/>
    </row>
    <row r="352" spans="10:10" x14ac:dyDescent="0.2">
      <c r="J352" s="33"/>
    </row>
    <row r="353" spans="10:10" x14ac:dyDescent="0.2">
      <c r="J353" s="33"/>
    </row>
    <row r="354" spans="10:10" x14ac:dyDescent="0.2">
      <c r="J354" s="33"/>
    </row>
    <row r="355" spans="10:10" x14ac:dyDescent="0.2">
      <c r="J355" s="33"/>
    </row>
    <row r="356" spans="10:10" x14ac:dyDescent="0.2">
      <c r="J356" s="33"/>
    </row>
    <row r="357" spans="10:10" x14ac:dyDescent="0.2">
      <c r="J357" s="33"/>
    </row>
    <row r="358" spans="10:10" x14ac:dyDescent="0.2">
      <c r="J358" s="33"/>
    </row>
    <row r="359" spans="10:10" x14ac:dyDescent="0.2">
      <c r="J359" s="33"/>
    </row>
    <row r="360" spans="10:10" x14ac:dyDescent="0.2">
      <c r="J360" s="33"/>
    </row>
    <row r="361" spans="10:10" x14ac:dyDescent="0.2">
      <c r="J361" s="33"/>
    </row>
    <row r="362" spans="10:10" x14ac:dyDescent="0.2">
      <c r="J362" s="33"/>
    </row>
    <row r="363" spans="10:10" x14ac:dyDescent="0.2">
      <c r="J363" s="33"/>
    </row>
    <row r="364" spans="10:10" x14ac:dyDescent="0.2">
      <c r="J364" s="33"/>
    </row>
    <row r="365" spans="10:10" x14ac:dyDescent="0.2">
      <c r="J365" s="33"/>
    </row>
    <row r="366" spans="10:10" x14ac:dyDescent="0.2">
      <c r="J366" s="33"/>
    </row>
    <row r="367" spans="10:10" x14ac:dyDescent="0.2">
      <c r="J367" s="33"/>
    </row>
    <row r="368" spans="10:10" x14ac:dyDescent="0.2">
      <c r="J368" s="33"/>
    </row>
    <row r="369" spans="10:10" x14ac:dyDescent="0.2">
      <c r="J369" s="33"/>
    </row>
    <row r="370" spans="10:10" x14ac:dyDescent="0.2">
      <c r="J370" s="33"/>
    </row>
    <row r="371" spans="10:10" x14ac:dyDescent="0.2">
      <c r="J371" s="33"/>
    </row>
    <row r="372" spans="10:10" x14ac:dyDescent="0.2">
      <c r="J372" s="33"/>
    </row>
    <row r="373" spans="10:10" x14ac:dyDescent="0.2">
      <c r="J373" s="33"/>
    </row>
    <row r="374" spans="10:10" x14ac:dyDescent="0.2">
      <c r="J374" s="33"/>
    </row>
    <row r="375" spans="10:10" x14ac:dyDescent="0.2">
      <c r="J375" s="33"/>
    </row>
    <row r="376" spans="10:10" x14ac:dyDescent="0.2">
      <c r="J376" s="33"/>
    </row>
    <row r="377" spans="10:10" x14ac:dyDescent="0.2">
      <c r="J377" s="33"/>
    </row>
    <row r="378" spans="10:10" x14ac:dyDescent="0.2">
      <c r="J378" s="33"/>
    </row>
    <row r="379" spans="10:10" x14ac:dyDescent="0.2">
      <c r="J379" s="33"/>
    </row>
    <row r="380" spans="10:10" x14ac:dyDescent="0.2">
      <c r="J380" s="33"/>
    </row>
    <row r="381" spans="10:10" x14ac:dyDescent="0.2">
      <c r="J381" s="33"/>
    </row>
    <row r="382" spans="10:10" x14ac:dyDescent="0.2">
      <c r="J382" s="33"/>
    </row>
    <row r="383" spans="10:10" x14ac:dyDescent="0.2">
      <c r="J383" s="33"/>
    </row>
    <row r="384" spans="10:10" x14ac:dyDescent="0.2">
      <c r="J384" s="33"/>
    </row>
    <row r="385" spans="10:10" x14ac:dyDescent="0.2">
      <c r="J385" s="33"/>
    </row>
    <row r="386" spans="10:10" x14ac:dyDescent="0.2">
      <c r="J386" s="33"/>
    </row>
    <row r="387" spans="10:10" x14ac:dyDescent="0.2">
      <c r="J387" s="33"/>
    </row>
    <row r="388" spans="10:10" x14ac:dyDescent="0.2">
      <c r="J388" s="33"/>
    </row>
    <row r="389" spans="10:10" x14ac:dyDescent="0.2">
      <c r="J389" s="33"/>
    </row>
  </sheetData>
  <dataConsolidate/>
  <mergeCells count="1">
    <mergeCell ref="J12:L12"/>
  </mergeCells>
  <phoneticPr fontId="2" type="noConversion"/>
  <conditionalFormatting sqref="E10:E11 E36:E65536">
    <cfRule type="cellIs" dxfId="38" priority="1" stopIfTrue="1" operator="equal">
      <formula>"Open"</formula>
    </cfRule>
  </conditionalFormatting>
  <conditionalFormatting sqref="K10:K11 K32:K65536">
    <cfRule type="cellIs" dxfId="37" priority="2" stopIfTrue="1" operator="equal">
      <formula>"Potential"</formula>
    </cfRule>
    <cfRule type="cellIs" dxfId="36" priority="3" stopIfTrue="1" operator="equal">
      <formula>"Not Realized"</formula>
    </cfRule>
  </conditionalFormatting>
  <conditionalFormatting sqref="J10:J12 J14:J15 L14:L30 J57:J65536">
    <cfRule type="cellIs" dxfId="35" priority="4" stopIfTrue="1" operator="equal">
      <formula>"Sale"</formula>
    </cfRule>
    <cfRule type="cellIs" dxfId="34" priority="5" stopIfTrue="1" operator="equal">
      <formula>"Enhancement"</formula>
    </cfRule>
    <cfRule type="cellIs" dxfId="33" priority="6" stopIfTrue="1" operator="equal">
      <formula>"Development"</formula>
    </cfRule>
  </conditionalFormatting>
  <dataValidations count="4">
    <dataValidation type="list" allowBlank="1" showInputMessage="1" showErrorMessage="1" sqref="E433:E65536">
      <formula1>"Open,Closed"</formula1>
    </dataValidation>
    <dataValidation type="list" allowBlank="1" showInputMessage="1" showErrorMessage="1" sqref="F433:F65536">
      <formula1>"Spoke,Visit"</formula1>
    </dataValidation>
    <dataValidation type="list" allowBlank="1" showInputMessage="1" showErrorMessage="1" sqref="J433:J65536">
      <formula1>"Sale,Displacement,Enhancement,Relationship,Support,Development"</formula1>
    </dataValidation>
    <dataValidation type="list" allowBlank="1" showInputMessage="1" showErrorMessage="1" sqref="K433:K65536">
      <formula1>"Potential,Realized, Not Realized"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0" r:id="rId4" name="CommandButton2">
          <controlPr defaultSize="0" autoLine="0" r:id="rId5">
            <anchor moveWithCells="1">
              <from>
                <xdr:col>4</xdr:col>
                <xdr:colOff>600075</xdr:colOff>
                <xdr:row>7</xdr:row>
                <xdr:rowOff>152400</xdr:rowOff>
              </from>
              <to>
                <xdr:col>5</xdr:col>
                <xdr:colOff>771525</xdr:colOff>
                <xdr:row>10</xdr:row>
                <xdr:rowOff>0</xdr:rowOff>
              </to>
            </anchor>
          </controlPr>
        </control>
      </mc:Choice>
      <mc:Fallback>
        <control shapeId="2250" r:id="rId4" name="CommandButton2"/>
      </mc:Fallback>
    </mc:AlternateContent>
    <mc:AlternateContent xmlns:mc="http://schemas.openxmlformats.org/markup-compatibility/2006">
      <mc:Choice Requires="x14">
        <control shapeId="2538" r:id="rId6" name="btnMain">
          <controlPr defaultSize="0" print="0" autoFill="0" autoLine="0" r:id="rId7">
            <anchor moveWithCells="1" sizeWithCells="1">
              <from>
                <xdr:col>1</xdr:col>
                <xdr:colOff>38100</xdr:colOff>
                <xdr:row>0</xdr:row>
                <xdr:rowOff>28575</xdr:rowOff>
              </from>
              <to>
                <xdr:col>2</xdr:col>
                <xdr:colOff>581025</xdr:colOff>
                <xdr:row>2</xdr:row>
                <xdr:rowOff>9525</xdr:rowOff>
              </to>
            </anchor>
          </controlPr>
        </control>
      </mc:Choice>
      <mc:Fallback>
        <control shapeId="2538" r:id="rId6" name="btn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indexed="48"/>
  </sheetPr>
  <dimension ref="B1:P205"/>
  <sheetViews>
    <sheetView showGridLines="0" zoomScaleNormal="100" workbookViewId="0">
      <selection activeCell="C8" sqref="C8"/>
    </sheetView>
  </sheetViews>
  <sheetFormatPr defaultRowHeight="12.75" x14ac:dyDescent="0.2"/>
  <cols>
    <col min="1" max="1" width="4.28515625" style="2" customWidth="1"/>
    <col min="2" max="2" width="15.42578125" style="15" customWidth="1"/>
    <col min="3" max="3" width="16.5703125" style="11" customWidth="1"/>
    <col min="4" max="4" width="10.5703125" style="12" customWidth="1"/>
    <col min="5" max="6" width="10.5703125" style="10" customWidth="1"/>
    <col min="7" max="7" width="14.7109375" style="10" customWidth="1"/>
    <col min="8" max="8" width="15" style="12" customWidth="1"/>
    <col min="9" max="9" width="11.85546875" style="10" customWidth="1"/>
    <col min="10" max="10" width="13.140625" style="10" customWidth="1"/>
    <col min="11" max="11" width="16.42578125" style="10" customWidth="1"/>
    <col min="12" max="12" width="13.7109375" style="2" customWidth="1"/>
    <col min="13" max="13" width="13.42578125" style="2" customWidth="1"/>
    <col min="14" max="14" width="12.85546875" style="2" customWidth="1"/>
    <col min="15" max="15" width="9.140625" style="2"/>
    <col min="16" max="16" width="12.85546875" style="2" customWidth="1"/>
    <col min="17" max="16384" width="9.140625" style="2"/>
  </cols>
  <sheetData>
    <row r="1" spans="2:13" x14ac:dyDescent="0.2">
      <c r="B1" s="26"/>
      <c r="C1" s="2"/>
      <c r="D1" s="2"/>
      <c r="E1" s="2"/>
      <c r="F1" s="2"/>
      <c r="G1" s="2"/>
      <c r="H1" s="3"/>
      <c r="I1" s="2"/>
      <c r="J1" s="2"/>
      <c r="K1" s="2"/>
    </row>
    <row r="2" spans="2:13" x14ac:dyDescent="0.2">
      <c r="B2" s="26"/>
      <c r="C2" s="2"/>
      <c r="D2" s="2"/>
      <c r="E2" s="2"/>
      <c r="F2" s="2"/>
      <c r="G2" s="2"/>
      <c r="H2" s="3"/>
      <c r="I2" s="2"/>
      <c r="J2" s="2"/>
      <c r="K2" s="2"/>
    </row>
    <row r="3" spans="2:13" x14ac:dyDescent="0.2">
      <c r="B3" s="26"/>
      <c r="C3" s="2"/>
      <c r="D3" s="2"/>
      <c r="E3" s="2"/>
      <c r="F3" s="2"/>
      <c r="G3" s="2"/>
      <c r="H3" s="3"/>
      <c r="I3" s="2"/>
      <c r="J3" s="2"/>
      <c r="K3" s="2"/>
    </row>
    <row r="4" spans="2:13" x14ac:dyDescent="0.2">
      <c r="B4" s="26"/>
      <c r="C4" s="2"/>
      <c r="D4" s="2"/>
      <c r="E4" s="2"/>
      <c r="F4" s="2"/>
      <c r="G4" s="2"/>
      <c r="H4" s="3"/>
      <c r="I4" s="2"/>
      <c r="J4" s="2"/>
      <c r="K4" s="25"/>
      <c r="L4" s="24"/>
    </row>
    <row r="5" spans="2:13" x14ac:dyDescent="0.2">
      <c r="B5" s="26"/>
      <c r="C5" s="2"/>
      <c r="D5" s="2"/>
      <c r="E5" s="19"/>
      <c r="F5" s="2"/>
      <c r="G5" s="14"/>
      <c r="H5" s="38"/>
      <c r="I5" s="14"/>
      <c r="J5" s="14"/>
      <c r="K5" s="48"/>
      <c r="L5" s="49"/>
      <c r="M5" s="14"/>
    </row>
    <row r="6" spans="2:13" ht="20.25" customHeight="1" x14ac:dyDescent="0.3">
      <c r="B6" s="30" t="s">
        <v>48</v>
      </c>
      <c r="C6" s="1"/>
      <c r="D6" s="1"/>
      <c r="E6" s="65"/>
      <c r="F6" s="53"/>
      <c r="G6" s="60"/>
      <c r="H6" s="38"/>
      <c r="I6" s="14"/>
      <c r="J6" s="14"/>
      <c r="K6" s="14"/>
      <c r="L6" s="14"/>
      <c r="M6" s="14"/>
    </row>
    <row r="7" spans="2:13" x14ac:dyDescent="0.2">
      <c r="B7" s="27">
        <v>1</v>
      </c>
      <c r="C7" s="2"/>
      <c r="D7" s="2"/>
      <c r="E7" s="65"/>
      <c r="F7" s="66"/>
      <c r="G7" s="14"/>
      <c r="H7" s="38"/>
      <c r="I7" s="33"/>
      <c r="J7" s="14"/>
      <c r="K7" s="33"/>
      <c r="L7" s="14"/>
      <c r="M7" s="14"/>
    </row>
    <row r="8" spans="2:13" ht="15.75" x14ac:dyDescent="0.25">
      <c r="B8" s="45" t="s">
        <v>35</v>
      </c>
      <c r="C8" s="45" t="str">
        <f>GetCurve(C10,C12,C11)</f>
        <v>CLPICVS20130619</v>
      </c>
      <c r="E8" s="65"/>
      <c r="F8" s="50"/>
      <c r="I8" s="13"/>
      <c r="K8" s="13"/>
      <c r="L8" s="10"/>
    </row>
    <row r="9" spans="2:13" ht="13.5" thickBot="1" x14ac:dyDescent="0.25">
      <c r="B9" s="28"/>
      <c r="E9" s="65"/>
      <c r="K9" s="13"/>
      <c r="L9" s="10"/>
    </row>
    <row r="10" spans="2:13" ht="15.75" x14ac:dyDescent="0.25">
      <c r="B10" s="131" t="s">
        <v>2</v>
      </c>
      <c r="C10" s="132" t="str">
        <f>MCrvCrncy</f>
        <v>CLP</v>
      </c>
      <c r="D10" s="56"/>
      <c r="E10" s="65"/>
      <c r="F10" s="13"/>
      <c r="G10" s="13"/>
      <c r="K10" s="13"/>
      <c r="L10" s="10"/>
    </row>
    <row r="11" spans="2:13" ht="15.75" x14ac:dyDescent="0.25">
      <c r="B11" s="133" t="s">
        <v>29</v>
      </c>
      <c r="C11" s="134" t="str">
        <f>MCrvType</f>
        <v>ICVS</v>
      </c>
      <c r="D11" s="56"/>
      <c r="E11" s="65"/>
      <c r="F11" s="13"/>
      <c r="K11" s="13"/>
      <c r="L11" s="10"/>
    </row>
    <row r="12" spans="2:13" ht="16.5" thickBot="1" x14ac:dyDescent="0.3">
      <c r="B12" s="136" t="s">
        <v>4</v>
      </c>
      <c r="C12" s="137">
        <f ca="1">CrvDate</f>
        <v>41445</v>
      </c>
      <c r="D12" s="57"/>
      <c r="I12" s="13"/>
      <c r="K12" s="13"/>
    </row>
    <row r="13" spans="2:13" ht="13.5" thickBot="1" x14ac:dyDescent="0.25">
      <c r="B13" s="47"/>
      <c r="C13" s="55"/>
      <c r="I13" s="13"/>
      <c r="J13" s="51"/>
      <c r="K13" s="52"/>
    </row>
    <row r="14" spans="2:13" ht="15.75" x14ac:dyDescent="0.25">
      <c r="B14" s="108"/>
      <c r="C14" s="109"/>
      <c r="D14" s="110"/>
      <c r="E14" s="111"/>
      <c r="F14" s="111"/>
      <c r="G14" s="111"/>
      <c r="H14" s="111"/>
      <c r="I14" s="109"/>
      <c r="J14" s="110"/>
      <c r="K14" s="112"/>
      <c r="L14" s="113" t="s">
        <v>36</v>
      </c>
      <c r="M14" s="114">
        <f ca="1">settdate(C12,crvgetcrncy(C8))</f>
        <v>41449</v>
      </c>
    </row>
    <row r="15" spans="2:13" ht="15.75" x14ac:dyDescent="0.25">
      <c r="B15" s="115"/>
      <c r="C15" s="61"/>
      <c r="D15" s="61"/>
      <c r="E15" s="75"/>
      <c r="F15" s="75"/>
      <c r="G15" s="75"/>
      <c r="H15" s="75"/>
      <c r="I15" s="61"/>
      <c r="J15" s="61"/>
      <c r="K15" s="62"/>
      <c r="L15" s="78" t="s">
        <v>77</v>
      </c>
      <c r="M15" s="116" t="s">
        <v>47</v>
      </c>
    </row>
    <row r="16" spans="2:13" ht="15.75" x14ac:dyDescent="0.25">
      <c r="B16" s="115" t="s">
        <v>52</v>
      </c>
      <c r="C16" s="70"/>
      <c r="D16" s="62"/>
      <c r="E16" s="62"/>
      <c r="F16" s="61"/>
      <c r="G16" s="62"/>
      <c r="H16" s="75" t="s">
        <v>53</v>
      </c>
      <c r="I16" s="70"/>
      <c r="J16" s="62"/>
      <c r="K16" s="62"/>
      <c r="L16" s="78" t="s">
        <v>76</v>
      </c>
      <c r="M16" s="116" t="s">
        <v>47</v>
      </c>
    </row>
    <row r="17" spans="2:15" ht="13.5" thickBot="1" x14ac:dyDescent="0.25">
      <c r="B17" s="117" t="s">
        <v>49</v>
      </c>
      <c r="C17" s="67" t="s">
        <v>23</v>
      </c>
      <c r="D17" s="67" t="s">
        <v>50</v>
      </c>
      <c r="E17" s="73" t="s">
        <v>51</v>
      </c>
      <c r="F17" s="73" t="s">
        <v>27</v>
      </c>
      <c r="G17" s="73" t="s">
        <v>21</v>
      </c>
      <c r="H17" s="46" t="s">
        <v>49</v>
      </c>
      <c r="I17" s="67" t="s">
        <v>0</v>
      </c>
      <c r="J17" s="67" t="s">
        <v>1</v>
      </c>
      <c r="K17" s="73" t="s">
        <v>50</v>
      </c>
      <c r="L17" s="73" t="s">
        <v>51</v>
      </c>
      <c r="M17" s="118" t="s">
        <v>21</v>
      </c>
    </row>
    <row r="18" spans="2:15" x14ac:dyDescent="0.2">
      <c r="B18" s="121" t="s">
        <v>37</v>
      </c>
      <c r="C18" s="122">
        <f ca="1">IF($B18="","",IF(ISTEXT($B18),paydate($M$14,crvgetcrncy($C$8),$B18),$B18))</f>
        <v>41632</v>
      </c>
      <c r="D18" s="123">
        <f ca="1">IF($C18="","",CRVINTER($C18,$C$8,LEFT(D$17,1)))</f>
        <v>4.7397727586206901</v>
      </c>
      <c r="E18" s="124">
        <f t="shared" ref="E18:G33" ca="1" si="0">IF($C18="","",CRVINTER($C18,$C$8,LEFT(E$17,1)))</f>
        <v>4.7397727586206901</v>
      </c>
      <c r="F18" s="124">
        <f t="shared" ca="1" si="0"/>
        <v>4.7397727586206901</v>
      </c>
      <c r="G18" s="125">
        <f t="shared" ca="1" si="0"/>
        <v>0.97609725862068963</v>
      </c>
      <c r="H18" s="126" t="s">
        <v>121</v>
      </c>
      <c r="I18" s="122">
        <f t="shared" ref="I18:I68" ca="1" si="1">IF($H18="","",paydate($M$14,crvgetcrncy($C$8),LEFT($H18,FIND("X",UPPER($H18))-1)))</f>
        <v>41479</v>
      </c>
      <c r="J18" s="127">
        <f t="shared" ref="J18:J68" ca="1" si="2">IF($H18="","",paydate($I18,crvgetcrncy($C$8),RIGHT($H18,LEN($H18)-FIND("X",UPPER($H18)))))</f>
        <v>41814</v>
      </c>
      <c r="K18" s="123">
        <f ca="1">crvforward($I18,$J18,$C$8,K$17,$M$15,$M$16)</f>
        <v>4.6551104787644562</v>
      </c>
      <c r="L18" s="124">
        <f t="shared" ref="L18:M33" ca="1" si="3">crvforward($I18,$J18,$C$8,L$17,$M$15,$M$16)</f>
        <v>4.6551104787644562</v>
      </c>
      <c r="M18" s="128">
        <f t="shared" ca="1" si="3"/>
        <v>0.95902564229729448</v>
      </c>
      <c r="N18" s="77"/>
      <c r="O18" s="77"/>
    </row>
    <row r="19" spans="2:15" x14ac:dyDescent="0.2">
      <c r="B19" s="119" t="s">
        <v>38</v>
      </c>
      <c r="C19" s="69">
        <f ca="1">IF($B19="","",IF(ISTEXT($B19),paydate($M$14,crvgetcrncy($C$8),$B19),$B19))</f>
        <v>41722</v>
      </c>
      <c r="D19" s="71">
        <f t="shared" ref="D19:D50" ca="1" si="4">IF($C19="","",CRVINTER($C19,$C$8,LEFT(D$17,1)))</f>
        <v>4.7190424193548388</v>
      </c>
      <c r="E19" s="72">
        <f t="shared" ca="1" si="0"/>
        <v>4.7190424193548388</v>
      </c>
      <c r="F19" s="72">
        <f t="shared" ca="1" si="0"/>
        <v>4.7190424193548388</v>
      </c>
      <c r="G19" s="74">
        <f t="shared" ca="1" si="0"/>
        <v>0.96508627419354831</v>
      </c>
      <c r="H19" s="68" t="s">
        <v>122</v>
      </c>
      <c r="I19" s="69">
        <f t="shared" ca="1" si="1"/>
        <v>41479</v>
      </c>
      <c r="J19" s="39">
        <f t="shared" ca="1" si="2"/>
        <v>42179</v>
      </c>
      <c r="K19" s="71">
        <f t="shared" ref="K19:K50" ca="1" si="5">crvforward($I19,$J19,$C$8,K$17,$M$15,$M$16)</f>
        <v>4.6507064374168001</v>
      </c>
      <c r="L19" s="72">
        <f ca="1">crvforward($I19,$J19,$C$8,L$17,$M$15,$M$16)</f>
        <v>4.6408834136799131</v>
      </c>
      <c r="M19" s="120">
        <f t="shared" ca="1" si="3"/>
        <v>0.91668092376129251</v>
      </c>
      <c r="N19" s="77"/>
      <c r="O19" s="77"/>
    </row>
    <row r="20" spans="2:15" x14ac:dyDescent="0.2">
      <c r="B20" s="119" t="s">
        <v>64</v>
      </c>
      <c r="C20" s="69">
        <f t="shared" ref="C20:C73" ca="1" si="6">IF($B20="","",IF(ISTEXT($B20),paydate($M$14,crvgetcrncy($C$8),$B20),$B20))</f>
        <v>41786</v>
      </c>
      <c r="D20" s="71">
        <f t="shared" ca="1" si="4"/>
        <v>4.6984615411788955</v>
      </c>
      <c r="E20" s="72">
        <f t="shared" ca="1" si="0"/>
        <v>4.6983536363636365</v>
      </c>
      <c r="F20" s="72">
        <f t="shared" ca="1" si="0"/>
        <v>4.6984615411788955</v>
      </c>
      <c r="G20" s="74">
        <f t="shared" ca="1" si="0"/>
        <v>0.95741772727272734</v>
      </c>
      <c r="H20" s="68" t="s">
        <v>123</v>
      </c>
      <c r="I20" s="69">
        <f t="shared" ca="1" si="1"/>
        <v>41479</v>
      </c>
      <c r="J20" s="39">
        <f t="shared" ca="1" si="2"/>
        <v>42545</v>
      </c>
      <c r="K20" s="71">
        <f t="shared" ca="1" si="5"/>
        <v>4.7725044474796512</v>
      </c>
      <c r="L20" s="72">
        <f t="shared" ca="1" si="3"/>
        <v>4.7778901106767444</v>
      </c>
      <c r="M20" s="120">
        <f t="shared" ca="1" si="3"/>
        <v>0.87257165042908069</v>
      </c>
      <c r="N20" s="77"/>
      <c r="O20" s="77"/>
    </row>
    <row r="21" spans="2:15" x14ac:dyDescent="0.2">
      <c r="B21" s="119" t="s">
        <v>39</v>
      </c>
      <c r="C21" s="69">
        <f t="shared" ca="1" si="6"/>
        <v>41814</v>
      </c>
      <c r="D21" s="71">
        <f t="shared" ca="1" si="4"/>
        <v>4.6904825864876942</v>
      </c>
      <c r="E21" s="72">
        <f ca="1">IF($C21="","",CRVINTER($C21,$C$8,LEFT(E$17,1)))</f>
        <v>4.6902747252747252</v>
      </c>
      <c r="F21" s="72">
        <f t="shared" ca="1" si="0"/>
        <v>4.6911693384206332</v>
      </c>
      <c r="G21" s="74">
        <f t="shared" ca="1" si="0"/>
        <v>0.95424955494505503</v>
      </c>
      <c r="H21" s="68" t="s">
        <v>124</v>
      </c>
      <c r="I21" s="69">
        <f t="shared" ca="1" si="1"/>
        <v>41479</v>
      </c>
      <c r="J21" s="39">
        <f t="shared" ca="1" si="2"/>
        <v>42912</v>
      </c>
      <c r="K21" s="71">
        <f t="shared" ca="1" si="5"/>
        <v>4.909656243842301</v>
      </c>
      <c r="L21" s="72">
        <f t="shared" ca="1" si="3"/>
        <v>4.9249807441997069</v>
      </c>
      <c r="M21" s="120">
        <f t="shared" ca="1" si="3"/>
        <v>0.82799863626894421</v>
      </c>
      <c r="N21" s="77"/>
      <c r="O21" s="77"/>
    </row>
    <row r="22" spans="2:15" x14ac:dyDescent="0.2">
      <c r="B22" s="119" t="s">
        <v>166</v>
      </c>
      <c r="C22" s="69">
        <f t="shared" ca="1" si="6"/>
        <v>41997</v>
      </c>
      <c r="D22" s="71">
        <f t="shared" ca="1" si="4"/>
        <v>4.6701897171773554</v>
      </c>
      <c r="E22" s="72">
        <f t="shared" ca="1" si="0"/>
        <v>4.7377895604395608</v>
      </c>
      <c r="F22" s="72">
        <f t="shared" ca="1" si="0"/>
        <v>4.7945245343629246</v>
      </c>
      <c r="G22" s="74">
        <f t="shared" ca="1" si="0"/>
        <v>0.93234868131868132</v>
      </c>
      <c r="H22" s="68" t="s">
        <v>125</v>
      </c>
      <c r="I22" s="69">
        <f t="shared" ca="1" si="1"/>
        <v>41479</v>
      </c>
      <c r="J22" s="39">
        <f t="shared" ca="1" si="2"/>
        <v>43276</v>
      </c>
      <c r="K22" s="71">
        <f t="shared" ca="1" si="5"/>
        <v>5.0176367796671029</v>
      </c>
      <c r="L22" s="72">
        <f t="shared" ca="1" si="3"/>
        <v>5.0406330497580258</v>
      </c>
      <c r="M22" s="120">
        <f t="shared" ca="1" si="3"/>
        <v>0.78498896521373429</v>
      </c>
      <c r="N22" s="77"/>
      <c r="O22" s="77"/>
    </row>
    <row r="23" spans="2:15" x14ac:dyDescent="0.2">
      <c r="B23" s="119" t="s">
        <v>167</v>
      </c>
      <c r="C23" s="69">
        <f t="shared" ca="1" si="6"/>
        <v>42087</v>
      </c>
      <c r="D23" s="71">
        <f t="shared" ca="1" si="4"/>
        <v>4.6602096175165322</v>
      </c>
      <c r="E23" s="72">
        <f t="shared" ca="1" si="0"/>
        <v>4.6395317032967034</v>
      </c>
      <c r="F23" s="72">
        <f t="shared" ca="1" si="0"/>
        <v>4.7206146682250747</v>
      </c>
      <c r="G23" s="74">
        <f t="shared" ca="1" si="0"/>
        <v>0.92158032417582425</v>
      </c>
      <c r="H23" s="68" t="s">
        <v>126</v>
      </c>
      <c r="I23" s="69">
        <f t="shared" ca="1" si="1"/>
        <v>41479</v>
      </c>
      <c r="J23" s="39">
        <f t="shared" ca="1" si="2"/>
        <v>44006</v>
      </c>
      <c r="K23" s="71">
        <f t="shared" ca="1" si="5"/>
        <v>5.1989041814630106</v>
      </c>
      <c r="L23" s="72">
        <f t="shared" ca="1" si="3"/>
        <v>5.2418761213862597</v>
      </c>
      <c r="M23" s="120">
        <f t="shared" ca="1" si="3"/>
        <v>0.70210980297141834</v>
      </c>
      <c r="N23" s="77"/>
      <c r="O23" s="77"/>
    </row>
    <row r="24" spans="2:15" x14ac:dyDescent="0.2">
      <c r="B24" s="119" t="s">
        <v>168</v>
      </c>
      <c r="C24" s="69">
        <f t="shared" ca="1" si="6"/>
        <v>42150</v>
      </c>
      <c r="D24" s="71">
        <f ca="1">IF($C24="","",CRVINTER($C24,$C$8,LEFT(D$17,1)))</f>
        <v>4.6532235477539565</v>
      </c>
      <c r="E24" s="72">
        <f t="shared" ca="1" si="0"/>
        <v>4.6462540109890114</v>
      </c>
      <c r="F24" s="72">
        <f t="shared" ca="1" si="0"/>
        <v>4.7464399433531943</v>
      </c>
      <c r="G24" s="74">
        <f t="shared" ca="1" si="0"/>
        <v>0.91410374725274723</v>
      </c>
      <c r="H24" s="68" t="s">
        <v>127</v>
      </c>
      <c r="I24" s="69">
        <f t="shared" ca="1" si="1"/>
        <v>41479</v>
      </c>
      <c r="J24" s="39">
        <f t="shared" ca="1" si="2"/>
        <v>45103</v>
      </c>
      <c r="K24" s="71">
        <f t="shared" ca="1" si="5"/>
        <v>0</v>
      </c>
      <c r="L24" s="72">
        <f t="shared" ca="1" si="3"/>
        <v>0</v>
      </c>
      <c r="M24" s="120">
        <f t="shared" ca="1" si="3"/>
        <v>0</v>
      </c>
      <c r="N24" s="77"/>
      <c r="O24" s="77"/>
    </row>
    <row r="25" spans="2:15" x14ac:dyDescent="0.2">
      <c r="B25" s="119" t="s">
        <v>41</v>
      </c>
      <c r="C25" s="69">
        <f t="shared" ca="1" si="6"/>
        <v>42179</v>
      </c>
      <c r="D25" s="71">
        <f ca="1">IF($C25="","",CRVINTER($C25,$C$8,LEFT(D$17,1)))</f>
        <v>4.650914632116276</v>
      </c>
      <c r="E25" s="72">
        <f ca="1">IF($C25="","",CRVINTER($C25,$C$8,LEFT(E$17,1)))</f>
        <v>4.6498888461538463</v>
      </c>
      <c r="F25" s="72">
        <f t="shared" ca="1" si="0"/>
        <v>4.7589096576106567</v>
      </c>
      <c r="G25" s="74">
        <f t="shared" ca="1" si="0"/>
        <v>0.91065312637362639</v>
      </c>
      <c r="H25" s="68" t="s">
        <v>128</v>
      </c>
      <c r="I25" s="69">
        <f t="shared" ca="1" si="1"/>
        <v>41479</v>
      </c>
      <c r="J25" s="39">
        <f t="shared" ca="1" si="2"/>
        <v>45832</v>
      </c>
      <c r="K25" s="71">
        <f t="shared" ca="1" si="5"/>
        <v>0</v>
      </c>
      <c r="L25" s="72">
        <f t="shared" ca="1" si="3"/>
        <v>0</v>
      </c>
      <c r="M25" s="120">
        <f t="shared" ca="1" si="3"/>
        <v>0</v>
      </c>
      <c r="N25" s="77"/>
      <c r="O25" s="77"/>
    </row>
    <row r="26" spans="2:15" x14ac:dyDescent="0.2">
      <c r="B26" s="119" t="s">
        <v>169</v>
      </c>
      <c r="C26" s="69">
        <f t="shared" ca="1" si="6"/>
        <v>42362</v>
      </c>
      <c r="D26" s="71">
        <f ca="1">IF($C26="","",CRVINTER($C26,$C$8,LEFT(D$17,1)))</f>
        <v>4.7136025869581184</v>
      </c>
      <c r="E26" s="72">
        <f ca="1">IF($C26="","",CRVINTER($C26,$C$8,LEFT(E$17,1)))</f>
        <v>4.7177738461538459</v>
      </c>
      <c r="F26" s="72">
        <f t="shared" ca="1" si="0"/>
        <v>4.887126600693791</v>
      </c>
      <c r="G26" s="74">
        <f t="shared" ca="1" si="0"/>
        <v>0.88812092857142866</v>
      </c>
      <c r="H26" s="68" t="s">
        <v>129</v>
      </c>
      <c r="I26" s="69">
        <f t="shared" ca="1" si="1"/>
        <v>41479</v>
      </c>
      <c r="J26" s="39">
        <f t="shared" ca="1" si="2"/>
        <v>46930</v>
      </c>
      <c r="K26" s="71">
        <f t="shared" ca="1" si="5"/>
        <v>0</v>
      </c>
      <c r="L26" s="72">
        <f t="shared" ca="1" si="3"/>
        <v>0</v>
      </c>
      <c r="M26" s="120">
        <f t="shared" ca="1" si="3"/>
        <v>0</v>
      </c>
      <c r="N26" s="77"/>
      <c r="O26" s="77"/>
    </row>
    <row r="27" spans="2:15" x14ac:dyDescent="0.2">
      <c r="B27" s="119" t="s">
        <v>170</v>
      </c>
      <c r="C27" s="69">
        <f t="shared" ca="1" si="6"/>
        <v>42453</v>
      </c>
      <c r="D27" s="71">
        <f t="shared" ca="1" si="4"/>
        <v>4.7447752858138976</v>
      </c>
      <c r="E27" s="72">
        <f t="shared" ca="1" si="0"/>
        <v>4.7500109239130435</v>
      </c>
      <c r="F27" s="72">
        <f t="shared" ca="1" si="0"/>
        <v>4.9508325055848053</v>
      </c>
      <c r="G27" s="74">
        <f t="shared" ca="1" si="0"/>
        <v>0.87694185326086949</v>
      </c>
      <c r="H27" s="68" t="s">
        <v>130</v>
      </c>
      <c r="I27" s="69">
        <f t="shared" ca="1" si="1"/>
        <v>41479</v>
      </c>
      <c r="J27" s="39">
        <f t="shared" ca="1" si="2"/>
        <v>48754</v>
      </c>
      <c r="K27" s="71">
        <f t="shared" ca="1" si="5"/>
        <v>0</v>
      </c>
      <c r="L27" s="72">
        <f t="shared" ca="1" si="3"/>
        <v>0</v>
      </c>
      <c r="M27" s="120">
        <f t="shared" ca="1" si="3"/>
        <v>0</v>
      </c>
      <c r="N27" s="77"/>
      <c r="O27" s="77"/>
    </row>
    <row r="28" spans="2:15" x14ac:dyDescent="0.2">
      <c r="B28" s="119" t="s">
        <v>171</v>
      </c>
      <c r="C28" s="69">
        <f ca="1">IF($B28="","",IF(ISTEXT($B28),paydate($M$14,crvgetcrncy($C$8),$B28),$B28))</f>
        <v>42514</v>
      </c>
      <c r="D28" s="71">
        <f t="shared" ca="1" si="4"/>
        <v>4.7656712707611781</v>
      </c>
      <c r="E28" s="72">
        <f t="shared" ca="1" si="0"/>
        <v>4.7709730434782607</v>
      </c>
      <c r="F28" s="72">
        <f t="shared" ca="1" si="0"/>
        <v>4.9935142877786731</v>
      </c>
      <c r="G28" s="74">
        <f t="shared" ca="1" si="0"/>
        <v>0.86946636956521739</v>
      </c>
      <c r="H28" s="68" t="s">
        <v>131</v>
      </c>
      <c r="I28" s="69">
        <f t="shared" ca="1" si="1"/>
        <v>41479</v>
      </c>
      <c r="J28" s="39">
        <f t="shared" ca="1" si="2"/>
        <v>50580</v>
      </c>
      <c r="K28" s="71">
        <f t="shared" ca="1" si="5"/>
        <v>0</v>
      </c>
      <c r="L28" s="72">
        <f t="shared" ca="1" si="3"/>
        <v>0</v>
      </c>
      <c r="M28" s="120">
        <f t="shared" ca="1" si="3"/>
        <v>0</v>
      </c>
      <c r="N28" s="77"/>
      <c r="O28" s="77"/>
    </row>
    <row r="29" spans="2:15" x14ac:dyDescent="0.2">
      <c r="B29" s="119" t="s">
        <v>43</v>
      </c>
      <c r="C29" s="69">
        <f t="shared" ca="1" si="6"/>
        <v>42545</v>
      </c>
      <c r="D29" s="71">
        <f t="shared" ca="1" si="4"/>
        <v>4.776373705485784</v>
      </c>
      <c r="E29" s="72">
        <f t="shared" ca="1" si="0"/>
        <v>4.7818375543478258</v>
      </c>
      <c r="F29" s="72">
        <f t="shared" ca="1" si="0"/>
        <v>5.0154754849613283</v>
      </c>
      <c r="G29" s="74">
        <f t="shared" ca="1" si="0"/>
        <v>0.86566185869565215</v>
      </c>
      <c r="H29" s="68" t="s">
        <v>132</v>
      </c>
      <c r="I29" s="69">
        <f t="shared" ca="1" si="1"/>
        <v>41541</v>
      </c>
      <c r="J29" s="39">
        <f t="shared" ca="1" si="2"/>
        <v>41814</v>
      </c>
      <c r="K29" s="71">
        <f ca="1">crvforward($I29,$J29,$C$8,K$17,$M$15,$M$16)</f>
        <v>4.5785357817651562</v>
      </c>
      <c r="L29" s="72">
        <f t="shared" ca="1" si="3"/>
        <v>4.5785357817651562</v>
      </c>
      <c r="M29" s="120">
        <f t="shared" ca="1" si="3"/>
        <v>0.96688894712060058</v>
      </c>
      <c r="N29" s="77"/>
      <c r="O29" s="77"/>
    </row>
    <row r="30" spans="2:15" x14ac:dyDescent="0.2">
      <c r="B30" s="119" t="s">
        <v>172</v>
      </c>
      <c r="C30" s="69">
        <f t="shared" ca="1" si="6"/>
        <v>42731</v>
      </c>
      <c r="D30" s="71">
        <f t="shared" ca="1" si="4"/>
        <v>4.8452454802395541</v>
      </c>
      <c r="E30" s="72">
        <f t="shared" ca="1" si="0"/>
        <v>4.8575583333333334</v>
      </c>
      <c r="F30" s="72">
        <f t="shared" ca="1" si="0"/>
        <v>5.1623361447991982</v>
      </c>
      <c r="G30" s="74">
        <f t="shared" ca="1" si="0"/>
        <v>0.84255613333333323</v>
      </c>
      <c r="H30" s="68" t="s">
        <v>133</v>
      </c>
      <c r="I30" s="69">
        <f t="shared" ca="1" si="1"/>
        <v>41541</v>
      </c>
      <c r="J30" s="39">
        <f t="shared" ca="1" si="2"/>
        <v>42179</v>
      </c>
      <c r="K30" s="71">
        <f t="shared" ca="1" si="5"/>
        <v>4.6535172435688654</v>
      </c>
      <c r="L30" s="72">
        <f t="shared" ca="1" si="3"/>
        <v>4.6073014171976512</v>
      </c>
      <c r="M30" s="120">
        <f t="shared" ca="1" si="3"/>
        <v>0.92428668824404681</v>
      </c>
      <c r="N30" s="77"/>
      <c r="O30" s="77"/>
    </row>
    <row r="31" spans="2:15" x14ac:dyDescent="0.2">
      <c r="B31" s="119" t="s">
        <v>173</v>
      </c>
      <c r="C31" s="69">
        <f t="shared" ca="1" si="6"/>
        <v>42818</v>
      </c>
      <c r="D31" s="71">
        <f t="shared" ca="1" si="4"/>
        <v>4.8774596974630908</v>
      </c>
      <c r="E31" s="72">
        <f t="shared" ca="1" si="0"/>
        <v>4.89135472826087</v>
      </c>
      <c r="F31" s="72">
        <f t="shared" ca="1" si="0"/>
        <v>5.230965875685178</v>
      </c>
      <c r="G31" s="74">
        <f t="shared" ca="1" si="0"/>
        <v>0.8317932663043478</v>
      </c>
      <c r="H31" s="68" t="s">
        <v>134</v>
      </c>
      <c r="I31" s="69">
        <f t="shared" ca="1" si="1"/>
        <v>41541</v>
      </c>
      <c r="J31" s="39">
        <f t="shared" ca="1" si="2"/>
        <v>42545</v>
      </c>
      <c r="K31" s="71">
        <f t="shared" ca="1" si="5"/>
        <v>4.7649699687771303</v>
      </c>
      <c r="L31" s="72">
        <f t="shared" ca="1" si="3"/>
        <v>4.7672415412066904</v>
      </c>
      <c r="M31" s="120">
        <f t="shared" ca="1" si="3"/>
        <v>0.87976361421956162</v>
      </c>
      <c r="N31" s="77"/>
      <c r="O31" s="77"/>
    </row>
    <row r="32" spans="2:15" x14ac:dyDescent="0.2">
      <c r="B32" s="119" t="s">
        <v>174</v>
      </c>
      <c r="C32" s="69">
        <f t="shared" ca="1" si="6"/>
        <v>42879</v>
      </c>
      <c r="D32" s="71">
        <f t="shared" ca="1" si="4"/>
        <v>4.9000466773554567</v>
      </c>
      <c r="E32" s="72">
        <f t="shared" ca="1" si="0"/>
        <v>4.9143258695652179</v>
      </c>
      <c r="F32" s="72">
        <f t="shared" ca="1" si="0"/>
        <v>5.2790610113059397</v>
      </c>
      <c r="G32" s="74">
        <f t="shared" ca="1" si="0"/>
        <v>0.82427534782608691</v>
      </c>
      <c r="H32" s="68" t="s">
        <v>135</v>
      </c>
      <c r="I32" s="69">
        <f t="shared" ca="1" si="1"/>
        <v>41541</v>
      </c>
      <c r="J32" s="39">
        <f t="shared" ca="1" si="2"/>
        <v>42912</v>
      </c>
      <c r="K32" s="71">
        <f t="shared" ca="1" si="5"/>
        <v>4.9070042683701258</v>
      </c>
      <c r="L32" s="72">
        <f t="shared" ca="1" si="3"/>
        <v>4.9258459136422017</v>
      </c>
      <c r="M32" s="120">
        <f t="shared" ca="1" si="3"/>
        <v>0.83476066323673448</v>
      </c>
      <c r="N32" s="77"/>
      <c r="O32" s="77"/>
    </row>
    <row r="33" spans="2:15" x14ac:dyDescent="0.2">
      <c r="B33" s="119" t="s">
        <v>44</v>
      </c>
      <c r="C33" s="69">
        <f t="shared" ca="1" si="6"/>
        <v>42912</v>
      </c>
      <c r="D33" s="71">
        <f t="shared" ca="1" si="4"/>
        <v>4.9118546506771645</v>
      </c>
      <c r="E33" s="72">
        <f t="shared" ca="1" si="0"/>
        <v>4.9264272602739725</v>
      </c>
      <c r="F33" s="72">
        <f t="shared" ca="1" si="0"/>
        <v>5.3048604339749863</v>
      </c>
      <c r="G33" s="74">
        <f t="shared" ca="1" si="0"/>
        <v>0.82022327397260275</v>
      </c>
      <c r="H33" s="68" t="s">
        <v>136</v>
      </c>
      <c r="I33" s="69">
        <f t="shared" ca="1" si="1"/>
        <v>41541</v>
      </c>
      <c r="J33" s="39">
        <f t="shared" ca="1" si="2"/>
        <v>43276</v>
      </c>
      <c r="K33" s="71">
        <f t="shared" ca="1" si="5"/>
        <v>5.0211989903808956</v>
      </c>
      <c r="L33" s="72">
        <f t="shared" ca="1" si="3"/>
        <v>5.0437352860025317</v>
      </c>
      <c r="M33" s="120">
        <f t="shared" ca="1" si="3"/>
        <v>0.79149562466489376</v>
      </c>
      <c r="N33" s="77"/>
      <c r="O33" s="77"/>
    </row>
    <row r="34" spans="2:15" x14ac:dyDescent="0.2">
      <c r="B34" s="119" t="s">
        <v>175</v>
      </c>
      <c r="C34" s="69">
        <f t="shared" ca="1" si="6"/>
        <v>43095</v>
      </c>
      <c r="D34" s="71">
        <f t="shared" ca="1" si="4"/>
        <v>4.9645652120599584</v>
      </c>
      <c r="E34" s="72">
        <f t="shared" ref="E34:G49" ca="1" si="7">IF($C34="","",CRVINTER($C34,$C$8,LEFT(E$17,1)))</f>
        <v>4.9834229863013704</v>
      </c>
      <c r="F34" s="72">
        <f t="shared" ca="1" si="7"/>
        <v>5.4411210252332749</v>
      </c>
      <c r="G34" s="74">
        <f t="shared" ca="1" si="7"/>
        <v>0.798218401369863</v>
      </c>
      <c r="H34" s="68" t="s">
        <v>137</v>
      </c>
      <c r="I34" s="69">
        <f t="shared" ca="1" si="1"/>
        <v>41541</v>
      </c>
      <c r="J34" s="39">
        <f t="shared" ca="1" si="2"/>
        <v>44006</v>
      </c>
      <c r="K34" s="71">
        <f t="shared" ca="1" si="5"/>
        <v>5.205580924187478</v>
      </c>
      <c r="L34" s="72">
        <f t="shared" ref="L34:M49" ca="1" si="8">crvforward($I34,$J34,$C$8,L$17,$M$15,$M$16)</f>
        <v>5.2474374508235924</v>
      </c>
      <c r="M34" s="120">
        <f t="shared" ca="1" si="8"/>
        <v>0.70803613152282108</v>
      </c>
      <c r="N34" s="77"/>
      <c r="O34" s="77"/>
    </row>
    <row r="35" spans="2:15" x14ac:dyDescent="0.2">
      <c r="B35" s="119" t="s">
        <v>176</v>
      </c>
      <c r="C35" s="69">
        <f t="shared" ca="1" si="6"/>
        <v>43185</v>
      </c>
      <c r="D35" s="71">
        <f t="shared" ca="1" si="4"/>
        <v>4.9904884389695292</v>
      </c>
      <c r="E35" s="72">
        <f t="shared" ca="1" si="7"/>
        <v>5.0114536712328768</v>
      </c>
      <c r="F35" s="72">
        <f t="shared" ca="1" si="7"/>
        <v>5.5081344307701388</v>
      </c>
      <c r="G35" s="74">
        <f t="shared" ca="1" si="7"/>
        <v>0.7873963328767124</v>
      </c>
      <c r="H35" s="68" t="s">
        <v>138</v>
      </c>
      <c r="I35" s="69">
        <f t="shared" ca="1" si="1"/>
        <v>41541</v>
      </c>
      <c r="J35" s="39">
        <f t="shared" ca="1" si="2"/>
        <v>45103</v>
      </c>
      <c r="K35" s="71">
        <f t="shared" ca="1" si="5"/>
        <v>0</v>
      </c>
      <c r="L35" s="72">
        <f t="shared" ca="1" si="8"/>
        <v>0</v>
      </c>
      <c r="M35" s="120">
        <f t="shared" ca="1" si="8"/>
        <v>0</v>
      </c>
      <c r="N35" s="77"/>
      <c r="O35" s="77"/>
    </row>
    <row r="36" spans="2:15" x14ac:dyDescent="0.2">
      <c r="B36" s="119" t="s">
        <v>177</v>
      </c>
      <c r="C36" s="69">
        <f t="shared" ca="1" si="6"/>
        <v>43244</v>
      </c>
      <c r="D36" s="71">
        <f t="shared" ca="1" si="4"/>
        <v>5.0074825543880257</v>
      </c>
      <c r="E36" s="72">
        <f t="shared" ca="1" si="7"/>
        <v>5.029829342465753</v>
      </c>
      <c r="F36" s="72">
        <f t="shared" ca="1" si="7"/>
        <v>5.5520654410665271</v>
      </c>
      <c r="G36" s="74">
        <f t="shared" ca="1" si="7"/>
        <v>0.78030186575342464</v>
      </c>
      <c r="H36" s="68" t="s">
        <v>139</v>
      </c>
      <c r="I36" s="69">
        <f t="shared" ca="1" si="1"/>
        <v>41541</v>
      </c>
      <c r="J36" s="39">
        <f t="shared" ca="1" si="2"/>
        <v>45832</v>
      </c>
      <c r="K36" s="71">
        <f t="shared" ca="1" si="5"/>
        <v>0</v>
      </c>
      <c r="L36" s="72">
        <f t="shared" ca="1" si="8"/>
        <v>0</v>
      </c>
      <c r="M36" s="120">
        <f t="shared" ca="1" si="8"/>
        <v>0</v>
      </c>
    </row>
    <row r="37" spans="2:15" x14ac:dyDescent="0.2">
      <c r="B37" s="119" t="s">
        <v>42</v>
      </c>
      <c r="C37" s="69">
        <f t="shared" ca="1" si="6"/>
        <v>43276</v>
      </c>
      <c r="D37" s="71">
        <f t="shared" ca="1" si="4"/>
        <v>5.016535435532961</v>
      </c>
      <c r="E37" s="72">
        <f t="shared" ca="1" si="7"/>
        <v>5.0396363561643831</v>
      </c>
      <c r="F37" s="72">
        <f t="shared" ca="1" si="7"/>
        <v>5.5758955717291254</v>
      </c>
      <c r="G37" s="74">
        <f t="shared" ca="1" si="7"/>
        <v>0.77646858904109595</v>
      </c>
      <c r="H37" s="68" t="s">
        <v>140</v>
      </c>
      <c r="I37" s="69">
        <f t="shared" ca="1" si="1"/>
        <v>41541</v>
      </c>
      <c r="J37" s="39">
        <f t="shared" ca="1" si="2"/>
        <v>46930</v>
      </c>
      <c r="K37" s="71">
        <f t="shared" ca="1" si="5"/>
        <v>0</v>
      </c>
      <c r="L37" s="72">
        <f t="shared" ca="1" si="8"/>
        <v>0</v>
      </c>
      <c r="M37" s="120">
        <f t="shared" ca="1" si="8"/>
        <v>0</v>
      </c>
    </row>
    <row r="38" spans="2:15" x14ac:dyDescent="0.2">
      <c r="B38" s="119" t="s">
        <v>178</v>
      </c>
      <c r="C38" s="69">
        <f t="shared" ca="1" si="6"/>
        <v>43458</v>
      </c>
      <c r="D38" s="71">
        <f t="shared" ca="1" si="4"/>
        <v>5.0614838489298277</v>
      </c>
      <c r="E38" s="72">
        <f t="shared" ca="1" si="7"/>
        <v>5.0890655616438352</v>
      </c>
      <c r="F38" s="72">
        <f t="shared" ca="1" si="7"/>
        <v>5.7115545318333094</v>
      </c>
      <c r="G38" s="74">
        <f t="shared" ca="1" si="7"/>
        <v>0.75524689041095894</v>
      </c>
      <c r="H38" s="68" t="s">
        <v>141</v>
      </c>
      <c r="I38" s="69">
        <f t="shared" ca="1" si="1"/>
        <v>41541</v>
      </c>
      <c r="J38" s="39">
        <f t="shared" ca="1" si="2"/>
        <v>48754</v>
      </c>
      <c r="K38" s="71">
        <f t="shared" ca="1" si="5"/>
        <v>0</v>
      </c>
      <c r="L38" s="72">
        <f t="shared" ca="1" si="8"/>
        <v>0</v>
      </c>
      <c r="M38" s="120">
        <f t="shared" ca="1" si="8"/>
        <v>0</v>
      </c>
    </row>
    <row r="39" spans="2:15" x14ac:dyDescent="0.2">
      <c r="B39" s="119" t="s">
        <v>179</v>
      </c>
      <c r="C39" s="69">
        <f t="shared" ca="1" si="6"/>
        <v>43549</v>
      </c>
      <c r="D39" s="71">
        <f t="shared" ca="1" si="4"/>
        <v>5.0839580556282602</v>
      </c>
      <c r="E39" s="72">
        <f t="shared" ca="1" si="7"/>
        <v>5.1137801643835612</v>
      </c>
      <c r="F39" s="72">
        <f t="shared" ca="1" si="7"/>
        <v>5.7793840118854014</v>
      </c>
      <c r="G39" s="74">
        <f t="shared" ca="1" si="7"/>
        <v>0.74463604109589043</v>
      </c>
      <c r="H39" s="68" t="s">
        <v>142</v>
      </c>
      <c r="I39" s="69">
        <f t="shared" ca="1" si="1"/>
        <v>41541</v>
      </c>
      <c r="J39" s="39">
        <f t="shared" ca="1" si="2"/>
        <v>50580</v>
      </c>
      <c r="K39" s="71">
        <f t="shared" ca="1" si="5"/>
        <v>0</v>
      </c>
      <c r="L39" s="72">
        <f t="shared" ca="1" si="8"/>
        <v>0</v>
      </c>
      <c r="M39" s="120">
        <f t="shared" ca="1" si="8"/>
        <v>0</v>
      </c>
    </row>
    <row r="40" spans="2:15" x14ac:dyDescent="0.2">
      <c r="B40" s="119" t="s">
        <v>180</v>
      </c>
      <c r="C40" s="69">
        <f t="shared" ca="1" si="6"/>
        <v>43609</v>
      </c>
      <c r="D40" s="71">
        <f t="shared" ca="1" si="4"/>
        <v>5.0987762138909636</v>
      </c>
      <c r="E40" s="72">
        <f t="shared" ca="1" si="7"/>
        <v>5.1300755068493142</v>
      </c>
      <c r="F40" s="72">
        <f t="shared" ca="1" si="7"/>
        <v>5.8241067459856817</v>
      </c>
      <c r="G40" s="74">
        <f t="shared" ca="1" si="7"/>
        <v>0.73763987671232878</v>
      </c>
      <c r="H40" s="68" t="s">
        <v>143</v>
      </c>
      <c r="I40" s="69">
        <f t="shared" ca="1" si="1"/>
        <v>41632</v>
      </c>
      <c r="J40" s="39">
        <f t="shared" ca="1" si="2"/>
        <v>41814</v>
      </c>
      <c r="K40" s="71">
        <f ca="1">crvforward($I40,$J40,$C$8,K$17,$M$15,$M$16)</f>
        <v>4.5320338544053511</v>
      </c>
      <c r="L40" s="72">
        <f ca="1">crvforward($I40,$J40,$C$8,L$17,$M$15,$M$16)</f>
        <v>4.5320338544053511</v>
      </c>
      <c r="M40" s="120">
        <f ca="1">crvforward($I40,$J40,$C$8,M$17,$M$15,$M$16)</f>
        <v>0.97790130168221012</v>
      </c>
    </row>
    <row r="41" spans="2:15" x14ac:dyDescent="0.2">
      <c r="B41" s="119" t="s">
        <v>65</v>
      </c>
      <c r="C41" s="69">
        <f t="shared" ca="1" si="6"/>
        <v>43640</v>
      </c>
      <c r="D41" s="71">
        <f t="shared" ca="1" si="4"/>
        <v>5.1064292839578007</v>
      </c>
      <c r="E41" s="72">
        <f t="shared" ca="1" si="7"/>
        <v>5.1385110081743868</v>
      </c>
      <c r="F41" s="72">
        <f t="shared" ca="1" si="7"/>
        <v>5.8473891932604367</v>
      </c>
      <c r="G41" s="74">
        <f t="shared" ca="1" si="7"/>
        <v>0.73403245640326975</v>
      </c>
      <c r="H41" s="68" t="s">
        <v>144</v>
      </c>
      <c r="I41" s="69">
        <f t="shared" ca="1" si="1"/>
        <v>41632</v>
      </c>
      <c r="J41" s="39">
        <f t="shared" ca="1" si="2"/>
        <v>42179</v>
      </c>
      <c r="K41" s="71">
        <f t="shared" ca="1" si="5"/>
        <v>4.7035650303807719</v>
      </c>
      <c r="L41" s="72">
        <f t="shared" ca="1" si="8"/>
        <v>4.6006592662267698</v>
      </c>
      <c r="M41" s="120">
        <f t="shared" ca="1" si="8"/>
        <v>0.93481382557231119</v>
      </c>
    </row>
    <row r="42" spans="2:15" x14ac:dyDescent="0.2">
      <c r="B42" s="119" t="s">
        <v>181</v>
      </c>
      <c r="C42" s="69">
        <f t="shared" ca="1" si="6"/>
        <v>43823</v>
      </c>
      <c r="D42" s="71">
        <f t="shared" ca="1" si="4"/>
        <v>5.1514429861565647</v>
      </c>
      <c r="E42" s="72">
        <f t="shared" ca="1" si="7"/>
        <v>5.1892025068119887</v>
      </c>
      <c r="F42" s="72">
        <f t="shared" ca="1" si="7"/>
        <v>5.9945113129658596</v>
      </c>
      <c r="G42" s="74">
        <f t="shared" ca="1" si="7"/>
        <v>0.71313729700272477</v>
      </c>
      <c r="H42" s="68" t="s">
        <v>145</v>
      </c>
      <c r="I42" s="69">
        <f t="shared" ca="1" si="1"/>
        <v>41632</v>
      </c>
      <c r="J42" s="39">
        <f t="shared" ca="1" si="2"/>
        <v>42545</v>
      </c>
      <c r="K42" s="71">
        <f t="shared" ca="1" si="5"/>
        <v>4.778943485607777</v>
      </c>
      <c r="L42" s="72">
        <f t="shared" ca="1" si="8"/>
        <v>4.7792101821522381</v>
      </c>
      <c r="M42" s="120">
        <f t="shared" ca="1" si="8"/>
        <v>0.88978365724419306</v>
      </c>
    </row>
    <row r="43" spans="2:15" x14ac:dyDescent="0.2">
      <c r="B43" s="119" t="s">
        <v>182</v>
      </c>
      <c r="C43" s="69">
        <f t="shared" ca="1" si="6"/>
        <v>43914</v>
      </c>
      <c r="D43" s="71">
        <f t="shared" ca="1" si="4"/>
        <v>5.1738268489985737</v>
      </c>
      <c r="E43" s="72">
        <f t="shared" ca="1" si="7"/>
        <v>5.2144097547683925</v>
      </c>
      <c r="F43" s="72">
        <f t="shared" ca="1" si="7"/>
        <v>6.0676703998139105</v>
      </c>
      <c r="G43" s="74">
        <f t="shared" ca="1" si="7"/>
        <v>0.70274680790190736</v>
      </c>
      <c r="H43" s="68" t="s">
        <v>146</v>
      </c>
      <c r="I43" s="69">
        <f t="shared" ca="1" si="1"/>
        <v>41632</v>
      </c>
      <c r="J43" s="39">
        <f t="shared" ca="1" si="2"/>
        <v>42912</v>
      </c>
      <c r="K43" s="71">
        <f t="shared" ca="1" si="5"/>
        <v>4.9267359754949878</v>
      </c>
      <c r="L43" s="72">
        <f t="shared" ca="1" si="8"/>
        <v>4.9456815414528732</v>
      </c>
      <c r="M43" s="120">
        <f t="shared" ca="1" si="8"/>
        <v>0.84426814641256653</v>
      </c>
    </row>
    <row r="44" spans="2:15" x14ac:dyDescent="0.2">
      <c r="B44" s="119" t="s">
        <v>183</v>
      </c>
      <c r="C44" s="69">
        <f t="shared" ca="1" si="6"/>
        <v>43977</v>
      </c>
      <c r="D44" s="71">
        <f t="shared" ca="1" si="4"/>
        <v>5.1893233694276564</v>
      </c>
      <c r="E44" s="72">
        <f t="shared" ca="1" si="7"/>
        <v>5.2318609264305183</v>
      </c>
      <c r="F44" s="72">
        <f t="shared" ca="1" si="7"/>
        <v>6.1183189984010236</v>
      </c>
      <c r="G44" s="74">
        <f t="shared" ca="1" si="7"/>
        <v>0.69555339237057223</v>
      </c>
      <c r="H44" s="68" t="s">
        <v>147</v>
      </c>
      <c r="I44" s="69">
        <f t="shared" ca="1" si="1"/>
        <v>41632</v>
      </c>
      <c r="J44" s="39">
        <f t="shared" ca="1" si="2"/>
        <v>43276</v>
      </c>
      <c r="K44" s="71">
        <f ca="1">crvforward($I44,$J44,$C$8,K$17,$M$15,$M$16)</f>
        <v>5.0448023071280748</v>
      </c>
      <c r="L44" s="72">
        <f t="shared" ca="1" si="8"/>
        <v>5.0651575291222368</v>
      </c>
      <c r="M44" s="120">
        <f t="shared" ca="1" si="8"/>
        <v>0.80055489363847632</v>
      </c>
    </row>
    <row r="45" spans="2:15" x14ac:dyDescent="0.2">
      <c r="B45" s="119" t="s">
        <v>66</v>
      </c>
      <c r="C45" s="69">
        <f t="shared" ca="1" si="6"/>
        <v>44006</v>
      </c>
      <c r="D45" s="71">
        <f t="shared" ca="1" si="4"/>
        <v>5.1963226145467223</v>
      </c>
      <c r="E45" s="72">
        <f t="shared" ca="1" si="7"/>
        <v>5.2397459615384623</v>
      </c>
      <c r="F45" s="72">
        <f t="shared" ca="1" si="7"/>
        <v>6.141533827092938</v>
      </c>
      <c r="G45" s="74">
        <f t="shared" ca="1" si="7"/>
        <v>0.69225560989010992</v>
      </c>
      <c r="H45" s="68" t="s">
        <v>148</v>
      </c>
      <c r="I45" s="69">
        <f t="shared" ca="1" si="1"/>
        <v>41632</v>
      </c>
      <c r="J45" s="39">
        <f t="shared" ca="1" si="2"/>
        <v>44006</v>
      </c>
      <c r="K45" s="71">
        <f t="shared" ca="1" si="5"/>
        <v>5.2303942182395611</v>
      </c>
      <c r="L45" s="72">
        <f t="shared" ca="1" si="8"/>
        <v>5.2692411654401745</v>
      </c>
      <c r="M45" s="120">
        <f t="shared" ca="1" si="8"/>
        <v>0.71619820433957926</v>
      </c>
    </row>
    <row r="46" spans="2:15" x14ac:dyDescent="0.2">
      <c r="B46" s="119" t="s">
        <v>184</v>
      </c>
      <c r="C46" s="69">
        <f t="shared" ca="1" si="6"/>
        <v>44189</v>
      </c>
      <c r="D46" s="71">
        <f t="shared" ca="1" si="4"/>
        <v>5.2290685632579468</v>
      </c>
      <c r="E46" s="72">
        <f t="shared" ca="1" si="7"/>
        <v>5.2768914423076927</v>
      </c>
      <c r="F46" s="72">
        <f t="shared" ca="1" si="7"/>
        <v>6.2795420363798806</v>
      </c>
      <c r="G46" s="74">
        <f t="shared" ca="1" si="7"/>
        <v>0.67259316483516485</v>
      </c>
      <c r="H46" s="68" t="s">
        <v>149</v>
      </c>
      <c r="I46" s="69">
        <f t="shared" ca="1" si="1"/>
        <v>41632</v>
      </c>
      <c r="J46" s="39">
        <f t="shared" ca="1" si="2"/>
        <v>45103</v>
      </c>
      <c r="K46" s="71">
        <f t="shared" ca="1" si="5"/>
        <v>0</v>
      </c>
      <c r="L46" s="72">
        <f t="shared" ca="1" si="8"/>
        <v>0</v>
      </c>
      <c r="M46" s="120">
        <f t="shared" ca="1" si="8"/>
        <v>0</v>
      </c>
    </row>
    <row r="47" spans="2:15" x14ac:dyDescent="0.2">
      <c r="B47" s="119" t="s">
        <v>185</v>
      </c>
      <c r="C47" s="69">
        <f t="shared" ca="1" si="6"/>
        <v>44279</v>
      </c>
      <c r="D47" s="71">
        <f t="shared" ca="1" si="4"/>
        <v>5.2451731281978935</v>
      </c>
      <c r="E47" s="72">
        <f t="shared" ca="1" si="7"/>
        <v>5.2951597115384619</v>
      </c>
      <c r="F47" s="72">
        <f t="shared" ca="1" si="7"/>
        <v>6.3474149261931316</v>
      </c>
      <c r="G47" s="74">
        <f t="shared" ca="1" si="7"/>
        <v>0.66292310989010994</v>
      </c>
      <c r="H47" s="68" t="s">
        <v>150</v>
      </c>
      <c r="I47" s="69">
        <f t="shared" ca="1" si="1"/>
        <v>41632</v>
      </c>
      <c r="J47" s="39">
        <f t="shared" ca="1" si="2"/>
        <v>45832</v>
      </c>
      <c r="K47" s="71">
        <f t="shared" ca="1" si="5"/>
        <v>0</v>
      </c>
      <c r="L47" s="72">
        <f t="shared" ca="1" si="8"/>
        <v>0</v>
      </c>
      <c r="M47" s="120">
        <f t="shared" ca="1" si="8"/>
        <v>0</v>
      </c>
    </row>
    <row r="48" spans="2:15" x14ac:dyDescent="0.2">
      <c r="B48" s="119" t="s">
        <v>186</v>
      </c>
      <c r="C48" s="69">
        <f t="shared" ca="1" si="6"/>
        <v>44340</v>
      </c>
      <c r="D48" s="71">
        <f t="shared" ca="1" si="4"/>
        <v>5.256088444434968</v>
      </c>
      <c r="E48" s="72">
        <f t="shared" ca="1" si="7"/>
        <v>5.307541538461539</v>
      </c>
      <c r="F48" s="72">
        <f t="shared" ca="1" si="7"/>
        <v>6.3934176626221131</v>
      </c>
      <c r="G48" s="74">
        <f t="shared" ca="1" si="7"/>
        <v>0.65636896153846158</v>
      </c>
      <c r="H48" s="68" t="s">
        <v>151</v>
      </c>
      <c r="I48" s="69">
        <f t="shared" ca="1" si="1"/>
        <v>41632</v>
      </c>
      <c r="J48" s="39">
        <f t="shared" ca="1" si="2"/>
        <v>46930</v>
      </c>
      <c r="K48" s="71">
        <f t="shared" ca="1" si="5"/>
        <v>0</v>
      </c>
      <c r="L48" s="72">
        <f t="shared" ca="1" si="8"/>
        <v>0</v>
      </c>
      <c r="M48" s="120">
        <f t="shared" ca="1" si="8"/>
        <v>0</v>
      </c>
    </row>
    <row r="49" spans="2:16" x14ac:dyDescent="0.2">
      <c r="B49" s="119" t="s">
        <v>67</v>
      </c>
      <c r="C49" s="69">
        <f t="shared" ca="1" si="6"/>
        <v>44371</v>
      </c>
      <c r="D49" s="71">
        <f t="shared" ca="1" si="4"/>
        <v>5.2624208202949481</v>
      </c>
      <c r="E49" s="72">
        <f t="shared" ca="1" si="7"/>
        <v>5.3148467260273975</v>
      </c>
      <c r="F49" s="72">
        <f t="shared" ca="1" si="7"/>
        <v>6.4184917050207515</v>
      </c>
      <c r="G49" s="74">
        <f t="shared" ca="1" si="7"/>
        <v>0.65299390410958902</v>
      </c>
      <c r="H49" s="68" t="s">
        <v>152</v>
      </c>
      <c r="I49" s="69">
        <f t="shared" ca="1" si="1"/>
        <v>41632</v>
      </c>
      <c r="J49" s="39">
        <f t="shared" ca="1" si="2"/>
        <v>48754</v>
      </c>
      <c r="K49" s="71">
        <f t="shared" ca="1" si="5"/>
        <v>0</v>
      </c>
      <c r="L49" s="72">
        <f t="shared" ca="1" si="8"/>
        <v>0</v>
      </c>
      <c r="M49" s="120">
        <f t="shared" ca="1" si="8"/>
        <v>0</v>
      </c>
    </row>
    <row r="50" spans="2:16" x14ac:dyDescent="0.2">
      <c r="B50" s="119" t="s">
        <v>187</v>
      </c>
      <c r="C50" s="69">
        <f t="shared" ca="1" si="6"/>
        <v>44557</v>
      </c>
      <c r="D50" s="71">
        <f t="shared" ca="1" si="4"/>
        <v>5.3443889598831955</v>
      </c>
      <c r="E50" s="72">
        <f ca="1">IF($C50="","",CRVINTER($C50,$C$8,LEFT(E$17,1)))</f>
        <v>5.415393739726027</v>
      </c>
      <c r="F50" s="72">
        <f ca="1">IF($C50="","",CRVINTER($C50,$C$8,LEFT(F$17,1)))</f>
        <v>6.6638897035607894</v>
      </c>
      <c r="G50" s="74">
        <f ca="1">IF($C50="","",CRVINTER($C50,$C$8,LEFT(G$17,1)))</f>
        <v>0.63026495890410961</v>
      </c>
      <c r="H50" s="68" t="s">
        <v>153</v>
      </c>
      <c r="I50" s="69">
        <f t="shared" ca="1" si="1"/>
        <v>41632</v>
      </c>
      <c r="J50" s="39">
        <f t="shared" ca="1" si="2"/>
        <v>50580</v>
      </c>
      <c r="K50" s="71">
        <f t="shared" ca="1" si="5"/>
        <v>0</v>
      </c>
      <c r="L50" s="72">
        <f ca="1">crvforward($I50,$J50,$C$8,L$17,$M$15,$M$16)</f>
        <v>0</v>
      </c>
      <c r="M50" s="120">
        <f ca="1">crvforward($I50,$J50,$C$8,M$17,$M$15,$M$16)</f>
        <v>0</v>
      </c>
    </row>
    <row r="51" spans="2:16" x14ac:dyDescent="0.2">
      <c r="B51" s="119" t="s">
        <v>188</v>
      </c>
      <c r="C51" s="69">
        <f t="shared" ca="1" si="6"/>
        <v>44644</v>
      </c>
      <c r="D51" s="71">
        <f t="shared" ref="D51:G73" ca="1" si="9">IF($C51="","",CRVINTER($C51,$C$8,LEFT(D$17,1)))</f>
        <v>5.3827288961422148</v>
      </c>
      <c r="E51" s="72">
        <f t="shared" ca="1" si="9"/>
        <v>5.4624237945205483</v>
      </c>
      <c r="F51" s="72">
        <f t="shared" ca="1" si="9"/>
        <v>6.7786726383617744</v>
      </c>
      <c r="G51" s="74">
        <f t="shared" ca="1" si="9"/>
        <v>0.61963367808219183</v>
      </c>
      <c r="H51" s="68" t="s">
        <v>154</v>
      </c>
      <c r="I51" s="69">
        <f t="shared" ca="1" si="1"/>
        <v>41814</v>
      </c>
      <c r="J51" s="39">
        <f t="shared" ca="1" si="2"/>
        <v>41814</v>
      </c>
      <c r="K51" s="71">
        <f t="shared" ref="K51:M66" ca="1" si="10">crvforward($I51,$J51,$C$8,K$17,$M$15,$M$16)</f>
        <v>0</v>
      </c>
      <c r="L51" s="72">
        <f t="shared" ca="1" si="10"/>
        <v>0</v>
      </c>
      <c r="M51" s="120">
        <f t="shared" ca="1" si="10"/>
        <v>0</v>
      </c>
    </row>
    <row r="52" spans="2:16" x14ac:dyDescent="0.2">
      <c r="B52" s="119" t="s">
        <v>189</v>
      </c>
      <c r="C52" s="69">
        <f t="shared" ca="1" si="6"/>
        <v>44705</v>
      </c>
      <c r="D52" s="71">
        <f t="shared" ca="1" si="9"/>
        <v>5.4096109204157798</v>
      </c>
      <c r="E52" s="72">
        <f t="shared" ca="1" si="9"/>
        <v>5.495398890410959</v>
      </c>
      <c r="F52" s="72">
        <f t="shared" ca="1" si="9"/>
        <v>6.859152627130281</v>
      </c>
      <c r="G52" s="74">
        <f t="shared" ca="1" si="9"/>
        <v>0.61217956164383569</v>
      </c>
      <c r="H52" s="68" t="s">
        <v>155</v>
      </c>
      <c r="I52" s="69">
        <f t="shared" ca="1" si="1"/>
        <v>41814</v>
      </c>
      <c r="J52" s="39">
        <f t="shared" ca="1" si="2"/>
        <v>42179</v>
      </c>
      <c r="K52" s="71">
        <f t="shared" ca="1" si="10"/>
        <v>4.6092039859936929</v>
      </c>
      <c r="L52" s="72">
        <f t="shared" ca="1" si="10"/>
        <v>4.6092039859936929</v>
      </c>
      <c r="M52" s="120">
        <f t="shared" ca="1" si="10"/>
        <v>0.95593882937288355</v>
      </c>
      <c r="P52" s="19"/>
    </row>
    <row r="53" spans="2:16" x14ac:dyDescent="0.2">
      <c r="B53" s="119" t="s">
        <v>68</v>
      </c>
      <c r="C53" s="69">
        <f t="shared" ca="1" si="6"/>
        <v>44736</v>
      </c>
      <c r="D53" s="71">
        <f t="shared" ca="1" si="9"/>
        <v>5.4222795277672891</v>
      </c>
      <c r="E53" s="72">
        <f t="shared" ca="1" si="9"/>
        <v>5.5108938904109586</v>
      </c>
      <c r="F53" s="72">
        <f t="shared" ca="1" si="9"/>
        <v>6.8983501416722754</v>
      </c>
      <c r="G53" s="74">
        <f t="shared" ca="1" si="9"/>
        <v>0.60846933424657534</v>
      </c>
      <c r="H53" s="68" t="s">
        <v>156</v>
      </c>
      <c r="I53" s="69">
        <f t="shared" ca="1" si="1"/>
        <v>41814</v>
      </c>
      <c r="J53" s="39">
        <f t="shared" ca="1" si="2"/>
        <v>42545</v>
      </c>
      <c r="K53" s="71">
        <f t="shared" ca="1" si="10"/>
        <v>4.8229854688544176</v>
      </c>
      <c r="L53" s="72">
        <f t="shared" ca="1" si="10"/>
        <v>4.82798761291372</v>
      </c>
      <c r="M53" s="120">
        <f t="shared" ca="1" si="10"/>
        <v>0.90989106540053188</v>
      </c>
      <c r="P53" s="19"/>
    </row>
    <row r="54" spans="2:16" x14ac:dyDescent="0.2">
      <c r="B54" s="119" t="s">
        <v>190</v>
      </c>
      <c r="C54" s="69">
        <f t="shared" ca="1" si="6"/>
        <v>44922</v>
      </c>
      <c r="D54" s="71">
        <f t="shared" ca="1" si="9"/>
        <v>5.4426972140705292</v>
      </c>
      <c r="E54" s="72">
        <f t="shared" ca="1" si="9"/>
        <v>5.5331450958904105</v>
      </c>
      <c r="F54" s="72">
        <f t="shared" ca="1" si="9"/>
        <v>7.0382147235689319</v>
      </c>
      <c r="G54" s="74">
        <f t="shared" ca="1" si="9"/>
        <v>0.59057205753424658</v>
      </c>
      <c r="H54" s="68" t="s">
        <v>157</v>
      </c>
      <c r="I54" s="69">
        <f t="shared" ca="1" si="1"/>
        <v>41814</v>
      </c>
      <c r="J54" s="39">
        <f t="shared" ca="1" si="2"/>
        <v>42912</v>
      </c>
      <c r="K54" s="71">
        <f t="shared" ca="1" si="10"/>
        <v>4.9938966738724844</v>
      </c>
      <c r="L54" s="72">
        <f t="shared" ca="1" si="10"/>
        <v>5.0058321834600239</v>
      </c>
      <c r="M54" s="120">
        <f t="shared" ca="1" si="10"/>
        <v>0.86334699111273827</v>
      </c>
      <c r="P54" s="19"/>
    </row>
    <row r="55" spans="2:16" x14ac:dyDescent="0.2">
      <c r="B55" s="119" t="s">
        <v>191</v>
      </c>
      <c r="C55" s="69">
        <f t="shared" ca="1" si="6"/>
        <v>45009</v>
      </c>
      <c r="D55" s="71">
        <f t="shared" ca="1" si="9"/>
        <v>5.4522474221801103</v>
      </c>
      <c r="E55" s="72">
        <f t="shared" ca="1" si="9"/>
        <v>5.5435529178082188</v>
      </c>
      <c r="F55" s="72">
        <f t="shared" ca="1" si="9"/>
        <v>7.103635253810916</v>
      </c>
      <c r="G55" s="74">
        <f t="shared" ca="1" si="9"/>
        <v>0.58220075068493149</v>
      </c>
      <c r="H55" s="68" t="s">
        <v>158</v>
      </c>
      <c r="I55" s="69">
        <f t="shared" ca="1" si="1"/>
        <v>41814</v>
      </c>
      <c r="J55" s="39">
        <f t="shared" ca="1" si="2"/>
        <v>43276</v>
      </c>
      <c r="K55" s="71">
        <f t="shared" ca="1" si="10"/>
        <v>5.109346768863003</v>
      </c>
      <c r="L55" s="72">
        <f t="shared" ca="1" si="10"/>
        <v>5.1278546526877689</v>
      </c>
      <c r="M55" s="120">
        <f t="shared" ca="1" si="10"/>
        <v>0.81848324025960106</v>
      </c>
      <c r="P55" s="19"/>
    </row>
    <row r="56" spans="2:16" x14ac:dyDescent="0.2">
      <c r="B56" s="119" t="s">
        <v>192</v>
      </c>
      <c r="C56" s="69">
        <f t="shared" ca="1" si="6"/>
        <v>45070</v>
      </c>
      <c r="D56" s="71">
        <f t="shared" ca="1" si="9"/>
        <v>5.458943545107517</v>
      </c>
      <c r="E56" s="72">
        <f t="shared" ca="1" si="9"/>
        <v>5.5508503561643829</v>
      </c>
      <c r="F56" s="72">
        <f t="shared" ca="1" si="9"/>
        <v>7.1495048209920773</v>
      </c>
      <c r="G56" s="74">
        <f t="shared" ca="1" si="9"/>
        <v>0.57633121369863005</v>
      </c>
      <c r="H56" s="68" t="s">
        <v>159</v>
      </c>
      <c r="I56" s="69">
        <f t="shared" ca="1" si="1"/>
        <v>41814</v>
      </c>
      <c r="J56" s="39">
        <f t="shared" ca="1" si="2"/>
        <v>44006</v>
      </c>
      <c r="K56" s="71">
        <f t="shared" ca="1" si="10"/>
        <v>5.2971776670593682</v>
      </c>
      <c r="L56" s="72">
        <f t="shared" ca="1" si="10"/>
        <v>5.3323142013772751</v>
      </c>
      <c r="M56" s="120">
        <f t="shared" ca="1" si="10"/>
        <v>0.73199247921812804</v>
      </c>
      <c r="P56" s="19"/>
    </row>
    <row r="57" spans="2:16" x14ac:dyDescent="0.2">
      <c r="B57" s="119" t="s">
        <v>69</v>
      </c>
      <c r="C57" s="69">
        <f t="shared" ca="1" si="6"/>
        <v>45103</v>
      </c>
      <c r="D57" s="71" t="str">
        <f t="shared" ca="1" si="9"/>
        <v/>
      </c>
      <c r="E57" s="72" t="str">
        <f t="shared" ca="1" si="9"/>
        <v/>
      </c>
      <c r="F57" s="72" t="str">
        <f t="shared" ca="1" si="9"/>
        <v/>
      </c>
      <c r="G57" s="74" t="str">
        <f t="shared" ca="1" si="9"/>
        <v/>
      </c>
      <c r="H57" s="68" t="s">
        <v>160</v>
      </c>
      <c r="I57" s="69">
        <f t="shared" ca="1" si="1"/>
        <v>41814</v>
      </c>
      <c r="J57" s="39">
        <f t="shared" ca="1" si="2"/>
        <v>45103</v>
      </c>
      <c r="K57" s="71">
        <f t="shared" ca="1" si="10"/>
        <v>0</v>
      </c>
      <c r="L57" s="72">
        <f t="shared" ca="1" si="10"/>
        <v>0</v>
      </c>
      <c r="M57" s="120">
        <f t="shared" ca="1" si="10"/>
        <v>0</v>
      </c>
      <c r="P57" s="19"/>
    </row>
    <row r="58" spans="2:16" x14ac:dyDescent="0.2">
      <c r="B58" s="119" t="s">
        <v>193</v>
      </c>
      <c r="C58" s="69">
        <f t="shared" ca="1" si="6"/>
        <v>45286</v>
      </c>
      <c r="D58" s="71" t="str">
        <f t="shared" ca="1" si="9"/>
        <v/>
      </c>
      <c r="E58" s="72" t="str">
        <f t="shared" ca="1" si="9"/>
        <v/>
      </c>
      <c r="F58" s="72" t="str">
        <f t="shared" ca="1" si="9"/>
        <v/>
      </c>
      <c r="G58" s="74" t="str">
        <f t="shared" ca="1" si="9"/>
        <v/>
      </c>
      <c r="H58" s="68" t="s">
        <v>161</v>
      </c>
      <c r="I58" s="69">
        <f t="shared" ca="1" si="1"/>
        <v>41814</v>
      </c>
      <c r="J58" s="39">
        <f t="shared" ca="1" si="2"/>
        <v>45832</v>
      </c>
      <c r="K58" s="71">
        <f t="shared" ca="1" si="10"/>
        <v>0</v>
      </c>
      <c r="L58" s="72">
        <f t="shared" ca="1" si="10"/>
        <v>0</v>
      </c>
      <c r="M58" s="120">
        <f t="shared" ca="1" si="10"/>
        <v>0</v>
      </c>
      <c r="P58" s="19"/>
    </row>
    <row r="59" spans="2:16" x14ac:dyDescent="0.2">
      <c r="B59" s="119" t="s">
        <v>194</v>
      </c>
      <c r="C59" s="69">
        <f t="shared" ca="1" si="6"/>
        <v>45376</v>
      </c>
      <c r="D59" s="71" t="str">
        <f t="shared" ca="1" si="9"/>
        <v/>
      </c>
      <c r="E59" s="72" t="str">
        <f t="shared" ca="1" si="9"/>
        <v/>
      </c>
      <c r="F59" s="72" t="str">
        <f t="shared" ca="1" si="9"/>
        <v/>
      </c>
      <c r="G59" s="74" t="str">
        <f t="shared" ca="1" si="9"/>
        <v/>
      </c>
      <c r="H59" s="68" t="s">
        <v>162</v>
      </c>
      <c r="I59" s="69">
        <f t="shared" ca="1" si="1"/>
        <v>41814</v>
      </c>
      <c r="J59" s="39">
        <f t="shared" ca="1" si="2"/>
        <v>46930</v>
      </c>
      <c r="K59" s="71">
        <f t="shared" ca="1" si="10"/>
        <v>0</v>
      </c>
      <c r="L59" s="72">
        <f t="shared" ca="1" si="10"/>
        <v>0</v>
      </c>
      <c r="M59" s="120">
        <f t="shared" ca="1" si="10"/>
        <v>0</v>
      </c>
      <c r="P59" s="19"/>
    </row>
    <row r="60" spans="2:16" x14ac:dyDescent="0.2">
      <c r="B60" s="119" t="s">
        <v>195</v>
      </c>
      <c r="C60" s="69">
        <f t="shared" ca="1" si="6"/>
        <v>45436</v>
      </c>
      <c r="D60" s="71" t="str">
        <f t="shared" ca="1" si="9"/>
        <v/>
      </c>
      <c r="E60" s="72" t="str">
        <f t="shared" ca="1" si="9"/>
        <v/>
      </c>
      <c r="F60" s="72" t="str">
        <f t="shared" ca="1" si="9"/>
        <v/>
      </c>
      <c r="G60" s="74" t="str">
        <f t="shared" ca="1" si="9"/>
        <v/>
      </c>
      <c r="H60" s="68" t="s">
        <v>163</v>
      </c>
      <c r="I60" s="69">
        <f t="shared" ca="1" si="1"/>
        <v>41814</v>
      </c>
      <c r="J60" s="39">
        <f t="shared" ca="1" si="2"/>
        <v>48754</v>
      </c>
      <c r="K60" s="71">
        <f t="shared" ca="1" si="10"/>
        <v>0</v>
      </c>
      <c r="L60" s="72">
        <f t="shared" ca="1" si="10"/>
        <v>0</v>
      </c>
      <c r="M60" s="120">
        <f t="shared" ca="1" si="10"/>
        <v>0</v>
      </c>
      <c r="P60" s="19"/>
    </row>
    <row r="61" spans="2:16" x14ac:dyDescent="0.2">
      <c r="B61" s="119" t="s">
        <v>196</v>
      </c>
      <c r="C61" s="69">
        <f t="shared" ca="1" si="6"/>
        <v>45467</v>
      </c>
      <c r="D61" s="71" t="str">
        <f t="shared" ca="1" si="9"/>
        <v/>
      </c>
      <c r="E61" s="72" t="str">
        <f t="shared" ca="1" si="9"/>
        <v/>
      </c>
      <c r="F61" s="72" t="str">
        <f t="shared" ca="1" si="9"/>
        <v/>
      </c>
      <c r="G61" s="74" t="str">
        <f t="shared" ca="1" si="9"/>
        <v/>
      </c>
      <c r="H61" s="68" t="s">
        <v>164</v>
      </c>
      <c r="I61" s="69">
        <f t="shared" ca="1" si="1"/>
        <v>41814</v>
      </c>
      <c r="J61" s="39">
        <f t="shared" ca="1" si="2"/>
        <v>50580</v>
      </c>
      <c r="K61" s="71">
        <f t="shared" ca="1" si="10"/>
        <v>0</v>
      </c>
      <c r="L61" s="72">
        <f t="shared" ca="1" si="10"/>
        <v>0</v>
      </c>
      <c r="M61" s="120">
        <f t="shared" ca="1" si="10"/>
        <v>0</v>
      </c>
      <c r="P61" s="19"/>
    </row>
    <row r="62" spans="2:16" x14ac:dyDescent="0.2">
      <c r="B62" s="119" t="s">
        <v>197</v>
      </c>
      <c r="C62" s="69">
        <f t="shared" ca="1" si="6"/>
        <v>45650</v>
      </c>
      <c r="D62" s="71" t="str">
        <f t="shared" ca="1" si="9"/>
        <v/>
      </c>
      <c r="E62" s="72" t="str">
        <f t="shared" ca="1" si="9"/>
        <v/>
      </c>
      <c r="F62" s="72" t="str">
        <f t="shared" ca="1" si="9"/>
        <v/>
      </c>
      <c r="G62" s="74" t="str">
        <f t="shared" ca="1" si="9"/>
        <v/>
      </c>
      <c r="H62" s="68" t="s">
        <v>224</v>
      </c>
      <c r="I62" s="69">
        <f t="shared" ca="1" si="1"/>
        <v>41632</v>
      </c>
      <c r="J62" s="39">
        <f t="shared" ca="1" si="2"/>
        <v>41814</v>
      </c>
      <c r="K62" s="71">
        <f t="shared" ca="1" si="10"/>
        <v>4.5320338544053511</v>
      </c>
      <c r="L62" s="72">
        <f t="shared" ca="1" si="10"/>
        <v>4.5320338544053511</v>
      </c>
      <c r="M62" s="120">
        <f t="shared" ca="1" si="10"/>
        <v>0.97790130168221012</v>
      </c>
      <c r="P62" s="19"/>
    </row>
    <row r="63" spans="2:16" x14ac:dyDescent="0.2">
      <c r="B63" s="119" t="s">
        <v>198</v>
      </c>
      <c r="C63" s="69">
        <f t="shared" ca="1" si="6"/>
        <v>45740</v>
      </c>
      <c r="D63" s="71" t="str">
        <f t="shared" ca="1" si="9"/>
        <v/>
      </c>
      <c r="E63" s="72" t="str">
        <f t="shared" ca="1" si="9"/>
        <v/>
      </c>
      <c r="F63" s="72" t="str">
        <f t="shared" ca="1" si="9"/>
        <v/>
      </c>
      <c r="G63" s="74" t="str">
        <f t="shared" ca="1" si="9"/>
        <v/>
      </c>
      <c r="H63" s="68" t="s">
        <v>225</v>
      </c>
      <c r="I63" s="69">
        <f t="shared" ca="1" si="1"/>
        <v>41632</v>
      </c>
      <c r="J63" s="39">
        <f t="shared" ca="1" si="2"/>
        <v>42179</v>
      </c>
      <c r="K63" s="71">
        <f t="shared" ca="1" si="10"/>
        <v>4.7035650303807719</v>
      </c>
      <c r="L63" s="72">
        <f t="shared" ca="1" si="10"/>
        <v>4.6006592662267698</v>
      </c>
      <c r="M63" s="120">
        <f t="shared" ca="1" si="10"/>
        <v>0.93481382557231119</v>
      </c>
      <c r="P63" s="19"/>
    </row>
    <row r="64" spans="2:16" x14ac:dyDescent="0.2">
      <c r="B64" s="119" t="s">
        <v>199</v>
      </c>
      <c r="C64" s="69">
        <f t="shared" ca="1" si="6"/>
        <v>45804</v>
      </c>
      <c r="D64" s="71" t="str">
        <f t="shared" ca="1" si="9"/>
        <v/>
      </c>
      <c r="E64" s="72" t="str">
        <f t="shared" ca="1" si="9"/>
        <v/>
      </c>
      <c r="F64" s="72" t="str">
        <f t="shared" ca="1" si="9"/>
        <v/>
      </c>
      <c r="G64" s="74" t="str">
        <f t="shared" ca="1" si="9"/>
        <v/>
      </c>
      <c r="H64" s="68" t="s">
        <v>226</v>
      </c>
      <c r="I64" s="69">
        <f t="shared" ca="1" si="1"/>
        <v>41632</v>
      </c>
      <c r="J64" s="39">
        <f t="shared" ca="1" si="2"/>
        <v>42545</v>
      </c>
      <c r="K64" s="71">
        <f t="shared" ca="1" si="10"/>
        <v>4.778943485607777</v>
      </c>
      <c r="L64" s="72">
        <f t="shared" ca="1" si="10"/>
        <v>4.7792101821522381</v>
      </c>
      <c r="M64" s="120">
        <f t="shared" ca="1" si="10"/>
        <v>0.88978365724419306</v>
      </c>
      <c r="P64" s="19"/>
    </row>
    <row r="65" spans="2:16" x14ac:dyDescent="0.2">
      <c r="B65" s="119" t="s">
        <v>70</v>
      </c>
      <c r="C65" s="69">
        <f t="shared" ca="1" si="6"/>
        <v>45832</v>
      </c>
      <c r="D65" s="71" t="str">
        <f t="shared" ca="1" si="9"/>
        <v/>
      </c>
      <c r="E65" s="72" t="str">
        <f t="shared" ca="1" si="9"/>
        <v/>
      </c>
      <c r="F65" s="72" t="str">
        <f t="shared" ca="1" si="9"/>
        <v/>
      </c>
      <c r="G65" s="74" t="str">
        <f t="shared" ca="1" si="9"/>
        <v/>
      </c>
      <c r="H65" s="68" t="s">
        <v>227</v>
      </c>
      <c r="I65" s="69">
        <f t="shared" ca="1" si="1"/>
        <v>41632</v>
      </c>
      <c r="J65" s="39">
        <f t="shared" ca="1" si="2"/>
        <v>43276</v>
      </c>
      <c r="K65" s="71">
        <f t="shared" ca="1" si="10"/>
        <v>5.0448023071280748</v>
      </c>
      <c r="L65" s="72">
        <f t="shared" ca="1" si="10"/>
        <v>5.0651575291222368</v>
      </c>
      <c r="M65" s="120">
        <f t="shared" ca="1" si="10"/>
        <v>0.80055489363847632</v>
      </c>
      <c r="P65" s="19"/>
    </row>
    <row r="66" spans="2:16" x14ac:dyDescent="0.2">
      <c r="B66" s="119" t="s">
        <v>200</v>
      </c>
      <c r="C66" s="69">
        <f t="shared" ca="1" si="6"/>
        <v>46562</v>
      </c>
      <c r="D66" s="71" t="str">
        <f t="shared" ca="1" si="9"/>
        <v/>
      </c>
      <c r="E66" s="72" t="str">
        <f t="shared" ca="1" si="9"/>
        <v/>
      </c>
      <c r="F66" s="72" t="str">
        <f t="shared" ca="1" si="9"/>
        <v/>
      </c>
      <c r="G66" s="74" t="str">
        <f t="shared" ca="1" si="9"/>
        <v/>
      </c>
      <c r="H66" s="68" t="s">
        <v>228</v>
      </c>
      <c r="I66" s="69">
        <f t="shared" ca="1" si="1"/>
        <v>41632</v>
      </c>
      <c r="J66" s="39">
        <f t="shared" ca="1" si="2"/>
        <v>44006</v>
      </c>
      <c r="K66" s="71">
        <f t="shared" ca="1" si="10"/>
        <v>5.2303942182395611</v>
      </c>
      <c r="L66" s="72">
        <f t="shared" ca="1" si="10"/>
        <v>5.2692411654401745</v>
      </c>
      <c r="M66" s="120">
        <f t="shared" ca="1" si="10"/>
        <v>0.71619820433957926</v>
      </c>
      <c r="P66" s="19"/>
    </row>
    <row r="67" spans="2:16" x14ac:dyDescent="0.2">
      <c r="B67" s="119" t="s">
        <v>201</v>
      </c>
      <c r="C67" s="69">
        <f t="shared" ca="1" si="6"/>
        <v>46748</v>
      </c>
      <c r="D67" s="71" t="str">
        <f t="shared" ca="1" si="9"/>
        <v/>
      </c>
      <c r="E67" s="72" t="str">
        <f t="shared" ca="1" si="9"/>
        <v/>
      </c>
      <c r="F67" s="72" t="str">
        <f t="shared" ca="1" si="9"/>
        <v/>
      </c>
      <c r="G67" s="74" t="str">
        <f t="shared" ca="1" si="9"/>
        <v/>
      </c>
      <c r="H67" s="68" t="s">
        <v>251</v>
      </c>
      <c r="I67" s="69">
        <f t="shared" ca="1" si="1"/>
        <v>41632</v>
      </c>
      <c r="J67" s="39">
        <f t="shared" ca="1" si="2"/>
        <v>42912</v>
      </c>
      <c r="K67" s="71">
        <f t="shared" ref="K67:M86" ca="1" si="11">crvforward($I67,$J67,$C$8,K$17,$M$15,$M$16)</f>
        <v>4.9267359754949878</v>
      </c>
      <c r="L67" s="72">
        <f t="shared" ca="1" si="11"/>
        <v>4.9456815414528732</v>
      </c>
      <c r="M67" s="120">
        <f t="shared" ca="1" si="11"/>
        <v>0.84426814641256653</v>
      </c>
      <c r="P67" s="19"/>
    </row>
    <row r="68" spans="2:16" x14ac:dyDescent="0.2">
      <c r="B68" s="119" t="s">
        <v>202</v>
      </c>
      <c r="C68" s="69">
        <f t="shared" ca="1" si="6"/>
        <v>46836</v>
      </c>
      <c r="D68" s="71" t="str">
        <f t="shared" ca="1" si="9"/>
        <v/>
      </c>
      <c r="E68" s="72" t="str">
        <f t="shared" ca="1" si="9"/>
        <v/>
      </c>
      <c r="F68" s="72" t="str">
        <f t="shared" ca="1" si="9"/>
        <v/>
      </c>
      <c r="G68" s="74" t="str">
        <f t="shared" ca="1" si="9"/>
        <v/>
      </c>
      <c r="H68" s="68" t="s">
        <v>158</v>
      </c>
      <c r="I68" s="69">
        <f t="shared" ca="1" si="1"/>
        <v>41814</v>
      </c>
      <c r="J68" s="39">
        <f t="shared" ca="1" si="2"/>
        <v>43276</v>
      </c>
      <c r="K68" s="71">
        <f t="shared" ca="1" si="11"/>
        <v>5.109346768863003</v>
      </c>
      <c r="L68" s="72">
        <f t="shared" ca="1" si="11"/>
        <v>5.1278546526877689</v>
      </c>
      <c r="M68" s="120">
        <f t="shared" ca="1" si="11"/>
        <v>0.81848324025960106</v>
      </c>
      <c r="P68" s="19"/>
    </row>
    <row r="69" spans="2:16" x14ac:dyDescent="0.2">
      <c r="B69" s="119" t="s">
        <v>203</v>
      </c>
      <c r="C69" s="69">
        <f t="shared" ca="1" si="6"/>
        <v>46897</v>
      </c>
      <c r="D69" s="71" t="str">
        <f t="shared" ca="1" si="9"/>
        <v/>
      </c>
      <c r="E69" s="72" t="str">
        <f t="shared" ca="1" si="9"/>
        <v/>
      </c>
      <c r="F69" s="72" t="str">
        <f t="shared" ca="1" si="9"/>
        <v/>
      </c>
      <c r="G69" s="74" t="str">
        <f t="shared" ca="1" si="9"/>
        <v/>
      </c>
      <c r="H69" s="68" t="s">
        <v>305</v>
      </c>
      <c r="I69" s="69">
        <f ca="1">IF($H69="","",paydate($M$14,crvgetcrncy($C$8),LEFT($H69,FIND("X",UPPER($H69))-1)))</f>
        <v>41479</v>
      </c>
      <c r="J69" s="39">
        <f ca="1">IF($H69="","",paydate($I69,crvgetcrncy($C$8),RIGHT($H69,LEN($H69)-FIND("X",UPPER($H69)))))</f>
        <v>52406</v>
      </c>
      <c r="K69" s="71">
        <f t="shared" ca="1" si="11"/>
        <v>0</v>
      </c>
      <c r="L69" s="72">
        <f t="shared" ca="1" si="11"/>
        <v>0</v>
      </c>
      <c r="M69" s="120">
        <f t="shared" ca="1" si="11"/>
        <v>0</v>
      </c>
      <c r="P69" s="19"/>
    </row>
    <row r="70" spans="2:16" x14ac:dyDescent="0.2">
      <c r="B70" s="119" t="s">
        <v>71</v>
      </c>
      <c r="C70" s="69">
        <f t="shared" ca="1" si="6"/>
        <v>46930</v>
      </c>
      <c r="D70" s="71" t="str">
        <f t="shared" ca="1" si="9"/>
        <v/>
      </c>
      <c r="E70" s="72" t="str">
        <f t="shared" ca="1" si="9"/>
        <v/>
      </c>
      <c r="F70" s="72" t="str">
        <f t="shared" ca="1" si="9"/>
        <v/>
      </c>
      <c r="G70" s="74" t="str">
        <f t="shared" ca="1" si="9"/>
        <v/>
      </c>
      <c r="H70" s="68" t="s">
        <v>306</v>
      </c>
      <c r="I70" s="69">
        <f ca="1">IF($H70="","",paydate($M$14,crvgetcrncy($C$8),LEFT($H70,FIND("X",UPPER($H70))-1)))</f>
        <v>41541</v>
      </c>
      <c r="J70" s="39">
        <f ca="1">IF($H70="","",paydate($I70,crvgetcrncy($C$8),RIGHT($H70,LEN($H70)-FIND("X",UPPER($H70)))))</f>
        <v>52406</v>
      </c>
      <c r="K70" s="71">
        <f t="shared" ca="1" si="11"/>
        <v>0</v>
      </c>
      <c r="L70" s="72">
        <f t="shared" ca="1" si="11"/>
        <v>0</v>
      </c>
      <c r="M70" s="120">
        <f t="shared" ca="1" si="11"/>
        <v>0</v>
      </c>
      <c r="P70" s="19"/>
    </row>
    <row r="71" spans="2:16" x14ac:dyDescent="0.2">
      <c r="B71" s="119" t="s">
        <v>204</v>
      </c>
      <c r="C71" s="69">
        <f t="shared" ca="1" si="6"/>
        <v>48389</v>
      </c>
      <c r="D71" s="71" t="str">
        <f t="shared" ca="1" si="9"/>
        <v/>
      </c>
      <c r="E71" s="72" t="str">
        <f t="shared" ca="1" si="9"/>
        <v/>
      </c>
      <c r="F71" s="72" t="str">
        <f t="shared" ca="1" si="9"/>
        <v/>
      </c>
      <c r="G71" s="74" t="str">
        <f t="shared" ca="1" si="9"/>
        <v/>
      </c>
      <c r="H71" s="68" t="s">
        <v>307</v>
      </c>
      <c r="I71" s="69">
        <f ca="1">IF($H71="","",paydate($M$14,crvgetcrncy($C$8),LEFT($H71,FIND("X",UPPER($H71))-1)))</f>
        <v>41632</v>
      </c>
      <c r="J71" s="39">
        <f ca="1">IF($H71="","",paydate($I71,crvgetcrncy($C$8),RIGHT($H71,LEN($H71)-FIND("X",UPPER($H71)))))</f>
        <v>52406</v>
      </c>
      <c r="K71" s="71">
        <f t="shared" ca="1" si="11"/>
        <v>0</v>
      </c>
      <c r="L71" s="72">
        <f t="shared" ca="1" si="11"/>
        <v>0</v>
      </c>
      <c r="M71" s="120">
        <f t="shared" ca="1" si="11"/>
        <v>0</v>
      </c>
      <c r="P71" s="19"/>
    </row>
    <row r="72" spans="2:16" x14ac:dyDescent="0.2">
      <c r="B72" s="119" t="s">
        <v>205</v>
      </c>
      <c r="C72" s="69">
        <f t="shared" ca="1" si="6"/>
        <v>48575</v>
      </c>
      <c r="D72" s="71" t="str">
        <f t="shared" ca="1" si="9"/>
        <v/>
      </c>
      <c r="E72" s="72" t="str">
        <f t="shared" ca="1" si="9"/>
        <v/>
      </c>
      <c r="F72" s="72" t="str">
        <f t="shared" ca="1" si="9"/>
        <v/>
      </c>
      <c r="G72" s="74" t="str">
        <f t="shared" ca="1" si="9"/>
        <v/>
      </c>
      <c r="H72" s="68" t="s">
        <v>308</v>
      </c>
      <c r="I72" s="69">
        <f ca="1">IF($H72="","",paydate($M$14,crvgetcrncy($C$8),LEFT($H72,FIND("X",UPPER($H72))-1)))</f>
        <v>41814</v>
      </c>
      <c r="J72" s="39">
        <f ca="1">IF($H72="","",paydate($I72,crvgetcrncy($C$8),RIGHT($H72,LEN($H72)-FIND("X",UPPER($H72)))))</f>
        <v>52406</v>
      </c>
      <c r="K72" s="71">
        <f t="shared" ca="1" si="11"/>
        <v>0</v>
      </c>
      <c r="L72" s="72">
        <f t="shared" ca="1" si="11"/>
        <v>0</v>
      </c>
      <c r="M72" s="120">
        <f t="shared" ca="1" si="11"/>
        <v>0</v>
      </c>
      <c r="P72" s="19"/>
    </row>
    <row r="73" spans="2:16" x14ac:dyDescent="0.2">
      <c r="B73" s="119" t="s">
        <v>206</v>
      </c>
      <c r="C73" s="69">
        <f t="shared" ca="1" si="6"/>
        <v>48662</v>
      </c>
      <c r="D73" s="71" t="str">
        <f t="shared" ca="1" si="9"/>
        <v/>
      </c>
      <c r="E73" s="72" t="str">
        <f t="shared" ca="1" si="9"/>
        <v/>
      </c>
      <c r="F73" s="72" t="str">
        <f t="shared" ca="1" si="9"/>
        <v/>
      </c>
      <c r="G73" s="74" t="str">
        <f t="shared" ca="1" si="9"/>
        <v/>
      </c>
      <c r="H73" s="68" t="s">
        <v>314</v>
      </c>
      <c r="I73" s="69">
        <f ca="1">IF($H73="","",paydate($M$14,crvgetcrncy($C$8),LEFT($H73,FIND("X",UPPER($H73))-1)))</f>
        <v>41479</v>
      </c>
      <c r="J73" s="39">
        <f ca="1">IF($H73="","",paydate($I73,crvgetcrncy($C$8),RIGHT($H73,LEN($H73)-FIND("X",UPPER($H73)))))</f>
        <v>43640</v>
      </c>
      <c r="K73" s="71">
        <f t="shared" ca="1" si="11"/>
        <v>5.1099979340925898</v>
      </c>
      <c r="L73" s="72">
        <f t="shared" ca="1" si="11"/>
        <v>5.1420302086597065</v>
      </c>
      <c r="M73" s="120">
        <f t="shared" ca="1" si="11"/>
        <v>0.74317500706969641</v>
      </c>
      <c r="P73" s="19"/>
    </row>
    <row r="74" spans="2:16" x14ac:dyDescent="0.2">
      <c r="B74" s="119" t="s">
        <v>207</v>
      </c>
      <c r="C74" s="69">
        <f ca="1">IF($B74="","",IF(ISTEXT($B74),paydate($M$14,crvgetcrncy($C$8),$B74),$B74))</f>
        <v>48723</v>
      </c>
      <c r="D74" s="71" t="str">
        <f t="shared" ref="D74:G98" ca="1" si="12">IF($C74="","",CRVINTER($C74,$C$8,LEFT(D$17,1)))</f>
        <v/>
      </c>
      <c r="E74" s="72" t="str">
        <f t="shared" ca="1" si="12"/>
        <v/>
      </c>
      <c r="F74" s="72" t="str">
        <f t="shared" ca="1" si="12"/>
        <v/>
      </c>
      <c r="G74" s="74" t="str">
        <f t="shared" ca="1" si="12"/>
        <v/>
      </c>
      <c r="H74" s="68" t="s">
        <v>315</v>
      </c>
      <c r="I74" s="69">
        <f ca="1">IF($H74="","",paydate($M$14,crvgetcrncy($C$8),LEFT($H74,FIND("X",UPPER($H74))-1)))</f>
        <v>41541</v>
      </c>
      <c r="J74" s="39">
        <f ca="1">IF($H74="","",paydate($I74,crvgetcrncy($C$8),RIGHT($H74,LEN($H74)-FIND("X",UPPER($H74)))))</f>
        <v>43640</v>
      </c>
      <c r="K74" s="71">
        <f t="shared" ca="1" si="11"/>
        <v>5.1178000623330338</v>
      </c>
      <c r="L74" s="72">
        <f t="shared" ca="1" si="11"/>
        <v>5.1494519046076759</v>
      </c>
      <c r="M74" s="120">
        <f t="shared" ca="1" si="11"/>
        <v>0.74927525495419833</v>
      </c>
      <c r="P74" s="19"/>
    </row>
    <row r="75" spans="2:16" x14ac:dyDescent="0.2">
      <c r="B75" s="119" t="s">
        <v>75</v>
      </c>
      <c r="C75" s="69">
        <f ca="1">IF($B75="","",IF(ISTEXT($B75),paydate($M$14,crvgetcrncy($C$8),$B75),$B75))</f>
        <v>48754</v>
      </c>
      <c r="D75" s="71" t="str">
        <f t="shared" ca="1" si="12"/>
        <v/>
      </c>
      <c r="E75" s="72" t="str">
        <f t="shared" ca="1" si="12"/>
        <v/>
      </c>
      <c r="F75" s="72" t="str">
        <f t="shared" ca="1" si="12"/>
        <v/>
      </c>
      <c r="G75" s="74" t="str">
        <f t="shared" ca="1" si="12"/>
        <v/>
      </c>
      <c r="H75" s="68" t="s">
        <v>316</v>
      </c>
      <c r="I75" s="69">
        <f ca="1">IF($H75="","",paydate($M$14,crvgetcrncy($C$8),LEFT($H75,FIND("X",UPPER($H75))-1)))</f>
        <v>41632</v>
      </c>
      <c r="J75" s="39">
        <f ca="1">IF($H75="","",paydate($I75,crvgetcrncy($C$8),RIGHT($H75,LEN($H75)-FIND("X",UPPER($H75)))))</f>
        <v>43640</v>
      </c>
      <c r="K75" s="71">
        <f t="shared" ca="1" si="11"/>
        <v>5.1434549676230201</v>
      </c>
      <c r="L75" s="72">
        <f t="shared" ca="1" si="11"/>
        <v>5.1727806754535237</v>
      </c>
      <c r="M75" s="120">
        <f t="shared" ca="1" si="11"/>
        <v>0.757816583120559</v>
      </c>
      <c r="P75" s="19"/>
    </row>
    <row r="76" spans="2:16" x14ac:dyDescent="0.2">
      <c r="B76" s="119" t="s">
        <v>208</v>
      </c>
      <c r="C76" s="69">
        <f ca="1">IF($B76="","",IF(ISTEXT($B76),paydate($M$14,crvgetcrncy($C$8),$B76),$B76))</f>
        <v>50215</v>
      </c>
      <c r="D76" s="71" t="str">
        <f t="shared" ca="1" si="12"/>
        <v/>
      </c>
      <c r="E76" s="72" t="str">
        <f t="shared" ca="1" si="12"/>
        <v/>
      </c>
      <c r="F76" s="72" t="str">
        <f t="shared" ca="1" si="12"/>
        <v/>
      </c>
      <c r="G76" s="74" t="str">
        <f t="shared" ca="1" si="12"/>
        <v/>
      </c>
      <c r="H76" s="68" t="s">
        <v>317</v>
      </c>
      <c r="I76" s="69">
        <f ca="1">IF($H76="","",paydate($M$14,crvgetcrncy($C$8),LEFT($H76,FIND("X",UPPER($H76))-1)))</f>
        <v>41814</v>
      </c>
      <c r="J76" s="39">
        <f ca="1">IF($H76="","",paydate($I76,crvgetcrncy($C$8),RIGHT($H76,LEN($H76)-FIND("X",UPPER($H76)))))</f>
        <v>43640</v>
      </c>
      <c r="K76" s="71">
        <f t="shared" ca="1" si="11"/>
        <v>5.2035417814940521</v>
      </c>
      <c r="L76" s="72">
        <f t="shared" ca="1" si="11"/>
        <v>5.2291514945452588</v>
      </c>
      <c r="M76" s="120">
        <f t="shared" ca="1" si="11"/>
        <v>0.77492381996134108</v>
      </c>
      <c r="P76" s="19"/>
    </row>
    <row r="77" spans="2:16" x14ac:dyDescent="0.2">
      <c r="B77" s="119" t="s">
        <v>209</v>
      </c>
      <c r="C77" s="69">
        <f ca="1">IF($B77="","",IF(ISTEXT($B77),paydate($M$14,crvgetcrncy($C$8),$B77),$B77))</f>
        <v>50398</v>
      </c>
      <c r="D77" s="71" t="str">
        <f t="shared" ca="1" si="12"/>
        <v/>
      </c>
      <c r="E77" s="72" t="str">
        <f t="shared" ca="1" si="12"/>
        <v/>
      </c>
      <c r="F77" s="72" t="str">
        <f t="shared" ca="1" si="12"/>
        <v/>
      </c>
      <c r="G77" s="74" t="str">
        <f t="shared" ca="1" si="12"/>
        <v/>
      </c>
      <c r="H77" s="68" t="s">
        <v>318</v>
      </c>
      <c r="I77" s="69">
        <f ca="1">IF($H77="","",paydate($M$14,crvgetcrncy($C$8),LEFT($H77,FIND("X",UPPER($H77))-1)))</f>
        <v>41479</v>
      </c>
      <c r="J77" s="39">
        <f ca="1">IF($H77="","",paydate($I77,crvgetcrncy($C$8),RIGHT($H77,LEN($H77)-FIND("X",UPPER($H77)))))</f>
        <v>44371</v>
      </c>
      <c r="K77" s="71">
        <f t="shared" ca="1" si="11"/>
        <v>5.2760272004581532</v>
      </c>
      <c r="L77" s="72">
        <f t="shared" ca="1" si="11"/>
        <v>5.3299843806047313</v>
      </c>
      <c r="M77" s="120">
        <f t="shared" ca="1" si="11"/>
        <v>0.6627417889573749</v>
      </c>
      <c r="P77" s="19"/>
    </row>
    <row r="78" spans="2:16" x14ac:dyDescent="0.2">
      <c r="B78" s="119" t="s">
        <v>210</v>
      </c>
      <c r="C78" s="69">
        <f ca="1">IF($B78="","",IF(ISTEXT($B78),paydate($M$14,crvgetcrncy($C$8),$B78),$B78))</f>
        <v>50488</v>
      </c>
      <c r="D78" s="71" t="str">
        <f t="shared" ca="1" si="12"/>
        <v/>
      </c>
      <c r="E78" s="72" t="str">
        <f t="shared" ca="1" si="12"/>
        <v/>
      </c>
      <c r="F78" s="72" t="str">
        <f t="shared" ca="1" si="12"/>
        <v/>
      </c>
      <c r="G78" s="74" t="str">
        <f t="shared" ca="1" si="12"/>
        <v/>
      </c>
      <c r="H78" s="68" t="s">
        <v>319</v>
      </c>
      <c r="I78" s="69">
        <f ca="1">IF($H78="","",paydate($M$14,crvgetcrncy($C$8),LEFT($H78,FIND("X",UPPER($H78))-1)))</f>
        <v>41541</v>
      </c>
      <c r="J78" s="39">
        <f ca="1">IF($H78="","",paydate($I78,crvgetcrncy($C$8),RIGHT($H78,LEN($H78)-FIND("X",UPPER($H78)))))</f>
        <v>44371</v>
      </c>
      <c r="K78" s="71">
        <f t="shared" ca="1" si="11"/>
        <v>5.2978338502826983</v>
      </c>
      <c r="L78" s="72">
        <f t="shared" ca="1" si="11"/>
        <v>5.3536930219788648</v>
      </c>
      <c r="M78" s="120">
        <f t="shared" ca="1" si="11"/>
        <v>0.66749684871985893</v>
      </c>
      <c r="P78" s="19"/>
    </row>
    <row r="79" spans="2:16" x14ac:dyDescent="0.2">
      <c r="B79" s="119" t="s">
        <v>211</v>
      </c>
      <c r="C79" s="69">
        <f ca="1">IF($B79="","",IF(ISTEXT($B79),paydate($M$14,crvgetcrncy($C$8),$B79),$B79))</f>
        <v>50549</v>
      </c>
      <c r="D79" s="71" t="str">
        <f t="shared" ca="1" si="12"/>
        <v/>
      </c>
      <c r="E79" s="72" t="str">
        <f t="shared" ca="1" si="12"/>
        <v/>
      </c>
      <c r="F79" s="72" t="str">
        <f t="shared" ca="1" si="12"/>
        <v/>
      </c>
      <c r="G79" s="74" t="str">
        <f t="shared" ca="1" si="12"/>
        <v/>
      </c>
      <c r="H79" s="68" t="s">
        <v>320</v>
      </c>
      <c r="I79" s="69">
        <f ca="1">IF($H79="","",paydate($M$14,crvgetcrncy($C$8),LEFT($H79,FIND("X",UPPER($H79))-1)))</f>
        <v>41632</v>
      </c>
      <c r="J79" s="39">
        <f ca="1">IF($H79="","",paydate($I79,crvgetcrncy($C$8),RIGHT($H79,LEN($H79)-FIND("X",UPPER($H79)))))</f>
        <v>44371</v>
      </c>
      <c r="K79" s="71">
        <f t="shared" ca="1" si="11"/>
        <v>5.3310658764625041</v>
      </c>
      <c r="L79" s="72">
        <f t="shared" ca="1" si="11"/>
        <v>5.3854140657644942</v>
      </c>
      <c r="M79" s="120">
        <f t="shared" ca="1" si="11"/>
        <v>0.6747138628246564</v>
      </c>
      <c r="P79" s="19"/>
    </row>
    <row r="80" spans="2:16" x14ac:dyDescent="0.2">
      <c r="B80" s="119" t="s">
        <v>212</v>
      </c>
      <c r="C80" s="69">
        <f ca="1">IF($B80="","",IF(ISTEXT($B80),paydate($M$14,crvgetcrncy($C$8),$B80),$B80))</f>
        <v>50580</v>
      </c>
      <c r="D80" s="71" t="str">
        <f t="shared" ca="1" si="12"/>
        <v/>
      </c>
      <c r="E80" s="72" t="str">
        <f t="shared" ca="1" si="12"/>
        <v/>
      </c>
      <c r="F80" s="72" t="str">
        <f t="shared" ca="1" si="12"/>
        <v/>
      </c>
      <c r="G80" s="74" t="str">
        <f t="shared" ca="1" si="12"/>
        <v/>
      </c>
      <c r="H80" s="68" t="s">
        <v>321</v>
      </c>
      <c r="I80" s="69">
        <f ca="1">IF($H80="","",paydate($M$14,crvgetcrncy($C$8),LEFT($H80,FIND("X",UPPER($H80))-1)))</f>
        <v>41814</v>
      </c>
      <c r="J80" s="39">
        <f ca="1">IF($H80="","",paydate($I80,crvgetcrncy($C$8),RIGHT($H80,LEN($H80)-FIND("X",UPPER($H80)))))</f>
        <v>44371</v>
      </c>
      <c r="K80" s="71">
        <f t="shared" ca="1" si="11"/>
        <v>5.3629091944852014</v>
      </c>
      <c r="L80" s="72">
        <f t="shared" ca="1" si="11"/>
        <v>5.4051731187663599</v>
      </c>
      <c r="M80" s="120">
        <f t="shared" ca="1" si="11"/>
        <v>0.69157812522399931</v>
      </c>
      <c r="P80" s="19"/>
    </row>
    <row r="81" spans="2:16" x14ac:dyDescent="0.2">
      <c r="B81" s="119" t="s">
        <v>229</v>
      </c>
      <c r="C81" s="69">
        <f ca="1">IF($B81="","",IF(ISTEXT($B81),paydate($M$14,crvgetcrncy($C$8),$B81),$B81))</f>
        <v>41449</v>
      </c>
      <c r="D81" s="71">
        <f t="shared" ca="1" si="12"/>
        <v>4.8500050000000003</v>
      </c>
      <c r="E81" s="72">
        <f t="shared" ca="1" si="12"/>
        <v>4.8500050000000003</v>
      </c>
      <c r="F81" s="72">
        <f t="shared" ca="1" si="12"/>
        <v>4.8500050000000003</v>
      </c>
      <c r="G81" s="74">
        <f t="shared" ca="1" si="12"/>
        <v>0.99959600000000004</v>
      </c>
      <c r="H81" s="68" t="s">
        <v>322</v>
      </c>
      <c r="I81" s="69">
        <f ca="1">IF($H81="","",paydate($M$14,crvgetcrncy($C$8),LEFT($H81,FIND("X",UPPER($H81))-1)))</f>
        <v>41479</v>
      </c>
      <c r="J81" s="39">
        <f ca="1">IF($H81="","",paydate($I81,crvgetcrncy($C$8),RIGHT($H81,LEN($H81)-FIND("X",UPPER($H81)))))</f>
        <v>44736</v>
      </c>
      <c r="K81" s="71">
        <f t="shared" ca="1" si="11"/>
        <v>5.4195121553764167</v>
      </c>
      <c r="L81" s="72">
        <f t="shared" ca="1" si="11"/>
        <v>5.5050346035150053</v>
      </c>
      <c r="M81" s="120">
        <f t="shared" ca="1" si="11"/>
        <v>0.61993633253419422</v>
      </c>
      <c r="P81" s="19"/>
    </row>
    <row r="82" spans="2:16" x14ac:dyDescent="0.2">
      <c r="B82" s="119" t="s">
        <v>230</v>
      </c>
      <c r="C82" s="69">
        <f ca="1">IF($B82="","",IF(ISTEXT($B82),paydate($M$14,crvgetcrncy($C$8),$B82),$B82))</f>
        <v>41814</v>
      </c>
      <c r="D82" s="71">
        <f t="shared" ca="1" si="12"/>
        <v>4.6904825864876942</v>
      </c>
      <c r="E82" s="72">
        <f t="shared" ca="1" si="12"/>
        <v>4.6902747252747252</v>
      </c>
      <c r="F82" s="72">
        <f t="shared" ca="1" si="12"/>
        <v>4.6911693384206332</v>
      </c>
      <c r="G82" s="74">
        <f t="shared" ca="1" si="12"/>
        <v>0.95424955494505503</v>
      </c>
      <c r="H82" s="68" t="s">
        <v>323</v>
      </c>
      <c r="I82" s="69">
        <f ca="1">IF($H82="","",paydate($M$14,crvgetcrncy($C$8),LEFT($H82,FIND("X",UPPER($H82))-1)))</f>
        <v>41541</v>
      </c>
      <c r="J82" s="39">
        <f ca="1">IF($H82="","",paydate($I82,crvgetcrncy($C$8),RIGHT($H82,LEN($H82)-FIND("X",UPPER($H82)))))</f>
        <v>44736</v>
      </c>
      <c r="K82" s="71">
        <f t="shared" ca="1" si="11"/>
        <v>5.4189249553583618</v>
      </c>
      <c r="L82" s="72">
        <f t="shared" ca="1" si="11"/>
        <v>5.4994304213421144</v>
      </c>
      <c r="M82" s="120">
        <f t="shared" ca="1" si="11"/>
        <v>0.62595207321113167</v>
      </c>
      <c r="P82" s="19"/>
    </row>
    <row r="83" spans="2:16" x14ac:dyDescent="0.2">
      <c r="B83" s="119" t="s">
        <v>231</v>
      </c>
      <c r="C83" s="69">
        <f ca="1">IF($B83="","",IF(ISTEXT($B83),paydate($M$14,crvgetcrncy($C$8),$B83),$B83))</f>
        <v>42179</v>
      </c>
      <c r="D83" s="71">
        <f t="shared" ca="1" si="12"/>
        <v>4.650914632116276</v>
      </c>
      <c r="E83" s="72">
        <f t="shared" ca="1" si="12"/>
        <v>4.6498888461538463</v>
      </c>
      <c r="F83" s="72">
        <f t="shared" ca="1" si="12"/>
        <v>4.7589096576106567</v>
      </c>
      <c r="G83" s="74">
        <f t="shared" ca="1" si="12"/>
        <v>0.91065312637362639</v>
      </c>
      <c r="H83" s="68" t="s">
        <v>324</v>
      </c>
      <c r="I83" s="69">
        <f ca="1">IF($H83="","",paydate($M$14,crvgetcrncy($C$8),LEFT($H83,FIND("X",UPPER($H83))-1)))</f>
        <v>41632</v>
      </c>
      <c r="J83" s="39">
        <f ca="1">IF($H83="","",paydate($I83,crvgetcrncy($C$8),RIGHT($H83,LEN($H83)-FIND("X",UPPER($H83)))))</f>
        <v>44736</v>
      </c>
      <c r="K83" s="71">
        <f t="shared" ca="1" si="11"/>
        <v>5.4416072573820209</v>
      </c>
      <c r="L83" s="72">
        <f t="shared" ca="1" si="11"/>
        <v>5.5163934603460012</v>
      </c>
      <c r="M83" s="120">
        <f t="shared" ca="1" si="11"/>
        <v>0.6335500022509678</v>
      </c>
      <c r="P83" s="19"/>
    </row>
    <row r="84" spans="2:16" x14ac:dyDescent="0.2">
      <c r="B84" s="119" t="s">
        <v>232</v>
      </c>
      <c r="C84" s="69">
        <f ca="1">IF($B84="","",IF(ISTEXT($B84),paydate($M$14,crvgetcrncy($C$8),$B84),$B84))</f>
        <v>42912</v>
      </c>
      <c r="D84" s="71">
        <f t="shared" ca="1" si="12"/>
        <v>4.9118546506771645</v>
      </c>
      <c r="E84" s="72">
        <f t="shared" ca="1" si="12"/>
        <v>4.9264272602739725</v>
      </c>
      <c r="F84" s="72">
        <f t="shared" ca="1" si="12"/>
        <v>5.3048604339749863</v>
      </c>
      <c r="G84" s="74">
        <f t="shared" ca="1" si="12"/>
        <v>0.82022327397260275</v>
      </c>
      <c r="H84" s="68" t="s">
        <v>325</v>
      </c>
      <c r="I84" s="69">
        <f ca="1">IF($H84="","",paydate($M$14,crvgetcrncy($C$8),LEFT($H84,FIND("X",UPPER($H84))-1)))</f>
        <v>41814</v>
      </c>
      <c r="J84" s="39">
        <f ca="1">IF($H84="","",paydate($I84,crvgetcrncy($C$8),RIGHT($H84,LEN($H84)-FIND("X",UPPER($H84)))))</f>
        <v>44736</v>
      </c>
      <c r="K84" s="71">
        <f t="shared" ca="1" si="11"/>
        <v>5.5377272094538661</v>
      </c>
      <c r="L84" s="72">
        <f t="shared" ca="1" si="11"/>
        <v>5.6147434743462732</v>
      </c>
      <c r="M84" s="120">
        <f t="shared" ca="1" si="11"/>
        <v>0.64576367871618945</v>
      </c>
      <c r="P84" s="19"/>
    </row>
    <row r="85" spans="2:16" x14ac:dyDescent="0.2">
      <c r="B85" s="119" t="s">
        <v>234</v>
      </c>
      <c r="C85" s="69">
        <f ca="1">IF($B85="","",IF(ISTEXT($B85),paydate($M$14,crvgetcrncy($C$8),$B85),$B85))</f>
        <v>43640</v>
      </c>
      <c r="D85" s="71">
        <f t="shared" ca="1" si="12"/>
        <v>5.1064292839578007</v>
      </c>
      <c r="E85" s="72">
        <f t="shared" ca="1" si="12"/>
        <v>5.1385110081743868</v>
      </c>
      <c r="F85" s="72">
        <f t="shared" ca="1" si="12"/>
        <v>5.8473891932604367</v>
      </c>
      <c r="G85" s="74">
        <f t="shared" ca="1" si="12"/>
        <v>0.73403245640326975</v>
      </c>
      <c r="H85" s="68" t="s">
        <v>330</v>
      </c>
      <c r="I85" s="69">
        <f ca="1">IF($H85="","",paydate($M$14,crvgetcrncy($C$8),LEFT($H85,FIND("X",UPPER($H85))-1)))</f>
        <v>41479</v>
      </c>
      <c r="J85" s="39">
        <f ca="1">IF($H85="","",paydate($I85,crvgetcrncy($C$8),RIGHT($H85,LEN($H85)-FIND("X",UPPER($H85)))))</f>
        <v>41541</v>
      </c>
      <c r="K85" s="71">
        <f t="shared" ca="1" si="11"/>
        <v>4.8269863096565242</v>
      </c>
      <c r="L85" s="72">
        <f t="shared" ca="1" si="11"/>
        <v>4.8269863096565242</v>
      </c>
      <c r="M85" s="120">
        <f t="shared" ca="1" si="11"/>
        <v>0.99186741678377532</v>
      </c>
      <c r="P85" s="19"/>
    </row>
    <row r="86" spans="2:16" x14ac:dyDescent="0.2">
      <c r="B86" s="119" t="s">
        <v>233</v>
      </c>
      <c r="C86" s="69">
        <f ca="1">IF($B86="","",IF(ISTEXT($B86),paydate($M$14,crvgetcrncy($C$8),$B86),$B86))</f>
        <v>44736</v>
      </c>
      <c r="D86" s="71">
        <f t="shared" ca="1" si="12"/>
        <v>5.4222795277672891</v>
      </c>
      <c r="E86" s="72">
        <f t="shared" ca="1" si="12"/>
        <v>5.5108938904109586</v>
      </c>
      <c r="F86" s="72">
        <f t="shared" ca="1" si="12"/>
        <v>6.8983501416722754</v>
      </c>
      <c r="G86" s="74">
        <f t="shared" ca="1" si="12"/>
        <v>0.60846933424657534</v>
      </c>
      <c r="H86" s="68" t="s">
        <v>331</v>
      </c>
      <c r="I86" s="69">
        <f ca="1">IF($H86="","",paydate($M$14,crvgetcrncy($C$8),LEFT($H86,FIND("X",UPPER($H86))-1)))</f>
        <v>41479</v>
      </c>
      <c r="J86" s="39">
        <f ca="1">IF($H86="","",paydate($I86,crvgetcrncy($C$8),RIGHT($H86,LEN($H86)-FIND("X",UPPER($H86)))))</f>
        <v>41632</v>
      </c>
      <c r="K86" s="71">
        <f t="shared" ca="1" si="11"/>
        <v>4.6954081129489165</v>
      </c>
      <c r="L86" s="72">
        <f t="shared" ca="1" si="11"/>
        <v>4.6954081129489165</v>
      </c>
      <c r="M86" s="120">
        <f t="shared" ca="1" si="11"/>
        <v>0.98069778682936071</v>
      </c>
      <c r="P86" s="19"/>
    </row>
    <row r="87" spans="2:16" x14ac:dyDescent="0.2">
      <c r="B87" s="119" t="s">
        <v>235</v>
      </c>
      <c r="C87" s="69">
        <f ca="1">IF($B87="","",IF(ISTEXT($B87),paydate($M$14,crvgetcrncy($C$8),$B87),$B87))</f>
        <v>45467</v>
      </c>
      <c r="D87" s="71" t="str">
        <f t="shared" ca="1" si="12"/>
        <v/>
      </c>
      <c r="E87" s="72" t="str">
        <f t="shared" ca="1" si="12"/>
        <v/>
      </c>
      <c r="F87" s="72" t="str">
        <f t="shared" ca="1" si="12"/>
        <v/>
      </c>
      <c r="G87" s="74" t="str">
        <f t="shared" ca="1" si="12"/>
        <v/>
      </c>
      <c r="H87" s="68" t="s">
        <v>333</v>
      </c>
      <c r="I87" s="69">
        <f ca="1">IF($H87="","",paydate($M$14,crvgetcrncy($C$8),LEFT($H87,FIND("X",UPPER($H87))-1)))</f>
        <v>41479</v>
      </c>
      <c r="J87" s="39">
        <f ca="1">IF($H87="","",paydate($I87,crvgetcrncy($C$8),RIGHT($H87,LEN($H87)-FIND("X",UPPER($H87)))))</f>
        <v>41722</v>
      </c>
      <c r="K87" s="71">
        <f t="shared" ref="K87:M105" ca="1" si="13">crvforward($I87,$J87,$C$8,K$17,$M$15,$M$16)</f>
        <v>4.6807326642447631</v>
      </c>
      <c r="L87" s="72">
        <f t="shared" ca="1" si="13"/>
        <v>4.6807326642447631</v>
      </c>
      <c r="M87" s="120">
        <f t="shared" ca="1" si="13"/>
        <v>0.96977959443761819</v>
      </c>
      <c r="P87" s="19"/>
    </row>
    <row r="88" spans="2:16" x14ac:dyDescent="0.2">
      <c r="B88" s="119" t="s">
        <v>236</v>
      </c>
      <c r="C88" s="69">
        <f ca="1">IF($B88="","",IF(ISTEXT($B88),paydate($M$14,crvgetcrncy($C$8),$B88),$B88))</f>
        <v>46562</v>
      </c>
      <c r="D88" s="71" t="str">
        <f t="shared" ca="1" si="12"/>
        <v/>
      </c>
      <c r="E88" s="72" t="str">
        <f t="shared" ca="1" si="12"/>
        <v/>
      </c>
      <c r="F88" s="72" t="str">
        <f t="shared" ca="1" si="12"/>
        <v/>
      </c>
      <c r="G88" s="74" t="str">
        <f t="shared" ca="1" si="12"/>
        <v/>
      </c>
      <c r="H88" s="68" t="s">
        <v>332</v>
      </c>
      <c r="I88" s="69">
        <f ca="1">IF($H88="","",paydate($M$14,crvgetcrncy($C$8),LEFT($H88,FIND("X",UPPER($H88))-1)))</f>
        <v>41541</v>
      </c>
      <c r="J88" s="39">
        <f ca="1">IF($H88="","",paydate($I88,crvgetcrncy($C$8),RIGHT($H88,LEN($H88)-FIND("X",UPPER($H88)))))</f>
        <v>41632</v>
      </c>
      <c r="K88" s="71">
        <f t="shared" ca="1" si="13"/>
        <v>4.5683046913784926</v>
      </c>
      <c r="L88" s="72">
        <f t="shared" ca="1" si="13"/>
        <v>4.5683046913784926</v>
      </c>
      <c r="M88" s="120">
        <f t="shared" ca="1" si="13"/>
        <v>0.98873878729615572</v>
      </c>
      <c r="P88" s="19"/>
    </row>
    <row r="89" spans="2:16" x14ac:dyDescent="0.2">
      <c r="B89" s="119" t="s">
        <v>230</v>
      </c>
      <c r="C89" s="69">
        <f ca="1">IF($B89="","",IF(ISTEXT($B89),paydate($M$14,crvgetcrncy($C$8),$B89),$B89))</f>
        <v>41814</v>
      </c>
      <c r="D89" s="71">
        <f t="shared" ca="1" si="12"/>
        <v>4.6904825864876942</v>
      </c>
      <c r="E89" s="72">
        <f t="shared" ca="1" si="12"/>
        <v>4.6902747252747252</v>
      </c>
      <c r="F89" s="72">
        <f t="shared" ca="1" si="12"/>
        <v>4.6911693384206332</v>
      </c>
      <c r="G89" s="74">
        <f t="shared" ca="1" si="12"/>
        <v>0.95424955494505503</v>
      </c>
      <c r="H89" s="68" t="s">
        <v>334</v>
      </c>
      <c r="I89" s="69">
        <f ca="1">IF($H89="","",paydate($M$14,crvgetcrncy($C$8),LEFT($H89,FIND("X",UPPER($H89))-1)))</f>
        <v>41541</v>
      </c>
      <c r="J89" s="39">
        <f ca="1">IF($H89="","",paydate($I89,crvgetcrncy($C$8),RIGHT($H89,LEN($H89)-FIND("X",UPPER($H89)))))</f>
        <v>41722</v>
      </c>
      <c r="K89" s="71">
        <f t="shared" ca="1" si="13"/>
        <v>4.5929757081679252</v>
      </c>
      <c r="L89" s="72">
        <f t="shared" ca="1" si="13"/>
        <v>4.5929757081679252</v>
      </c>
      <c r="M89" s="120">
        <f t="shared" ca="1" si="13"/>
        <v>0.97773107375804424</v>
      </c>
      <c r="P89" s="19"/>
    </row>
    <row r="90" spans="2:16" ht="13.5" thickBot="1" x14ac:dyDescent="0.25">
      <c r="B90" s="119" t="s">
        <v>231</v>
      </c>
      <c r="C90" s="69">
        <f ca="1">IF($B90="","",IF(ISTEXT($B90),paydate($M$14,crvgetcrncy($C$8),$B90),$B90))</f>
        <v>42179</v>
      </c>
      <c r="D90" s="71">
        <f t="shared" ca="1" si="12"/>
        <v>4.650914632116276</v>
      </c>
      <c r="E90" s="72">
        <f t="shared" ca="1" si="12"/>
        <v>4.6498888461538463</v>
      </c>
      <c r="F90" s="72">
        <f t="shared" ca="1" si="12"/>
        <v>4.7589096576106567</v>
      </c>
      <c r="G90" s="74">
        <f t="shared" ca="1" si="12"/>
        <v>0.91065312637362639</v>
      </c>
      <c r="H90" s="204" t="s">
        <v>335</v>
      </c>
      <c r="I90" s="69">
        <f ca="1">IF($H90="","",paydate($M$14,crvgetcrncy($C$8),LEFT($H90,FIND("X",UPPER($H90))-1)))</f>
        <v>41632</v>
      </c>
      <c r="J90" s="39">
        <f ca="1">IF($H90="","",paydate($I90,crvgetcrncy($C$8),RIGHT($H90,LEN($H90)-FIND("X",UPPER($H90)))))</f>
        <v>41722</v>
      </c>
      <c r="K90" s="205">
        <f t="shared" ca="1" si="13"/>
        <v>4.5659174584544235</v>
      </c>
      <c r="L90" s="206">
        <f t="shared" ca="1" si="13"/>
        <v>4.5659174584544235</v>
      </c>
      <c r="M90" s="207">
        <f t="shared" ca="1" si="13"/>
        <v>0.98886691441708918</v>
      </c>
      <c r="P90" s="19"/>
    </row>
    <row r="91" spans="2:16" x14ac:dyDescent="0.2">
      <c r="B91" s="119" t="s">
        <v>248</v>
      </c>
      <c r="C91" s="69">
        <f ca="1">IF($B91="","",IF(ISTEXT($B91),paydate($M$14,crvgetcrncy($C$8),$B91),$B91))</f>
        <v>42545</v>
      </c>
      <c r="D91" s="71">
        <f t="shared" ca="1" si="12"/>
        <v>4.776373705485784</v>
      </c>
      <c r="E91" s="72">
        <f t="shared" ca="1" si="12"/>
        <v>4.7818375543478258</v>
      </c>
      <c r="F91" s="72">
        <f t="shared" ca="1" si="12"/>
        <v>5.0154754849613283</v>
      </c>
      <c r="G91" s="203">
        <f t="shared" ca="1" si="12"/>
        <v>0.86566185869565215</v>
      </c>
      <c r="H91" s="121" t="str">
        <f>SETTINGS!$I$131&amp;"x"&amp;SETTINGS!I132</f>
        <v>48Mx0</v>
      </c>
      <c r="I91" s="122">
        <f ca="1">IF($H91="","",paydate($M$14,crvgetcrncy($C$8),LEFT($H91,FIND("X",UPPER($H91))-1)))</f>
        <v>42912</v>
      </c>
      <c r="J91" s="127">
        <f ca="1">IF($H91="","",paydate($I91,crvgetcrncy($C$8),RIGHT($H91,LEN($H91)-FIND("X",UPPER($H91)))))</f>
        <v>42912</v>
      </c>
      <c r="K91" s="123">
        <f t="shared" ca="1" si="13"/>
        <v>0</v>
      </c>
      <c r="L91" s="124">
        <f t="shared" ca="1" si="13"/>
        <v>0</v>
      </c>
      <c r="M91" s="128">
        <f t="shared" ca="1" si="13"/>
        <v>0</v>
      </c>
      <c r="P91" s="19"/>
    </row>
    <row r="92" spans="2:16" x14ac:dyDescent="0.2">
      <c r="B92" s="119" t="s">
        <v>232</v>
      </c>
      <c r="C92" s="69">
        <f ca="1">IF($B92="","",IF(ISTEXT($B92),paydate($M$14,crvgetcrncy($C$8),$B92),$B92))</f>
        <v>42912</v>
      </c>
      <c r="D92" s="71">
        <f t="shared" ca="1" si="12"/>
        <v>4.9118546506771645</v>
      </c>
      <c r="E92" s="72">
        <f t="shared" ca="1" si="12"/>
        <v>4.9264272602739725</v>
      </c>
      <c r="F92" s="72">
        <f t="shared" ca="1" si="12"/>
        <v>5.3048604339749863</v>
      </c>
      <c r="G92" s="203">
        <f t="shared" ca="1" si="12"/>
        <v>0.82022327397260275</v>
      </c>
      <c r="H92" s="119" t="str">
        <f>SETTINGS!$I$131&amp;"x"&amp;SETTINGS!I133</f>
        <v>48Mx0</v>
      </c>
      <c r="I92" s="69">
        <f ca="1">IF($H92="","",paydate($M$14,crvgetcrncy($C$8),LEFT($H92,FIND("X",UPPER($H92))-1)))</f>
        <v>42912</v>
      </c>
      <c r="J92" s="39">
        <f ca="1">IF($H92="","",paydate($I92,crvgetcrncy($C$8),RIGHT($H92,LEN($H92)-FIND("X",UPPER($H92)))))</f>
        <v>42912</v>
      </c>
      <c r="K92" s="71">
        <f t="shared" ca="1" si="13"/>
        <v>0</v>
      </c>
      <c r="L92" s="72">
        <f t="shared" ca="1" si="13"/>
        <v>0</v>
      </c>
      <c r="M92" s="120">
        <f t="shared" ca="1" si="13"/>
        <v>0</v>
      </c>
      <c r="P92" s="19"/>
    </row>
    <row r="93" spans="2:16" x14ac:dyDescent="0.2">
      <c r="B93" s="119" t="s">
        <v>234</v>
      </c>
      <c r="C93" s="69">
        <f ca="1">IF($B93="","",IF(ISTEXT($B93),paydate($M$14,crvgetcrncy($C$8),$B93),$B93))</f>
        <v>43640</v>
      </c>
      <c r="D93" s="71">
        <f t="shared" ca="1" si="12"/>
        <v>5.1064292839578007</v>
      </c>
      <c r="E93" s="72">
        <f t="shared" ca="1" si="12"/>
        <v>5.1385110081743868</v>
      </c>
      <c r="F93" s="72">
        <f t="shared" ca="1" si="12"/>
        <v>5.8473891932604367</v>
      </c>
      <c r="G93" s="203">
        <f t="shared" ca="1" si="12"/>
        <v>0.73403245640326975</v>
      </c>
      <c r="H93" s="119" t="str">
        <f>SETTINGS!$I$131&amp;"x"&amp;SETTINGS!I134</f>
        <v>48Mx0</v>
      </c>
      <c r="I93" s="69">
        <f ca="1">IF($H93="","",paydate($M$14,crvgetcrncy($C$8),LEFT($H93,FIND("X",UPPER($H93))-1)))</f>
        <v>42912</v>
      </c>
      <c r="J93" s="39">
        <f ca="1">IF($H93="","",paydate($I93,crvgetcrncy($C$8),RIGHT($H93,LEN($H93)-FIND("X",UPPER($H93)))))</f>
        <v>42912</v>
      </c>
      <c r="K93" s="71">
        <f t="shared" ca="1" si="13"/>
        <v>0</v>
      </c>
      <c r="L93" s="72">
        <f t="shared" ca="1" si="13"/>
        <v>0</v>
      </c>
      <c r="M93" s="120">
        <f t="shared" ca="1" si="13"/>
        <v>0</v>
      </c>
      <c r="P93" s="19"/>
    </row>
    <row r="94" spans="2:16" x14ac:dyDescent="0.2">
      <c r="B94" s="119" t="s">
        <v>233</v>
      </c>
      <c r="C94" s="69">
        <f ca="1">IF($B94="","",IF(ISTEXT($B94),paydate($M$14,crvgetcrncy($C$8),$B94),$B94))</f>
        <v>44736</v>
      </c>
      <c r="D94" s="71">
        <f t="shared" ca="1" si="12"/>
        <v>5.4222795277672891</v>
      </c>
      <c r="E94" s="72">
        <f t="shared" ca="1" si="12"/>
        <v>5.5108938904109586</v>
      </c>
      <c r="F94" s="72">
        <f t="shared" ca="1" si="12"/>
        <v>6.8983501416722754</v>
      </c>
      <c r="G94" s="203">
        <f t="shared" ca="1" si="12"/>
        <v>0.60846933424657534</v>
      </c>
      <c r="H94" s="119" t="str">
        <f>SETTINGS!$I$131&amp;"x"&amp;SETTINGS!I135</f>
        <v>48Mx0</v>
      </c>
      <c r="I94" s="69">
        <f ca="1">IF($H94="","",paydate($M$14,crvgetcrncy($C$8),LEFT($H94,FIND("X",UPPER($H94))-1)))</f>
        <v>42912</v>
      </c>
      <c r="J94" s="39">
        <f ca="1">IF($H94="","",paydate($I94,crvgetcrncy($C$8),RIGHT($H94,LEN($H94)-FIND("X",UPPER($H94)))))</f>
        <v>42912</v>
      </c>
      <c r="K94" s="71">
        <f t="shared" ca="1" si="13"/>
        <v>0</v>
      </c>
      <c r="L94" s="72">
        <f t="shared" ca="1" si="13"/>
        <v>0</v>
      </c>
      <c r="M94" s="120">
        <f t="shared" ca="1" si="13"/>
        <v>0</v>
      </c>
      <c r="P94" s="19"/>
    </row>
    <row r="95" spans="2:16" x14ac:dyDescent="0.2">
      <c r="B95" s="119" t="s">
        <v>235</v>
      </c>
      <c r="C95" s="69">
        <f ca="1">IF($B95="","",IF(ISTEXT($B95),paydate($M$14,crvgetcrncy($C$8),$B95),$B95))</f>
        <v>45467</v>
      </c>
      <c r="D95" s="71" t="str">
        <f t="shared" ca="1" si="12"/>
        <v/>
      </c>
      <c r="E95" s="72" t="str">
        <f t="shared" ca="1" si="12"/>
        <v/>
      </c>
      <c r="F95" s="72" t="str">
        <f t="shared" ca="1" si="12"/>
        <v/>
      </c>
      <c r="G95" s="203" t="str">
        <f t="shared" ca="1" si="12"/>
        <v/>
      </c>
      <c r="H95" s="119" t="str">
        <f>SETTINGS!$I$131&amp;"x"&amp;SETTINGS!I136</f>
        <v>48Mx0</v>
      </c>
      <c r="I95" s="69">
        <f ca="1">IF($H95="","",paydate($M$14,crvgetcrncy($C$8),LEFT($H95,FIND("X",UPPER($H95))-1)))</f>
        <v>42912</v>
      </c>
      <c r="J95" s="39">
        <f ca="1">IF($H95="","",paydate($I95,crvgetcrncy($C$8),RIGHT($H95,LEN($H95)-FIND("X",UPPER($H95)))))</f>
        <v>42912</v>
      </c>
      <c r="K95" s="71">
        <f t="shared" ca="1" si="13"/>
        <v>0</v>
      </c>
      <c r="L95" s="72">
        <f t="shared" ca="1" si="13"/>
        <v>0</v>
      </c>
      <c r="M95" s="120">
        <f t="shared" ca="1" si="13"/>
        <v>0</v>
      </c>
      <c r="P95" s="19"/>
    </row>
    <row r="96" spans="2:16" x14ac:dyDescent="0.2">
      <c r="B96" s="119" t="s">
        <v>236</v>
      </c>
      <c r="C96" s="69">
        <f ca="1">IF($B96="","",IF(ISTEXT($B96),paydate($M$14,crvgetcrncy($C$8),$B96),$B96))</f>
        <v>46562</v>
      </c>
      <c r="D96" s="71" t="str">
        <f t="shared" ca="1" si="12"/>
        <v/>
      </c>
      <c r="E96" s="72" t="str">
        <f t="shared" ca="1" si="12"/>
        <v/>
      </c>
      <c r="F96" s="72" t="str">
        <f t="shared" ca="1" si="12"/>
        <v/>
      </c>
      <c r="G96" s="203" t="str">
        <f t="shared" ca="1" si="12"/>
        <v/>
      </c>
      <c r="H96" s="119" t="str">
        <f>SETTINGS!$I$131&amp;"x"&amp;SETTINGS!I137</f>
        <v>48Mx0</v>
      </c>
      <c r="I96" s="69">
        <f ca="1">IF($H96="","",paydate($M$14,crvgetcrncy($C$8),LEFT($H96,FIND("X",UPPER($H96))-1)))</f>
        <v>42912</v>
      </c>
      <c r="J96" s="39">
        <f ca="1">IF($H96="","",paydate($I96,crvgetcrncy($C$8),RIGHT($H96,LEN($H96)-FIND("X",UPPER($H96)))))</f>
        <v>42912</v>
      </c>
      <c r="K96" s="71">
        <f t="shared" ca="1" si="13"/>
        <v>0</v>
      </c>
      <c r="L96" s="72">
        <f t="shared" ca="1" si="13"/>
        <v>0</v>
      </c>
      <c r="M96" s="120">
        <f t="shared" ca="1" si="13"/>
        <v>0</v>
      </c>
      <c r="P96" s="19"/>
    </row>
    <row r="97" spans="2:16" x14ac:dyDescent="0.2">
      <c r="B97" s="119" t="s">
        <v>249</v>
      </c>
      <c r="C97" s="69">
        <f ca="1">IF($B97="","",IF(ISTEXT($B97),paydate($M$14,crvgetcrncy($C$8),$B97),$B97))</f>
        <v>48389</v>
      </c>
      <c r="D97" s="71" t="str">
        <f t="shared" ca="1" si="12"/>
        <v/>
      </c>
      <c r="E97" s="72" t="str">
        <f t="shared" ca="1" si="12"/>
        <v/>
      </c>
      <c r="F97" s="72" t="str">
        <f t="shared" ca="1" si="12"/>
        <v/>
      </c>
      <c r="G97" s="203" t="str">
        <f t="shared" ca="1" si="12"/>
        <v/>
      </c>
      <c r="H97" s="119" t="str">
        <f>SETTINGS!$I$131&amp;"x"&amp;SETTINGS!I138</f>
        <v>48Mx0M</v>
      </c>
      <c r="I97" s="69">
        <f ca="1">IF($H97="","",paydate($M$14,crvgetcrncy($C$8),LEFT($H97,FIND("X",UPPER($H97))-1)))</f>
        <v>42912</v>
      </c>
      <c r="J97" s="39">
        <f ca="1">IF($H97="","",paydate($I97,crvgetcrncy($C$8),RIGHT($H97,LEN($H97)-FIND("X",UPPER($H97)))))</f>
        <v>42912</v>
      </c>
      <c r="K97" s="71">
        <f t="shared" ca="1" si="13"/>
        <v>0</v>
      </c>
      <c r="L97" s="72">
        <f t="shared" ca="1" si="13"/>
        <v>0</v>
      </c>
      <c r="M97" s="120">
        <f t="shared" ca="1" si="13"/>
        <v>0</v>
      </c>
      <c r="P97" s="19"/>
    </row>
    <row r="98" spans="2:16" x14ac:dyDescent="0.2">
      <c r="B98" s="119" t="s">
        <v>250</v>
      </c>
      <c r="C98" s="69">
        <f ca="1">IF($B98="","",IF(ISTEXT($B98),paydate($M$14,crvgetcrncy($C$8),$B98),$B98))</f>
        <v>50215</v>
      </c>
      <c r="D98" s="71" t="str">
        <f t="shared" ca="1" si="12"/>
        <v/>
      </c>
      <c r="E98" s="72" t="str">
        <f t="shared" ca="1" si="12"/>
        <v/>
      </c>
      <c r="F98" s="72" t="str">
        <f t="shared" ca="1" si="12"/>
        <v/>
      </c>
      <c r="G98" s="203" t="str">
        <f t="shared" ca="1" si="12"/>
        <v/>
      </c>
      <c r="H98" s="119" t="str">
        <f>SETTINGS!$I$131&amp;"x"&amp;SETTINGS!I139</f>
        <v>48Mx12M</v>
      </c>
      <c r="I98" s="69">
        <f ca="1">IF($H98="","",paydate($M$14,crvgetcrncy($C$8),LEFT($H98,FIND("X",UPPER($H98))-1)))</f>
        <v>42912</v>
      </c>
      <c r="J98" s="39">
        <f ca="1">IF($H98="","",paydate($I98,crvgetcrncy($C$8),RIGHT($H98,LEN($H98)-FIND("X",UPPER($H98)))))</f>
        <v>43277</v>
      </c>
      <c r="K98" s="71">
        <f t="shared" ca="1" si="13"/>
        <v>5.4970036031592562</v>
      </c>
      <c r="L98" s="72">
        <f t="shared" ca="1" si="13"/>
        <v>5.4970036031592562</v>
      </c>
      <c r="M98" s="120">
        <f t="shared" ca="1" si="13"/>
        <v>0.94789422054263306</v>
      </c>
      <c r="P98" s="19"/>
    </row>
    <row r="99" spans="2:16" x14ac:dyDescent="0.2">
      <c r="B99" s="119" t="s">
        <v>304</v>
      </c>
      <c r="C99" s="69">
        <f ca="1">IF($B99="","",IF(ISTEXT($B99),paydate($M$14,crvgetcrncy($C$8),$B99),$B99))</f>
        <v>52406</v>
      </c>
      <c r="D99" s="71" t="str">
        <f t="shared" ref="D99:G123" ca="1" si="14">IF($C99="","",CRVINTER($C99,$C$8,LEFT(D$17,1)))</f>
        <v/>
      </c>
      <c r="E99" s="72" t="str">
        <f t="shared" ca="1" si="14"/>
        <v/>
      </c>
      <c r="F99" s="72" t="str">
        <f t="shared" ca="1" si="14"/>
        <v/>
      </c>
      <c r="G99" s="74" t="str">
        <f t="shared" ca="1" si="14"/>
        <v/>
      </c>
      <c r="H99" s="119" t="str">
        <f>SETTINGS!$I$131&amp;"x"&amp;SETTINGS!I140</f>
        <v>48Mx24M</v>
      </c>
      <c r="I99" s="69">
        <f ca="1">IF($H99="","",paydate($M$14,crvgetcrncy($C$8),LEFT($H99,FIND("X",UPPER($H99))-1)))</f>
        <v>42912</v>
      </c>
      <c r="J99" s="39">
        <f ca="1">IF($H99="","",paydate($I99,crvgetcrncy($C$8),RIGHT($H99,LEN($H99)-FIND("X",UPPER($H99)))))</f>
        <v>43642</v>
      </c>
      <c r="K99" s="71">
        <f t="shared" ca="1" si="13"/>
        <v>5.5655808534457734</v>
      </c>
      <c r="L99" s="72">
        <f t="shared" ca="1" si="13"/>
        <v>5.5674905069287961</v>
      </c>
      <c r="M99" s="120">
        <f t="shared" ca="1" si="13"/>
        <v>0.89730400106981556</v>
      </c>
      <c r="P99" s="19"/>
    </row>
    <row r="100" spans="2:16" x14ac:dyDescent="0.2">
      <c r="B100" s="119" t="s">
        <v>310</v>
      </c>
      <c r="C100" s="69">
        <f ca="1">IF($B100="","",IF(ISTEXT($B100),paydate($M$14,crvgetcrncy($C$8),$B100),$B100))</f>
        <v>52377</v>
      </c>
      <c r="D100" s="71" t="str">
        <f t="shared" ca="1" si="14"/>
        <v/>
      </c>
      <c r="E100" s="72" t="str">
        <f t="shared" ca="1" si="14"/>
        <v/>
      </c>
      <c r="F100" s="72" t="str">
        <f t="shared" ca="1" si="14"/>
        <v/>
      </c>
      <c r="G100" s="74" t="str">
        <f t="shared" ca="1" si="14"/>
        <v/>
      </c>
      <c r="H100" s="119" t="str">
        <f>SETTINGS!$I$131&amp;"x"&amp;SETTINGS!I141</f>
        <v>48Mx36M</v>
      </c>
      <c r="I100" s="69">
        <f ca="1">IF($H100="","",paydate($M$14,crvgetcrncy($C$8),LEFT($H100,FIND("X",UPPER($H100))-1)))</f>
        <v>42912</v>
      </c>
      <c r="J100" s="39">
        <f ca="1">IF($H100="","",paydate($I100,crvgetcrncy($C$8),RIGHT($H100,LEN($H100)-FIND("X",UPPER($H100)))))</f>
        <v>44008</v>
      </c>
      <c r="K100" s="71">
        <f t="shared" ca="1" si="13"/>
        <v>5.6549678943438559</v>
      </c>
      <c r="L100" s="72">
        <f t="shared" ca="1" si="13"/>
        <v>5.6612718765403303</v>
      </c>
      <c r="M100" s="120">
        <f t="shared" ca="1" si="13"/>
        <v>0.8475922456179118</v>
      </c>
      <c r="P100" s="19"/>
    </row>
    <row r="101" spans="2:16" x14ac:dyDescent="0.2">
      <c r="B101" s="119" t="s">
        <v>311</v>
      </c>
      <c r="C101" s="69">
        <f ca="1">IF($B101="","",IF(ISTEXT($B101),paydate($M$14,crvgetcrncy($C$8),$B101),$B101))</f>
        <v>52314</v>
      </c>
      <c r="D101" s="71" t="str">
        <f t="shared" ca="1" si="14"/>
        <v/>
      </c>
      <c r="E101" s="72" t="str">
        <f t="shared" ca="1" si="14"/>
        <v/>
      </c>
      <c r="F101" s="72" t="str">
        <f t="shared" ca="1" si="14"/>
        <v/>
      </c>
      <c r="G101" s="74" t="str">
        <f t="shared" ca="1" si="14"/>
        <v/>
      </c>
      <c r="H101" s="119" t="str">
        <f>SETTINGS!$I$131&amp;"x"&amp;SETTINGS!I142</f>
        <v>48Mx48M</v>
      </c>
      <c r="I101" s="69">
        <f ca="1">IF($H101="","",paydate($M$14,crvgetcrncy($C$8),LEFT($H101,FIND("X",UPPER($H101))-1)))</f>
        <v>42912</v>
      </c>
      <c r="J101" s="39">
        <f ca="1">IF($H101="","",paydate($I101,crvgetcrncy($C$8),RIGHT($H101,LEN($H101)-FIND("X",UPPER($H101)))))</f>
        <v>44375</v>
      </c>
      <c r="K101" s="71">
        <f t="shared" ca="1" si="13"/>
        <v>5.7015898374303671</v>
      </c>
      <c r="L101" s="72">
        <f t="shared" ca="1" si="13"/>
        <v>5.7102841935947168</v>
      </c>
      <c r="M101" s="120">
        <f t="shared" ca="1" si="13"/>
        <v>0.80044742992956042</v>
      </c>
      <c r="P101" s="19"/>
    </row>
    <row r="102" spans="2:16" x14ac:dyDescent="0.2">
      <c r="B102" s="119" t="s">
        <v>312</v>
      </c>
      <c r="C102" s="69">
        <f ca="1">IF($B102="","",IF(ISTEXT($B102),paydate($M$14,crvgetcrncy($C$8),$B102),$B102))</f>
        <v>52224</v>
      </c>
      <c r="D102" s="71" t="str">
        <f t="shared" ca="1" si="14"/>
        <v/>
      </c>
      <c r="E102" s="72" t="str">
        <f t="shared" ca="1" si="14"/>
        <v/>
      </c>
      <c r="F102" s="72" t="str">
        <f t="shared" ca="1" si="14"/>
        <v/>
      </c>
      <c r="G102" s="74" t="str">
        <f t="shared" ca="1" si="14"/>
        <v/>
      </c>
      <c r="H102" s="119" t="str">
        <f>SETTINGS!$I$131&amp;"x"&amp;SETTINGS!I143</f>
        <v>48Mx60M</v>
      </c>
      <c r="I102" s="69">
        <f ca="1">IF($H102="","",paydate($M$14,crvgetcrncy($C$8),LEFT($H102,FIND("X",UPPER($H102))-1)))</f>
        <v>42912</v>
      </c>
      <c r="J102" s="39">
        <f ca="1">IF($H102="","",paydate($I102,crvgetcrncy($C$8),RIGHT($H102,LEN($H102)-FIND("X",UPPER($H102)))))</f>
        <v>44739</v>
      </c>
      <c r="K102" s="71">
        <f t="shared" ca="1" si="13"/>
        <v>5.9445776536128401</v>
      </c>
      <c r="L102" s="72">
        <f t="shared" ca="1" si="13"/>
        <v>5.9829378253089427</v>
      </c>
      <c r="M102" s="120">
        <f t="shared" ca="1" si="13"/>
        <v>0.74762179098770343</v>
      </c>
      <c r="P102" s="19"/>
    </row>
    <row r="103" spans="2:16" x14ac:dyDescent="0.2">
      <c r="B103" s="119" t="s">
        <v>313</v>
      </c>
      <c r="C103" s="69">
        <f ca="1">IF($B103="","",IF(ISTEXT($B103),paydate($M$14,crvgetcrncy($C$8),$B103),$B103))</f>
        <v>52041</v>
      </c>
      <c r="D103" s="71" t="str">
        <f t="shared" ca="1" si="14"/>
        <v/>
      </c>
      <c r="E103" s="72" t="str">
        <f t="shared" ca="1" si="14"/>
        <v/>
      </c>
      <c r="F103" s="72" t="str">
        <f t="shared" ca="1" si="14"/>
        <v/>
      </c>
      <c r="G103" s="74" t="str">
        <f t="shared" ca="1" si="14"/>
        <v/>
      </c>
      <c r="H103" s="119" t="str">
        <f>SETTINGS!$I$131&amp;"x"&amp;SETTINGS!I144</f>
        <v>48Mx72M</v>
      </c>
      <c r="I103" s="69">
        <f ca="1">IF($H103="","",paydate($M$14,crvgetcrncy($C$8),LEFT($H103,FIND("X",UPPER($H103))-1)))</f>
        <v>42912</v>
      </c>
      <c r="J103" s="39">
        <f ca="1">IF($H103="","",paydate($I103,crvgetcrncy($C$8),RIGHT($H103,LEN($H103)-FIND("X",UPPER($H103)))))</f>
        <v>45103</v>
      </c>
      <c r="K103" s="71">
        <f t="shared" ca="1" si="13"/>
        <v>0</v>
      </c>
      <c r="L103" s="72">
        <f t="shared" ca="1" si="13"/>
        <v>0</v>
      </c>
      <c r="M103" s="120">
        <f t="shared" ca="1" si="13"/>
        <v>0</v>
      </c>
      <c r="P103" s="19"/>
    </row>
    <row r="104" spans="2:16" x14ac:dyDescent="0.2">
      <c r="B104" s="119" t="s">
        <v>180</v>
      </c>
      <c r="C104" s="69">
        <f ca="1">IF($B104="","",IF(ISTEXT($B104),paydate($M$14,crvgetcrncy($C$8),$B104),$B104))</f>
        <v>43609</v>
      </c>
      <c r="D104" s="71">
        <f t="shared" ca="1" si="14"/>
        <v>5.0987762138909636</v>
      </c>
      <c r="E104" s="72">
        <f t="shared" ca="1" si="14"/>
        <v>5.1300755068493142</v>
      </c>
      <c r="F104" s="72">
        <f t="shared" ca="1" si="14"/>
        <v>5.8241067459856817</v>
      </c>
      <c r="G104" s="74">
        <f t="shared" ca="1" si="14"/>
        <v>0.73763987671232878</v>
      </c>
      <c r="H104" s="119" t="str">
        <f>SETTINGS!$I$131&amp;"x"&amp;SETTINGS!I145</f>
        <v>48Mx96M</v>
      </c>
      <c r="I104" s="69">
        <f ca="1">IF($H104="","",paydate($M$14,crvgetcrncy($C$8),LEFT($H104,FIND("X",UPPER($H104))-1)))</f>
        <v>42912</v>
      </c>
      <c r="J104" s="39">
        <f ca="1">IF($H104="","",paydate($I104,crvgetcrncy($C$8),RIGHT($H104,LEN($H104)-FIND("X",UPPER($H104)))))</f>
        <v>45834</v>
      </c>
      <c r="K104" s="71">
        <f t="shared" ca="1" si="13"/>
        <v>0</v>
      </c>
      <c r="L104" s="72">
        <f t="shared" ca="1" si="13"/>
        <v>0</v>
      </c>
      <c r="M104" s="120">
        <f t="shared" ca="1" si="13"/>
        <v>0</v>
      </c>
      <c r="P104" s="19"/>
    </row>
    <row r="105" spans="2:16" x14ac:dyDescent="0.2">
      <c r="B105" s="119" t="s">
        <v>179</v>
      </c>
      <c r="C105" s="69">
        <f ca="1">IF($B105="","",IF(ISTEXT($B105),paydate($M$14,crvgetcrncy($C$8),$B105),$B105))</f>
        <v>43549</v>
      </c>
      <c r="D105" s="71">
        <f t="shared" ca="1" si="14"/>
        <v>5.0839580556282602</v>
      </c>
      <c r="E105" s="72">
        <f t="shared" ca="1" si="14"/>
        <v>5.1137801643835612</v>
      </c>
      <c r="F105" s="72">
        <f t="shared" ca="1" si="14"/>
        <v>5.7793840118854014</v>
      </c>
      <c r="G105" s="74">
        <f t="shared" ca="1" si="14"/>
        <v>0.74463604109589043</v>
      </c>
      <c r="H105" s="119" t="str">
        <f>SETTINGS!$I$131&amp;"x"&amp;SETTINGS!I146</f>
        <v>48Mx132M</v>
      </c>
      <c r="I105" s="69">
        <f ca="1">IF($H105="","",paydate($M$14,crvgetcrncy($C$8),LEFT($H105,FIND("X",UPPER($H105))-1)))</f>
        <v>42912</v>
      </c>
      <c r="J105" s="39">
        <f ca="1">IF($H105="","",paydate($I105,crvgetcrncy($C$8),RIGHT($H105,LEN($H105)-FIND("X",UPPER($H105)))))</f>
        <v>46930</v>
      </c>
      <c r="K105" s="71">
        <f t="shared" ca="1" si="13"/>
        <v>0</v>
      </c>
      <c r="L105" s="72">
        <f t="shared" ca="1" si="13"/>
        <v>0</v>
      </c>
      <c r="M105" s="120">
        <f t="shared" ca="1" si="13"/>
        <v>0</v>
      </c>
      <c r="P105" s="19"/>
    </row>
    <row r="106" spans="2:16" x14ac:dyDescent="0.2">
      <c r="B106" s="119" t="s">
        <v>178</v>
      </c>
      <c r="C106" s="69">
        <f ca="1">IF($B106="","",IF(ISTEXT($B106),paydate($M$14,crvgetcrncy($C$8),$B106),$B106))</f>
        <v>43458</v>
      </c>
      <c r="D106" s="71">
        <f t="shared" ca="1" si="14"/>
        <v>5.0614838489298277</v>
      </c>
      <c r="E106" s="72">
        <f t="shared" ca="1" si="14"/>
        <v>5.0890655616438352</v>
      </c>
      <c r="F106" s="72">
        <f t="shared" ca="1" si="14"/>
        <v>5.7115545318333094</v>
      </c>
      <c r="G106" s="74">
        <f t="shared" ca="1" si="14"/>
        <v>0.75524689041095894</v>
      </c>
      <c r="H106" s="119" t="str">
        <f>SETTINGS!$I$131&amp;"x"&amp;SETTINGS!I147</f>
        <v>48Mx192M</v>
      </c>
      <c r="I106" s="69">
        <f ca="1">IF($H106="","",paydate($M$14,crvgetcrncy($C$8),LEFT($H106,FIND("X",UPPER($H106))-1)))</f>
        <v>42912</v>
      </c>
      <c r="J106" s="39">
        <f ca="1">IF($H106="","",paydate($I106,crvgetcrncy($C$8),RIGHT($H106,LEN($H106)-FIND("X",UPPER($H106)))))</f>
        <v>48757</v>
      </c>
      <c r="K106" s="71">
        <f t="shared" ref="K106:M108" ca="1" si="15">crvforward($I106,$J106,$C$8,K$17,$M$15,$M$16)</f>
        <v>0</v>
      </c>
      <c r="L106" s="72">
        <f t="shared" ca="1" si="15"/>
        <v>0</v>
      </c>
      <c r="M106" s="120">
        <f t="shared" ca="1" si="15"/>
        <v>0</v>
      </c>
      <c r="P106" s="19"/>
    </row>
    <row r="107" spans="2:16" x14ac:dyDescent="0.2">
      <c r="B107" s="119" t="s">
        <v>326</v>
      </c>
      <c r="C107" s="69">
        <f ca="1">IF($B107="","",IF(ISTEXT($B107),paydate($M$14,crvgetcrncy($C$8),$B107),$B107))</f>
        <v>43276</v>
      </c>
      <c r="D107" s="71">
        <f t="shared" ca="1" si="14"/>
        <v>5.016535435532961</v>
      </c>
      <c r="E107" s="72">
        <f t="shared" ca="1" si="14"/>
        <v>5.0396363561643831</v>
      </c>
      <c r="F107" s="72">
        <f t="shared" ca="1" si="14"/>
        <v>5.5758955717291254</v>
      </c>
      <c r="G107" s="74">
        <f t="shared" ca="1" si="14"/>
        <v>0.77646858904109595</v>
      </c>
      <c r="H107" s="119" t="str">
        <f>SETTINGS!$I$131&amp;"x"&amp;SETTINGS!I148</f>
        <v>48Mx252M</v>
      </c>
      <c r="I107" s="69">
        <f ca="1">IF($H107="","",paydate($M$14,crvgetcrncy($C$8),LEFT($H107,FIND("X",UPPER($H107))-1)))</f>
        <v>42912</v>
      </c>
      <c r="J107" s="39">
        <f ca="1">IF($H107="","",paydate($I107,crvgetcrncy($C$8),RIGHT($H107,LEN($H107)-FIND("X",UPPER($H107)))))</f>
        <v>50584</v>
      </c>
      <c r="K107" s="71">
        <f t="shared" ca="1" si="15"/>
        <v>0</v>
      </c>
      <c r="L107" s="72">
        <f t="shared" ca="1" si="15"/>
        <v>0</v>
      </c>
      <c r="M107" s="120">
        <f t="shared" ca="1" si="15"/>
        <v>0</v>
      </c>
      <c r="P107" s="19"/>
    </row>
    <row r="108" spans="2:16" ht="13.5" thickBot="1" x14ac:dyDescent="0.25">
      <c r="B108" s="119" t="s">
        <v>186</v>
      </c>
      <c r="C108" s="69">
        <f ca="1">IF($B108="","",IF(ISTEXT($B108),paydate($M$14,crvgetcrncy($C$8),$B108),$B108))</f>
        <v>44340</v>
      </c>
      <c r="D108" s="71">
        <f t="shared" ca="1" si="14"/>
        <v>5.256088444434968</v>
      </c>
      <c r="E108" s="72">
        <f t="shared" ca="1" si="14"/>
        <v>5.307541538461539</v>
      </c>
      <c r="F108" s="72">
        <f t="shared" ca="1" si="14"/>
        <v>6.3934176626221131</v>
      </c>
      <c r="G108" s="74">
        <f t="shared" ca="1" si="14"/>
        <v>0.65636896153846158</v>
      </c>
      <c r="H108" s="212" t="str">
        <f>SETTINGS!$I$131&amp;"x"&amp;SETTINGS!I149</f>
        <v>48Mx312M</v>
      </c>
      <c r="I108" s="213">
        <f ca="1">IF($H108="","",paydate($M$14,crvgetcrncy($C$8),LEFT($H108,FIND("X",UPPER($H108))-1)))</f>
        <v>42912</v>
      </c>
      <c r="J108" s="214">
        <f ca="1">IF($H108="","",paydate($I108,crvgetcrncy($C$8),RIGHT($H108,LEN($H108)-FIND("X",UPPER($H108)))))</f>
        <v>52408</v>
      </c>
      <c r="K108" s="215">
        <f t="shared" ca="1" si="15"/>
        <v>0</v>
      </c>
      <c r="L108" s="216">
        <f t="shared" ca="1" si="15"/>
        <v>0</v>
      </c>
      <c r="M108" s="217">
        <f t="shared" ca="1" si="15"/>
        <v>0</v>
      </c>
      <c r="P108" s="19"/>
    </row>
    <row r="109" spans="2:16" x14ac:dyDescent="0.2">
      <c r="B109" s="119" t="s">
        <v>185</v>
      </c>
      <c r="C109" s="69">
        <f ca="1">IF($B109="","",IF(ISTEXT($B109),paydate($M$14,crvgetcrncy($C$8),$B109),$B109))</f>
        <v>44279</v>
      </c>
      <c r="D109" s="71">
        <f t="shared" ca="1" si="14"/>
        <v>5.2451731281978935</v>
      </c>
      <c r="E109" s="72">
        <f t="shared" ca="1" si="14"/>
        <v>5.2951597115384619</v>
      </c>
      <c r="F109" s="72">
        <f t="shared" ca="1" si="14"/>
        <v>6.3474149261931316</v>
      </c>
      <c r="G109" s="74">
        <f t="shared" ca="1" si="14"/>
        <v>0.66292310989010994</v>
      </c>
      <c r="H109" s="208"/>
      <c r="I109" s="69"/>
      <c r="J109" s="39"/>
      <c r="K109" s="209"/>
      <c r="L109" s="210"/>
      <c r="M109" s="211"/>
      <c r="P109" s="19"/>
    </row>
    <row r="110" spans="2:16" x14ac:dyDescent="0.2">
      <c r="B110" s="119" t="s">
        <v>184</v>
      </c>
      <c r="C110" s="69">
        <f ca="1">IF($B110="","",IF(ISTEXT($B110),paydate($M$14,crvgetcrncy($C$8),$B110),$B110))</f>
        <v>44189</v>
      </c>
      <c r="D110" s="71">
        <f t="shared" ca="1" si="14"/>
        <v>5.2290685632579468</v>
      </c>
      <c r="E110" s="72">
        <f t="shared" ca="1" si="14"/>
        <v>5.2768914423076927</v>
      </c>
      <c r="F110" s="72">
        <f t="shared" ca="1" si="14"/>
        <v>6.2795420363798806</v>
      </c>
      <c r="G110" s="74">
        <f t="shared" ca="1" si="14"/>
        <v>0.67259316483516485</v>
      </c>
      <c r="H110" s="68"/>
      <c r="I110" s="69"/>
      <c r="J110" s="39"/>
      <c r="K110" s="71"/>
      <c r="L110" s="72"/>
      <c r="M110" s="120"/>
      <c r="P110" s="19"/>
    </row>
    <row r="111" spans="2:16" x14ac:dyDescent="0.2">
      <c r="B111" s="119" t="s">
        <v>327</v>
      </c>
      <c r="C111" s="69">
        <f ca="1">IF($B111="","",IF(ISTEXT($B111),paydate($M$14,crvgetcrncy($C$8),$B111),$B111))</f>
        <v>44006</v>
      </c>
      <c r="D111" s="71">
        <f t="shared" ca="1" si="14"/>
        <v>5.1963226145467223</v>
      </c>
      <c r="E111" s="72">
        <f t="shared" ca="1" si="14"/>
        <v>5.2397459615384623</v>
      </c>
      <c r="F111" s="72">
        <f t="shared" ca="1" si="14"/>
        <v>6.141533827092938</v>
      </c>
      <c r="G111" s="74">
        <f t="shared" ca="1" si="14"/>
        <v>0.69225560989010992</v>
      </c>
      <c r="H111" s="68"/>
      <c r="I111" s="69"/>
      <c r="J111" s="39"/>
      <c r="K111" s="71"/>
      <c r="L111" s="72"/>
      <c r="M111" s="120"/>
      <c r="P111" s="19"/>
    </row>
    <row r="112" spans="2:16" x14ac:dyDescent="0.2">
      <c r="B112" s="119" t="s">
        <v>189</v>
      </c>
      <c r="C112" s="69">
        <f ca="1">IF($B112="","",IF(ISTEXT($B112),paydate($M$14,crvgetcrncy($C$8),$B112),$B112))</f>
        <v>44705</v>
      </c>
      <c r="D112" s="71">
        <f t="shared" ca="1" si="14"/>
        <v>5.4096109204157798</v>
      </c>
      <c r="E112" s="72">
        <f t="shared" ca="1" si="14"/>
        <v>5.495398890410959</v>
      </c>
      <c r="F112" s="72">
        <f t="shared" ca="1" si="14"/>
        <v>6.859152627130281</v>
      </c>
      <c r="G112" s="74">
        <f t="shared" ca="1" si="14"/>
        <v>0.61217956164383569</v>
      </c>
      <c r="H112" s="68"/>
      <c r="I112" s="69"/>
      <c r="J112" s="39"/>
      <c r="K112" s="71"/>
      <c r="L112" s="72"/>
      <c r="M112" s="120"/>
      <c r="P112" s="19"/>
    </row>
    <row r="113" spans="2:16" x14ac:dyDescent="0.2">
      <c r="B113" s="119" t="s">
        <v>188</v>
      </c>
      <c r="C113" s="69">
        <f ca="1">IF($B113="","",IF(ISTEXT($B113),paydate($M$14,crvgetcrncy($C$8),$B113),$B113))</f>
        <v>44644</v>
      </c>
      <c r="D113" s="71">
        <f t="shared" ca="1" si="14"/>
        <v>5.3827288961422148</v>
      </c>
      <c r="E113" s="72">
        <f t="shared" ca="1" si="14"/>
        <v>5.4624237945205483</v>
      </c>
      <c r="F113" s="72">
        <f t="shared" ca="1" si="14"/>
        <v>6.7786726383617744</v>
      </c>
      <c r="G113" s="74">
        <f t="shared" ca="1" si="14"/>
        <v>0.61963367808219183</v>
      </c>
      <c r="H113" s="68"/>
      <c r="I113" s="69"/>
      <c r="J113" s="39"/>
      <c r="K113" s="71"/>
      <c r="L113" s="72"/>
      <c r="M113" s="120"/>
      <c r="P113" s="19"/>
    </row>
    <row r="114" spans="2:16" x14ac:dyDescent="0.2">
      <c r="B114" s="119" t="s">
        <v>187</v>
      </c>
      <c r="C114" s="69">
        <f ca="1">IF($B114="","",IF(ISTEXT($B114),paydate($M$14,crvgetcrncy($C$8),$B114),$B114))</f>
        <v>44557</v>
      </c>
      <c r="D114" s="71">
        <f t="shared" ca="1" si="14"/>
        <v>5.3443889598831955</v>
      </c>
      <c r="E114" s="72">
        <f t="shared" ca="1" si="14"/>
        <v>5.415393739726027</v>
      </c>
      <c r="F114" s="72">
        <f t="shared" ca="1" si="14"/>
        <v>6.6638897035607894</v>
      </c>
      <c r="G114" s="74">
        <f t="shared" ca="1" si="14"/>
        <v>0.63026495890410961</v>
      </c>
      <c r="H114" s="68"/>
      <c r="I114" s="69"/>
      <c r="J114" s="39"/>
      <c r="K114" s="71"/>
      <c r="L114" s="72"/>
      <c r="M114" s="120"/>
      <c r="P114" s="19"/>
    </row>
    <row r="115" spans="2:16" x14ac:dyDescent="0.2">
      <c r="B115" s="119" t="s">
        <v>328</v>
      </c>
      <c r="C115" s="69">
        <f ca="1">IF($B115="","",IF(ISTEXT($B115),paydate($M$14,crvgetcrncy($C$8),$B115),$B115))</f>
        <v>44371</v>
      </c>
      <c r="D115" s="71">
        <f t="shared" ca="1" si="14"/>
        <v>5.2624208202949481</v>
      </c>
      <c r="E115" s="72">
        <f t="shared" ca="1" si="14"/>
        <v>5.3148467260273975</v>
      </c>
      <c r="F115" s="72">
        <f t="shared" ca="1" si="14"/>
        <v>6.4184917050207515</v>
      </c>
      <c r="G115" s="74">
        <f t="shared" ca="1" si="14"/>
        <v>0.65299390410958902</v>
      </c>
      <c r="H115" s="68"/>
      <c r="I115" s="69"/>
      <c r="J115" s="39"/>
      <c r="K115" s="71"/>
      <c r="L115" s="72"/>
      <c r="M115" s="120"/>
      <c r="P115" s="19"/>
    </row>
    <row r="116" spans="2:16" x14ac:dyDescent="0.2">
      <c r="B116" s="119" t="s">
        <v>329</v>
      </c>
      <c r="C116" s="69">
        <f ca="1">IF($B116="","",IF(ISTEXT($B116),paydate($M$14,crvgetcrncy($C$8),$B116),$B116))</f>
        <v>41541</v>
      </c>
      <c r="D116" s="71">
        <f t="shared" ca="1" si="14"/>
        <v>4.8487958928571429</v>
      </c>
      <c r="E116" s="72">
        <f t="shared" ca="1" si="14"/>
        <v>4.8487958928571429</v>
      </c>
      <c r="F116" s="72">
        <f t="shared" ca="1" si="14"/>
        <v>4.8487958928571429</v>
      </c>
      <c r="G116" s="74">
        <f t="shared" ca="1" si="14"/>
        <v>0.98736807142857141</v>
      </c>
      <c r="H116" s="68"/>
      <c r="I116" s="69"/>
      <c r="J116" s="39"/>
      <c r="K116" s="71"/>
      <c r="L116" s="72"/>
      <c r="M116" s="120"/>
      <c r="P116" s="19"/>
    </row>
    <row r="117" spans="2:16" x14ac:dyDescent="0.2">
      <c r="B117" s="119" t="s">
        <v>229</v>
      </c>
      <c r="C117" s="69">
        <f ca="1">IF($B117="","",IF(ISTEXT($B117),paydate($M$14,crvgetcrncy($C$8),$B117),$B117))</f>
        <v>41449</v>
      </c>
      <c r="D117" s="71">
        <f t="shared" ca="1" si="14"/>
        <v>4.8500050000000003</v>
      </c>
      <c r="E117" s="72">
        <f t="shared" ca="1" si="14"/>
        <v>4.8500050000000003</v>
      </c>
      <c r="F117" s="72">
        <f t="shared" ca="1" si="14"/>
        <v>4.8500050000000003</v>
      </c>
      <c r="G117" s="74">
        <f t="shared" ca="1" si="14"/>
        <v>0.99959600000000004</v>
      </c>
      <c r="H117" s="68"/>
      <c r="I117" s="69"/>
      <c r="J117" s="39"/>
      <c r="K117" s="71"/>
      <c r="L117" s="72"/>
      <c r="M117" s="120"/>
      <c r="P117" s="19"/>
    </row>
    <row r="118" spans="2:16" x14ac:dyDescent="0.2">
      <c r="B118" s="119" t="s">
        <v>336</v>
      </c>
      <c r="C118" s="69">
        <f ca="1">IF($B118="","",IF(ISTEXT($B118),paydate($M$14,crvgetcrncy($C$8),$B118),$B118))</f>
        <v>41512</v>
      </c>
      <c r="D118" s="71">
        <f t="shared" ca="1" si="14"/>
        <v>4.8500050000000003</v>
      </c>
      <c r="E118" s="72">
        <f t="shared" ca="1" si="14"/>
        <v>4.8500050000000003</v>
      </c>
      <c r="F118" s="72">
        <f t="shared" ca="1" si="14"/>
        <v>4.8500050000000003</v>
      </c>
      <c r="G118" s="74">
        <f t="shared" ca="1" si="14"/>
        <v>0.99118930303030306</v>
      </c>
      <c r="H118" s="68"/>
      <c r="I118" s="69"/>
      <c r="J118" s="39"/>
      <c r="K118" s="71"/>
      <c r="L118" s="72"/>
      <c r="M118" s="120"/>
      <c r="P118" s="19"/>
    </row>
    <row r="119" spans="2:16" x14ac:dyDescent="0.2">
      <c r="B119" s="119" t="s">
        <v>329</v>
      </c>
      <c r="C119" s="69">
        <f ca="1">IF($B119="","",IF(ISTEXT($B119),paydate($M$14,crvgetcrncy($C$8),$B119),$B119))</f>
        <v>41541</v>
      </c>
      <c r="D119" s="71">
        <f t="shared" ca="1" si="14"/>
        <v>4.8487958928571429</v>
      </c>
      <c r="E119" s="72">
        <f t="shared" ca="1" si="14"/>
        <v>4.8487958928571429</v>
      </c>
      <c r="F119" s="72">
        <f t="shared" ca="1" si="14"/>
        <v>4.8487958928571429</v>
      </c>
      <c r="G119" s="74">
        <f t="shared" ca="1" si="14"/>
        <v>0.98736807142857141</v>
      </c>
      <c r="H119" s="68"/>
      <c r="I119" s="69"/>
      <c r="J119" s="39"/>
      <c r="K119" s="71"/>
      <c r="L119" s="72"/>
      <c r="M119" s="120"/>
      <c r="P119" s="19"/>
    </row>
    <row r="120" spans="2:16" x14ac:dyDescent="0.2">
      <c r="B120" s="119" t="s">
        <v>337</v>
      </c>
      <c r="C120" s="69">
        <f ca="1">IF($B120="","",IF(ISTEXT($B120),paydate($M$14,crvgetcrncy($C$8),$B120),$B120))</f>
        <v>41603</v>
      </c>
      <c r="D120" s="71">
        <f t="shared" ca="1" si="14"/>
        <v>4.7738449999999997</v>
      </c>
      <c r="E120" s="72">
        <f t="shared" ca="1" si="14"/>
        <v>4.7738449999999997</v>
      </c>
      <c r="F120" s="72">
        <f t="shared" ca="1" si="14"/>
        <v>4.7738449999999997</v>
      </c>
      <c r="G120" s="74">
        <f t="shared" ca="1" si="14"/>
        <v>0.97961075000000009</v>
      </c>
      <c r="H120" s="68"/>
      <c r="I120" s="69"/>
      <c r="J120" s="39"/>
      <c r="K120" s="71"/>
      <c r="L120" s="72"/>
      <c r="M120" s="120"/>
      <c r="P120" s="19"/>
    </row>
    <row r="121" spans="2:16" x14ac:dyDescent="0.2">
      <c r="B121" s="119" t="s">
        <v>37</v>
      </c>
      <c r="C121" s="69">
        <f ca="1">IF($B121="","",IF(ISTEXT($B121),paydate($M$14,crvgetcrncy($C$8),$B121),$B121))</f>
        <v>41632</v>
      </c>
      <c r="D121" s="71">
        <f t="shared" ca="1" si="14"/>
        <v>4.7397727586206901</v>
      </c>
      <c r="E121" s="72">
        <f t="shared" ca="1" si="14"/>
        <v>4.7397727586206901</v>
      </c>
      <c r="F121" s="72">
        <f t="shared" ca="1" si="14"/>
        <v>4.7397727586206901</v>
      </c>
      <c r="G121" s="74">
        <f t="shared" ca="1" si="14"/>
        <v>0.97609725862068963</v>
      </c>
      <c r="H121" s="68"/>
      <c r="I121" s="69"/>
      <c r="J121" s="39"/>
      <c r="K121" s="71"/>
      <c r="L121" s="72"/>
      <c r="M121" s="120"/>
      <c r="P121" s="19"/>
    </row>
    <row r="122" spans="2:16" ht="13.5" thickBot="1" x14ac:dyDescent="0.25">
      <c r="B122" s="219" t="s">
        <v>338</v>
      </c>
      <c r="C122" s="69">
        <f ca="1">IF($B122="","",IF(ISTEXT($B122),paydate($M$14,crvgetcrncy($C$8),$B122),$B122))</f>
        <v>41694</v>
      </c>
      <c r="D122" s="205">
        <f t="shared" ca="1" si="14"/>
        <v>4.7256830357142858</v>
      </c>
      <c r="E122" s="206">
        <f t="shared" ca="1" si="14"/>
        <v>4.7256830357142858</v>
      </c>
      <c r="F122" s="206">
        <f t="shared" ca="1" si="14"/>
        <v>4.7256830357142858</v>
      </c>
      <c r="G122" s="220">
        <f t="shared" ca="1" si="14"/>
        <v>0.96847346428571424</v>
      </c>
      <c r="H122" s="68"/>
      <c r="I122" s="69"/>
      <c r="J122" s="39"/>
      <c r="K122" s="71"/>
      <c r="L122" s="72"/>
      <c r="M122" s="120"/>
      <c r="P122" s="19"/>
    </row>
    <row r="123" spans="2:16" x14ac:dyDescent="0.2">
      <c r="B123" s="121">
        <f>IF(SETTINGS!$D$130="Yes",SETTINGS!H132,SETTINGS!E132)</f>
        <v>0</v>
      </c>
      <c r="C123" s="122">
        <f>IF($B123="","",IF(ISTEXT($B123),paydate($M$14,crvgetcrncy($C$8),$B123),$B123))</f>
        <v>0</v>
      </c>
      <c r="D123" s="123" t="str">
        <f t="shared" si="14"/>
        <v/>
      </c>
      <c r="E123" s="124" t="str">
        <f t="shared" si="14"/>
        <v/>
      </c>
      <c r="F123" s="124" t="str">
        <f t="shared" si="14"/>
        <v/>
      </c>
      <c r="G123" s="221" t="str">
        <f t="shared" si="14"/>
        <v/>
      </c>
      <c r="H123" s="218"/>
      <c r="I123" s="69"/>
      <c r="J123" s="39"/>
      <c r="K123" s="71"/>
      <c r="L123" s="72"/>
      <c r="M123" s="120"/>
      <c r="P123" s="19"/>
    </row>
    <row r="124" spans="2:16" x14ac:dyDescent="0.2">
      <c r="B124" s="119">
        <f>IF(SETTINGS!$D$130="Yes",SETTINGS!H133,SETTINGS!E133)</f>
        <v>0</v>
      </c>
      <c r="C124" s="69">
        <f>IF($B124="","",IF(ISTEXT($B124),paydate($M$14,crvgetcrncy($C$8),$B124),$B124))</f>
        <v>0</v>
      </c>
      <c r="D124" s="71" t="str">
        <f t="shared" ref="D124:G140" si="16">IF($C124="","",CRVINTER($C124,$C$8,LEFT(D$17,1)))</f>
        <v/>
      </c>
      <c r="E124" s="72" t="str">
        <f t="shared" si="16"/>
        <v/>
      </c>
      <c r="F124" s="72" t="str">
        <f t="shared" si="16"/>
        <v/>
      </c>
      <c r="G124" s="222" t="str">
        <f t="shared" si="16"/>
        <v/>
      </c>
      <c r="H124" s="218"/>
      <c r="I124" s="69"/>
      <c r="J124" s="39"/>
      <c r="K124" s="71"/>
      <c r="L124" s="72"/>
      <c r="M124" s="120"/>
      <c r="P124" s="19"/>
    </row>
    <row r="125" spans="2:16" x14ac:dyDescent="0.2">
      <c r="B125" s="119">
        <f>IF(SETTINGS!$D$130="Yes",SETTINGS!H134,SETTINGS!E134)</f>
        <v>0</v>
      </c>
      <c r="C125" s="69">
        <f>IF($B125="","",IF(ISTEXT($B125),paydate($M$14,crvgetcrncy($C$8),$B125),$B125))</f>
        <v>0</v>
      </c>
      <c r="D125" s="71" t="str">
        <f t="shared" si="16"/>
        <v/>
      </c>
      <c r="E125" s="72" t="str">
        <f t="shared" si="16"/>
        <v/>
      </c>
      <c r="F125" s="72" t="str">
        <f t="shared" si="16"/>
        <v/>
      </c>
      <c r="G125" s="222" t="str">
        <f t="shared" si="16"/>
        <v/>
      </c>
      <c r="H125" s="218"/>
      <c r="I125" s="69"/>
      <c r="J125" s="39"/>
      <c r="K125" s="71"/>
      <c r="L125" s="72"/>
      <c r="M125" s="120"/>
      <c r="P125" s="19"/>
    </row>
    <row r="126" spans="2:16" x14ac:dyDescent="0.2">
      <c r="B126" s="119">
        <f>IF(SETTINGS!$D$130="Yes",SETTINGS!H135,SETTINGS!E135)</f>
        <v>0</v>
      </c>
      <c r="C126" s="69">
        <f>IF($B126="","",IF(ISTEXT($B126),paydate($M$14,crvgetcrncy($C$8),$B126),$B126))</f>
        <v>0</v>
      </c>
      <c r="D126" s="71" t="str">
        <f t="shared" si="16"/>
        <v/>
      </c>
      <c r="E126" s="72" t="str">
        <f t="shared" si="16"/>
        <v/>
      </c>
      <c r="F126" s="72" t="str">
        <f t="shared" si="16"/>
        <v/>
      </c>
      <c r="G126" s="222" t="str">
        <f t="shared" si="16"/>
        <v/>
      </c>
      <c r="H126" s="218"/>
      <c r="I126" s="69"/>
      <c r="J126" s="39"/>
      <c r="K126" s="71"/>
      <c r="L126" s="72"/>
      <c r="M126" s="120"/>
      <c r="P126" s="19"/>
    </row>
    <row r="127" spans="2:16" x14ac:dyDescent="0.2">
      <c r="B127" s="119">
        <f>IF(SETTINGS!$D$130="Yes",SETTINGS!H136,SETTINGS!E136)</f>
        <v>0</v>
      </c>
      <c r="C127" s="69">
        <f>IF($B127="","",IF(ISTEXT($B127),paydate($M$14,crvgetcrncy($C$8),$B127),$B127))</f>
        <v>0</v>
      </c>
      <c r="D127" s="71" t="str">
        <f t="shared" si="16"/>
        <v/>
      </c>
      <c r="E127" s="72" t="str">
        <f t="shared" si="16"/>
        <v/>
      </c>
      <c r="F127" s="72" t="str">
        <f t="shared" si="16"/>
        <v/>
      </c>
      <c r="G127" s="222" t="str">
        <f t="shared" si="16"/>
        <v/>
      </c>
      <c r="H127" s="218"/>
      <c r="I127" s="69"/>
      <c r="J127" s="39"/>
      <c r="K127" s="71"/>
      <c r="L127" s="72"/>
      <c r="M127" s="120"/>
      <c r="P127" s="19"/>
    </row>
    <row r="128" spans="2:16" x14ac:dyDescent="0.2">
      <c r="B128" s="119">
        <f>IF(SETTINGS!$D$130="Yes",SETTINGS!H137,SETTINGS!E137)</f>
        <v>0</v>
      </c>
      <c r="C128" s="69">
        <f>IF($B128="","",IF(ISTEXT($B128),paydate($M$14,crvgetcrncy($C$8),$B128),$B128))</f>
        <v>0</v>
      </c>
      <c r="D128" s="71" t="str">
        <f t="shared" si="16"/>
        <v/>
      </c>
      <c r="E128" s="72" t="str">
        <f t="shared" si="16"/>
        <v/>
      </c>
      <c r="F128" s="72" t="str">
        <f t="shared" si="16"/>
        <v/>
      </c>
      <c r="G128" s="222" t="str">
        <f t="shared" si="16"/>
        <v/>
      </c>
      <c r="H128" s="218"/>
      <c r="I128" s="69"/>
      <c r="J128" s="39"/>
      <c r="K128" s="71"/>
      <c r="L128" s="72"/>
      <c r="M128" s="120"/>
      <c r="P128" s="19"/>
    </row>
    <row r="129" spans="2:16" x14ac:dyDescent="0.2">
      <c r="B129" s="119" t="str">
        <f>IF(SETTINGS!$D$130="Yes",SETTINGS!H138,SETTINGS!E138)</f>
        <v>0y</v>
      </c>
      <c r="C129" s="69">
        <f ca="1">IF($B129="","",IF(ISTEXT($B129),paydate($M$14,crvgetcrncy($C$8),$B129),$B129))</f>
        <v>41449</v>
      </c>
      <c r="D129" s="71">
        <f t="shared" ca="1" si="16"/>
        <v>4.8500050000000003</v>
      </c>
      <c r="E129" s="72">
        <f t="shared" ca="1" si="16"/>
        <v>4.8500050000000003</v>
      </c>
      <c r="F129" s="72">
        <f t="shared" ca="1" si="16"/>
        <v>4.8500050000000003</v>
      </c>
      <c r="G129" s="222">
        <f t="shared" ca="1" si="16"/>
        <v>0.99959600000000004</v>
      </c>
      <c r="H129" s="218"/>
      <c r="I129" s="69"/>
      <c r="J129" s="39"/>
      <c r="K129" s="71"/>
      <c r="L129" s="72"/>
      <c r="M129" s="120"/>
      <c r="P129" s="19"/>
    </row>
    <row r="130" spans="2:16" x14ac:dyDescent="0.2">
      <c r="B130" s="119" t="str">
        <f>IF(SETTINGS!$D$130="Yes",SETTINGS!H139,SETTINGS!E139)</f>
        <v>1y</v>
      </c>
      <c r="C130" s="69">
        <f ca="1">IF($B130="","",IF(ISTEXT($B130),paydate($M$14,crvgetcrncy($C$8),$B130),$B130))</f>
        <v>41814</v>
      </c>
      <c r="D130" s="71">
        <f t="shared" ca="1" si="16"/>
        <v>4.6904825864876942</v>
      </c>
      <c r="E130" s="72">
        <f t="shared" ca="1" si="16"/>
        <v>4.6902747252747252</v>
      </c>
      <c r="F130" s="72">
        <f t="shared" ca="1" si="16"/>
        <v>4.6911693384206332</v>
      </c>
      <c r="G130" s="222">
        <f t="shared" ca="1" si="16"/>
        <v>0.95424955494505503</v>
      </c>
      <c r="H130" s="218"/>
      <c r="I130" s="69"/>
      <c r="J130" s="39"/>
      <c r="K130" s="71"/>
      <c r="L130" s="72"/>
      <c r="M130" s="120"/>
      <c r="P130" s="19"/>
    </row>
    <row r="131" spans="2:16" x14ac:dyDescent="0.2">
      <c r="B131" s="119" t="str">
        <f>IF(SETTINGS!$D$130="Yes",SETTINGS!H140,SETTINGS!E140)</f>
        <v>2y</v>
      </c>
      <c r="C131" s="69">
        <f ca="1">IF($B131="","",IF(ISTEXT($B131),paydate($M$14,crvgetcrncy($C$8),$B131),$B131))</f>
        <v>42179</v>
      </c>
      <c r="D131" s="71">
        <f t="shared" ca="1" si="16"/>
        <v>4.650914632116276</v>
      </c>
      <c r="E131" s="72">
        <f t="shared" ca="1" si="16"/>
        <v>4.6498888461538463</v>
      </c>
      <c r="F131" s="72">
        <f t="shared" ca="1" si="16"/>
        <v>4.7589096576106567</v>
      </c>
      <c r="G131" s="222">
        <f t="shared" ca="1" si="16"/>
        <v>0.91065312637362639</v>
      </c>
      <c r="H131" s="218"/>
      <c r="I131" s="69"/>
      <c r="J131" s="39"/>
      <c r="K131" s="71"/>
      <c r="L131" s="72"/>
      <c r="M131" s="120"/>
      <c r="P131" s="19"/>
    </row>
    <row r="132" spans="2:16" x14ac:dyDescent="0.2">
      <c r="B132" s="119" t="str">
        <f>IF(SETTINGS!$D$130="Yes",SETTINGS!H141,SETTINGS!E141)</f>
        <v>3y</v>
      </c>
      <c r="C132" s="69">
        <f ca="1">IF($B132="","",IF(ISTEXT($B132),paydate($M$14,crvgetcrncy($C$8),$B132),$B132))</f>
        <v>42545</v>
      </c>
      <c r="D132" s="71">
        <f t="shared" ca="1" si="16"/>
        <v>4.776373705485784</v>
      </c>
      <c r="E132" s="72">
        <f t="shared" ca="1" si="16"/>
        <v>4.7818375543478258</v>
      </c>
      <c r="F132" s="72">
        <f t="shared" ca="1" si="16"/>
        <v>5.0154754849613283</v>
      </c>
      <c r="G132" s="222">
        <f t="shared" ca="1" si="16"/>
        <v>0.86566185869565215</v>
      </c>
      <c r="H132" s="218"/>
      <c r="I132" s="69"/>
      <c r="J132" s="39"/>
      <c r="K132" s="71"/>
      <c r="L132" s="72"/>
      <c r="M132" s="120"/>
      <c r="P132" s="19"/>
    </row>
    <row r="133" spans="2:16" x14ac:dyDescent="0.2">
      <c r="B133" s="119" t="str">
        <f>IF(SETTINGS!$D$130="Yes",SETTINGS!H142,SETTINGS!E142)</f>
        <v>4y</v>
      </c>
      <c r="C133" s="69">
        <f ca="1">IF($B133="","",IF(ISTEXT($B133),paydate($M$14,crvgetcrncy($C$8),$B133),$B133))</f>
        <v>42912</v>
      </c>
      <c r="D133" s="71">
        <f t="shared" ca="1" si="16"/>
        <v>4.9118546506771645</v>
      </c>
      <c r="E133" s="72">
        <f t="shared" ca="1" si="16"/>
        <v>4.9264272602739725</v>
      </c>
      <c r="F133" s="72">
        <f t="shared" ca="1" si="16"/>
        <v>5.3048604339749863</v>
      </c>
      <c r="G133" s="222">
        <f t="shared" ca="1" si="16"/>
        <v>0.82022327397260275</v>
      </c>
      <c r="H133" s="218"/>
      <c r="I133" s="69"/>
      <c r="J133" s="39"/>
      <c r="K133" s="71"/>
      <c r="L133" s="72"/>
      <c r="M133" s="120"/>
      <c r="P133" s="19"/>
    </row>
    <row r="134" spans="2:16" x14ac:dyDescent="0.2">
      <c r="B134" s="119" t="str">
        <f>IF(SETTINGS!$D$130="Yes",SETTINGS!H143,SETTINGS!E143)</f>
        <v>5y</v>
      </c>
      <c r="C134" s="69">
        <f ca="1">IF($B134="","",IF(ISTEXT($B134),paydate($M$14,crvgetcrncy($C$8),$B134),$B134))</f>
        <v>43276</v>
      </c>
      <c r="D134" s="71">
        <f t="shared" ca="1" si="16"/>
        <v>5.016535435532961</v>
      </c>
      <c r="E134" s="72">
        <f t="shared" ca="1" si="16"/>
        <v>5.0396363561643831</v>
      </c>
      <c r="F134" s="72">
        <f t="shared" ca="1" si="16"/>
        <v>5.5758955717291254</v>
      </c>
      <c r="G134" s="222">
        <f t="shared" ca="1" si="16"/>
        <v>0.77646858904109595</v>
      </c>
      <c r="P134" s="19"/>
    </row>
    <row r="135" spans="2:16" x14ac:dyDescent="0.2">
      <c r="B135" s="119" t="str">
        <f>IF(SETTINGS!$D$130="Yes",SETTINGS!H144,SETTINGS!E144)</f>
        <v>6y</v>
      </c>
      <c r="C135" s="69">
        <f ca="1">IF($B135="","",IF(ISTEXT($B135),paydate($M$14,crvgetcrncy($C$8),$B135),$B135))</f>
        <v>43640</v>
      </c>
      <c r="D135" s="71">
        <f t="shared" ca="1" si="16"/>
        <v>5.1064292839578007</v>
      </c>
      <c r="E135" s="72">
        <f t="shared" ca="1" si="16"/>
        <v>5.1385110081743868</v>
      </c>
      <c r="F135" s="72">
        <f t="shared" ca="1" si="16"/>
        <v>5.8473891932604367</v>
      </c>
      <c r="G135" s="222">
        <f t="shared" ca="1" si="16"/>
        <v>0.73403245640326975</v>
      </c>
      <c r="P135" s="19"/>
    </row>
    <row r="136" spans="2:16" x14ac:dyDescent="0.2">
      <c r="B136" s="119" t="str">
        <f>IF(SETTINGS!$D$130="Yes",SETTINGS!H145,SETTINGS!E145)</f>
        <v>8y</v>
      </c>
      <c r="C136" s="69">
        <f ca="1">IF($B136="","",IF(ISTEXT($B136),paydate($M$14,crvgetcrncy($C$8),$B136),$B136))</f>
        <v>44371</v>
      </c>
      <c r="D136" s="71">
        <f t="shared" ca="1" si="16"/>
        <v>5.2624208202949481</v>
      </c>
      <c r="E136" s="72">
        <f t="shared" ca="1" si="16"/>
        <v>5.3148467260273975</v>
      </c>
      <c r="F136" s="72">
        <f t="shared" ca="1" si="16"/>
        <v>6.4184917050207515</v>
      </c>
      <c r="G136" s="222">
        <f t="shared" ca="1" si="16"/>
        <v>0.65299390410958902</v>
      </c>
      <c r="P136" s="19"/>
    </row>
    <row r="137" spans="2:16" x14ac:dyDescent="0.2">
      <c r="B137" s="119" t="str">
        <f>IF(SETTINGS!$D$130="Yes",SETTINGS!H146,SETTINGS!E146)</f>
        <v>11y</v>
      </c>
      <c r="C137" s="69">
        <f ca="1">IF($B137="","",IF(ISTEXT($B137),paydate($M$14,crvgetcrncy($C$8),$B137),$B137))</f>
        <v>45467</v>
      </c>
      <c r="D137" s="71" t="str">
        <f t="shared" ca="1" si="16"/>
        <v/>
      </c>
      <c r="E137" s="72" t="str">
        <f t="shared" ca="1" si="16"/>
        <v/>
      </c>
      <c r="F137" s="72" t="str">
        <f t="shared" ca="1" si="16"/>
        <v/>
      </c>
      <c r="G137" s="222" t="str">
        <f t="shared" ca="1" si="16"/>
        <v/>
      </c>
      <c r="P137" s="19"/>
    </row>
    <row r="138" spans="2:16" x14ac:dyDescent="0.2">
      <c r="B138" s="119" t="str">
        <f>IF(SETTINGS!$D$130="Yes",SETTINGS!H147,SETTINGS!E147)</f>
        <v>16y</v>
      </c>
      <c r="C138" s="69">
        <f ca="1">IF($B138="","",IF(ISTEXT($B138),paydate($M$14,crvgetcrncy($C$8),$B138),$B138))</f>
        <v>47294</v>
      </c>
      <c r="D138" s="71" t="str">
        <f t="shared" ca="1" si="16"/>
        <v/>
      </c>
      <c r="E138" s="72" t="str">
        <f t="shared" ca="1" si="16"/>
        <v/>
      </c>
      <c r="F138" s="72" t="str">
        <f t="shared" ca="1" si="16"/>
        <v/>
      </c>
      <c r="G138" s="222" t="str">
        <f t="shared" ca="1" si="16"/>
        <v/>
      </c>
      <c r="P138" s="19"/>
    </row>
    <row r="139" spans="2:16" x14ac:dyDescent="0.2">
      <c r="B139" s="119" t="str">
        <f>IF(SETTINGS!$D$130="Yes",SETTINGS!H148,SETTINGS!E148)</f>
        <v>21y</v>
      </c>
      <c r="C139" s="69">
        <f ca="1">IF($B139="","",IF(ISTEXT($B139),paydate($M$14,crvgetcrncy($C$8),$B139),$B139))</f>
        <v>49121</v>
      </c>
      <c r="D139" s="71" t="str">
        <f t="shared" ca="1" si="16"/>
        <v/>
      </c>
      <c r="E139" s="72" t="str">
        <f t="shared" ca="1" si="16"/>
        <v/>
      </c>
      <c r="F139" s="72" t="str">
        <f t="shared" ca="1" si="16"/>
        <v/>
      </c>
      <c r="G139" s="222" t="str">
        <f t="shared" ca="1" si="16"/>
        <v/>
      </c>
      <c r="P139" s="19"/>
    </row>
    <row r="140" spans="2:16" ht="13.5" thickBot="1" x14ac:dyDescent="0.25">
      <c r="B140" s="212" t="str">
        <f>IF(SETTINGS!$D$130="Yes",SETTINGS!H149,SETTINGS!E149)</f>
        <v>26y</v>
      </c>
      <c r="C140" s="213">
        <f ca="1">IF($B140="","",IF(ISTEXT($B140),paydate($M$14,crvgetcrncy($C$8),$B140),$B140))</f>
        <v>50945</v>
      </c>
      <c r="D140" s="215" t="str">
        <f t="shared" ca="1" si="16"/>
        <v/>
      </c>
      <c r="E140" s="216" t="str">
        <f t="shared" ca="1" si="16"/>
        <v/>
      </c>
      <c r="F140" s="216" t="str">
        <f t="shared" ca="1" si="16"/>
        <v/>
      </c>
      <c r="G140" s="223" t="str">
        <f t="shared" ca="1" si="16"/>
        <v/>
      </c>
      <c r="P140" s="19"/>
    </row>
    <row r="141" spans="2:16" x14ac:dyDescent="0.2">
      <c r="P141" s="19"/>
    </row>
    <row r="142" spans="2:16" x14ac:dyDescent="0.2">
      <c r="P142" s="19"/>
    </row>
    <row r="143" spans="2:16" x14ac:dyDescent="0.2">
      <c r="P143" s="19"/>
    </row>
    <row r="144" spans="2:16" x14ac:dyDescent="0.2">
      <c r="P144" s="19"/>
    </row>
    <row r="145" spans="16:16" x14ac:dyDescent="0.2">
      <c r="P145" s="19"/>
    </row>
    <row r="146" spans="16:16" x14ac:dyDescent="0.2">
      <c r="P146" s="19"/>
    </row>
    <row r="147" spans="16:16" x14ac:dyDescent="0.2">
      <c r="P147" s="19"/>
    </row>
    <row r="148" spans="16:16" x14ac:dyDescent="0.2">
      <c r="P148" s="19"/>
    </row>
    <row r="149" spans="16:16" x14ac:dyDescent="0.2">
      <c r="P149" s="19"/>
    </row>
    <row r="150" spans="16:16" x14ac:dyDescent="0.2">
      <c r="P150" s="19"/>
    </row>
    <row r="151" spans="16:16" x14ac:dyDescent="0.2">
      <c r="P151" s="19"/>
    </row>
    <row r="152" spans="16:16" x14ac:dyDescent="0.2">
      <c r="P152" s="19"/>
    </row>
    <row r="153" spans="16:16" x14ac:dyDescent="0.2">
      <c r="P153" s="19"/>
    </row>
    <row r="154" spans="16:16" x14ac:dyDescent="0.2">
      <c r="P154" s="19"/>
    </row>
    <row r="155" spans="16:16" x14ac:dyDescent="0.2">
      <c r="P155" s="19"/>
    </row>
    <row r="156" spans="16:16" x14ac:dyDescent="0.2">
      <c r="P156" s="19"/>
    </row>
    <row r="157" spans="16:16" x14ac:dyDescent="0.2">
      <c r="P157" s="19"/>
    </row>
    <row r="158" spans="16:16" x14ac:dyDescent="0.2">
      <c r="P158" s="19"/>
    </row>
    <row r="159" spans="16:16" x14ac:dyDescent="0.2">
      <c r="P159" s="19"/>
    </row>
    <row r="160" spans="16:16" x14ac:dyDescent="0.2">
      <c r="P160" s="19"/>
    </row>
    <row r="161" spans="16:16" x14ac:dyDescent="0.2">
      <c r="P161" s="19"/>
    </row>
    <row r="162" spans="16:16" x14ac:dyDescent="0.2">
      <c r="P162" s="19"/>
    </row>
    <row r="163" spans="16:16" x14ac:dyDescent="0.2">
      <c r="P163" s="19"/>
    </row>
    <row r="164" spans="16:16" x14ac:dyDescent="0.2">
      <c r="P164" s="19"/>
    </row>
    <row r="165" spans="16:16" x14ac:dyDescent="0.2">
      <c r="P165" s="19"/>
    </row>
    <row r="166" spans="16:16" x14ac:dyDescent="0.2">
      <c r="P166" s="19"/>
    </row>
    <row r="167" spans="16:16" x14ac:dyDescent="0.2">
      <c r="P167" s="19"/>
    </row>
    <row r="168" spans="16:16" x14ac:dyDescent="0.2">
      <c r="P168" s="19"/>
    </row>
    <row r="169" spans="16:16" x14ac:dyDescent="0.2">
      <c r="P169" s="19"/>
    </row>
    <row r="170" spans="16:16" x14ac:dyDescent="0.2">
      <c r="P170" s="19"/>
    </row>
    <row r="171" spans="16:16" x14ac:dyDescent="0.2">
      <c r="P171" s="19"/>
    </row>
    <row r="172" spans="16:16" x14ac:dyDescent="0.2">
      <c r="P172" s="19"/>
    </row>
    <row r="173" spans="16:16" x14ac:dyDescent="0.2">
      <c r="P173" s="19"/>
    </row>
    <row r="174" spans="16:16" x14ac:dyDescent="0.2">
      <c r="P174" s="19"/>
    </row>
    <row r="175" spans="16:16" x14ac:dyDescent="0.2">
      <c r="P175" s="19"/>
    </row>
    <row r="176" spans="16:16" x14ac:dyDescent="0.2">
      <c r="P176" s="19"/>
    </row>
    <row r="177" spans="16:16" x14ac:dyDescent="0.2">
      <c r="P177" s="19"/>
    </row>
    <row r="178" spans="16:16" x14ac:dyDescent="0.2">
      <c r="P178" s="19"/>
    </row>
    <row r="179" spans="16:16" x14ac:dyDescent="0.2">
      <c r="P179" s="19"/>
    </row>
    <row r="180" spans="16:16" x14ac:dyDescent="0.2">
      <c r="P180" s="19"/>
    </row>
    <row r="181" spans="16:16" x14ac:dyDescent="0.2">
      <c r="P181" s="19"/>
    </row>
    <row r="182" spans="16:16" x14ac:dyDescent="0.2">
      <c r="P182" s="19"/>
    </row>
    <row r="183" spans="16:16" x14ac:dyDescent="0.2">
      <c r="P183" s="19"/>
    </row>
    <row r="184" spans="16:16" x14ac:dyDescent="0.2">
      <c r="P184" s="19"/>
    </row>
    <row r="185" spans="16:16" x14ac:dyDescent="0.2">
      <c r="P185" s="19"/>
    </row>
    <row r="186" spans="16:16" x14ac:dyDescent="0.2">
      <c r="P186" s="19"/>
    </row>
    <row r="187" spans="16:16" x14ac:dyDescent="0.2">
      <c r="P187" s="19"/>
    </row>
    <row r="188" spans="16:16" x14ac:dyDescent="0.2">
      <c r="P188" s="19"/>
    </row>
    <row r="189" spans="16:16" x14ac:dyDescent="0.2">
      <c r="P189" s="19"/>
    </row>
    <row r="190" spans="16:16" x14ac:dyDescent="0.2">
      <c r="P190" s="19"/>
    </row>
    <row r="191" spans="16:16" x14ac:dyDescent="0.2">
      <c r="P191" s="19"/>
    </row>
    <row r="192" spans="16:16" x14ac:dyDescent="0.2">
      <c r="P192" s="19"/>
    </row>
    <row r="193" spans="16:16" x14ac:dyDescent="0.2">
      <c r="P193" s="19"/>
    </row>
    <row r="194" spans="16:16" x14ac:dyDescent="0.2">
      <c r="P194" s="19"/>
    </row>
    <row r="195" spans="16:16" x14ac:dyDescent="0.2">
      <c r="P195" s="19"/>
    </row>
    <row r="196" spans="16:16" x14ac:dyDescent="0.2">
      <c r="P196" s="19"/>
    </row>
    <row r="197" spans="16:16" x14ac:dyDescent="0.2">
      <c r="P197" s="19"/>
    </row>
    <row r="198" spans="16:16" x14ac:dyDescent="0.2">
      <c r="P198" s="19"/>
    </row>
    <row r="199" spans="16:16" x14ac:dyDescent="0.2">
      <c r="P199" s="19"/>
    </row>
    <row r="200" spans="16:16" x14ac:dyDescent="0.2">
      <c r="P200" s="19"/>
    </row>
    <row r="201" spans="16:16" x14ac:dyDescent="0.2">
      <c r="P201" s="19"/>
    </row>
    <row r="202" spans="16:16" x14ac:dyDescent="0.2">
      <c r="P202" s="19"/>
    </row>
    <row r="203" spans="16:16" x14ac:dyDescent="0.2">
      <c r="P203" s="19"/>
    </row>
    <row r="204" spans="16:16" x14ac:dyDescent="0.2">
      <c r="P204" s="19"/>
    </row>
    <row r="205" spans="16:16" x14ac:dyDescent="0.2">
      <c r="P205" s="19"/>
    </row>
  </sheetData>
  <dataConsolidate/>
  <phoneticPr fontId="2" type="noConversion"/>
  <conditionalFormatting sqref="I8:I13 J69:J72 I38:I84 C38:C115 C123:C140 I109:I65536">
    <cfRule type="cellIs" dxfId="32" priority="85" stopIfTrue="1" operator="equal">
      <formula>"Sale"</formula>
    </cfRule>
    <cfRule type="cellIs" dxfId="31" priority="86" stopIfTrue="1" operator="equal">
      <formula>"Enhancement"</formula>
    </cfRule>
    <cfRule type="cellIs" dxfId="30" priority="87" stopIfTrue="1" operator="equal">
      <formula>"Development"</formula>
    </cfRule>
  </conditionalFormatting>
  <conditionalFormatting sqref="J8:J13 J38:J84 J109:J65536">
    <cfRule type="cellIs" dxfId="29" priority="88" stopIfTrue="1" operator="equal">
      <formula>"Potential"</formula>
    </cfRule>
    <cfRule type="cellIs" dxfId="28" priority="89" stopIfTrue="1" operator="equal">
      <formula>"Not Realized"</formula>
    </cfRule>
  </conditionalFormatting>
  <conditionalFormatting sqref="C104:C115">
    <cfRule type="cellIs" dxfId="27" priority="33" stopIfTrue="1" operator="equal">
      <formula>"Sale"</formula>
    </cfRule>
    <cfRule type="cellIs" dxfId="26" priority="34" stopIfTrue="1" operator="equal">
      <formula>"Enhancement"</formula>
    </cfRule>
    <cfRule type="cellIs" dxfId="25" priority="35" stopIfTrue="1" operator="equal">
      <formula>"Development"</formula>
    </cfRule>
  </conditionalFormatting>
  <conditionalFormatting sqref="C116">
    <cfRule type="cellIs" dxfId="24" priority="30" stopIfTrue="1" operator="equal">
      <formula>"Sale"</formula>
    </cfRule>
    <cfRule type="cellIs" dxfId="23" priority="31" stopIfTrue="1" operator="equal">
      <formula>"Enhancement"</formula>
    </cfRule>
    <cfRule type="cellIs" dxfId="22" priority="32" stopIfTrue="1" operator="equal">
      <formula>"Development"</formula>
    </cfRule>
  </conditionalFormatting>
  <conditionalFormatting sqref="C116">
    <cfRule type="cellIs" dxfId="21" priority="27" stopIfTrue="1" operator="equal">
      <formula>"Sale"</formula>
    </cfRule>
    <cfRule type="cellIs" dxfId="20" priority="28" stopIfTrue="1" operator="equal">
      <formula>"Enhancement"</formula>
    </cfRule>
    <cfRule type="cellIs" dxfId="19" priority="29" stopIfTrue="1" operator="equal">
      <formula>"Development"</formula>
    </cfRule>
  </conditionalFormatting>
  <conditionalFormatting sqref="C117:C122">
    <cfRule type="cellIs" dxfId="18" priority="19" stopIfTrue="1" operator="equal">
      <formula>"Sale"</formula>
    </cfRule>
    <cfRule type="cellIs" dxfId="17" priority="20" stopIfTrue="1" operator="equal">
      <formula>"Enhancement"</formula>
    </cfRule>
    <cfRule type="cellIs" dxfId="16" priority="21" stopIfTrue="1" operator="equal">
      <formula>"Development"</formula>
    </cfRule>
  </conditionalFormatting>
  <conditionalFormatting sqref="C117:C122">
    <cfRule type="cellIs" dxfId="15" priority="16" stopIfTrue="1" operator="equal">
      <formula>"Sale"</formula>
    </cfRule>
    <cfRule type="cellIs" dxfId="14" priority="17" stopIfTrue="1" operator="equal">
      <formula>"Enhancement"</formula>
    </cfRule>
    <cfRule type="cellIs" dxfId="13" priority="18" stopIfTrue="1" operator="equal">
      <formula>"Development"</formula>
    </cfRule>
  </conditionalFormatting>
  <dataValidations count="4">
    <dataValidation allowBlank="1" showInputMessage="1" showErrorMessage="1" errorTitle="Update Curve Values" error="Please refresh the curve from the &quot;MAIN&quot; tab. " sqref="C12 C8:C9 D8:D12"/>
    <dataValidation allowBlank="1" showInputMessage="1" errorTitle="Update Curve Values" error="Please refresh the curve from the &quot;MAIN&quot; tab. " sqref="C11"/>
    <dataValidation type="list" allowBlank="1" showInputMessage="1" showErrorMessage="1" sqref="M15">
      <formula1>"Conventional,ACT/ACT,ACT/360,ACT/365,30/360"</formula1>
    </dataValidation>
    <dataValidation type="list" allowBlank="1" showInputMessage="1" showErrorMessage="1" sqref="M16">
      <formula1>"Conventional,Simple,Y,S/A,Q,M"</formula1>
    </dataValidation>
  </dataValidations>
  <pageMargins left="0.75" right="0.75" top="1" bottom="1" header="0.5" footer="0.5"/>
  <pageSetup paperSize="9" scale="5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732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1</xdr:col>
                <xdr:colOff>838200</xdr:colOff>
                <xdr:row>2</xdr:row>
                <xdr:rowOff>19050</xdr:rowOff>
              </to>
            </anchor>
          </controlPr>
        </control>
      </mc:Choice>
      <mc:Fallback>
        <control shapeId="2373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48"/>
  </sheetPr>
  <dimension ref="A1:R395"/>
  <sheetViews>
    <sheetView showGridLines="0" workbookViewId="0"/>
  </sheetViews>
  <sheetFormatPr defaultRowHeight="12.75" x14ac:dyDescent="0.2"/>
  <cols>
    <col min="1" max="1" width="3.5703125" style="2" customWidth="1"/>
    <col min="2" max="2" width="8.5703125" style="23" customWidth="1"/>
    <col min="3" max="3" width="12.28515625" style="37" customWidth="1"/>
    <col min="4" max="4" width="12.28515625" style="38" customWidth="1"/>
    <col min="5" max="5" width="17.140625" style="14" customWidth="1"/>
    <col min="6" max="6" width="13.85546875" style="14" customWidth="1"/>
    <col min="7" max="7" width="10.85546875" style="14" customWidth="1"/>
    <col min="8" max="8" width="10.85546875" style="38" customWidth="1"/>
    <col min="9" max="9" width="11.5703125" style="14" customWidth="1"/>
    <col min="10" max="10" width="12.5703125" style="14" customWidth="1"/>
    <col min="11" max="11" width="16.42578125" style="14" customWidth="1"/>
    <col min="12" max="12" width="13.7109375" style="36" customWidth="1"/>
    <col min="13" max="16384" width="9.140625" style="36"/>
  </cols>
  <sheetData>
    <row r="1" spans="2:12" s="2" customFormat="1" x14ac:dyDescent="0.2">
      <c r="B1" s="26"/>
      <c r="H1" s="3"/>
    </row>
    <row r="2" spans="2:12" s="2" customFormat="1" x14ac:dyDescent="0.2">
      <c r="B2" s="26"/>
      <c r="H2" s="3"/>
    </row>
    <row r="3" spans="2:12" s="2" customFormat="1" x14ac:dyDescent="0.2">
      <c r="B3" s="26"/>
      <c r="H3" s="3"/>
    </row>
    <row r="4" spans="2:12" s="2" customFormat="1" x14ac:dyDescent="0.2">
      <c r="B4" s="26"/>
      <c r="H4" s="3"/>
      <c r="K4" s="25"/>
      <c r="L4" s="24"/>
    </row>
    <row r="5" spans="2:12" s="2" customFormat="1" x14ac:dyDescent="0.2">
      <c r="B5" s="26"/>
      <c r="H5" s="3"/>
      <c r="K5" s="25"/>
      <c r="L5" s="29"/>
    </row>
    <row r="6" spans="2:12" s="2" customFormat="1" ht="20.25" customHeight="1" x14ac:dyDescent="0.3">
      <c r="B6" s="30" t="s">
        <v>54</v>
      </c>
      <c r="C6" s="1"/>
      <c r="D6" s="1"/>
      <c r="E6" s="1"/>
      <c r="F6" s="1"/>
      <c r="H6" s="3"/>
    </row>
    <row r="7" spans="2:12" s="2" customFormat="1" x14ac:dyDescent="0.2">
      <c r="B7" s="27">
        <v>1</v>
      </c>
      <c r="H7" s="3"/>
      <c r="K7" s="19"/>
    </row>
    <row r="8" spans="2:12" s="2" customFormat="1" x14ac:dyDescent="0.2">
      <c r="B8" s="63" t="s">
        <v>55</v>
      </c>
      <c r="C8" s="76"/>
      <c r="D8" s="12"/>
      <c r="E8" s="23"/>
      <c r="F8" s="10"/>
      <c r="G8" s="10"/>
      <c r="H8" s="12"/>
      <c r="I8" s="10"/>
      <c r="J8" s="10"/>
      <c r="K8" s="13"/>
    </row>
    <row r="9" spans="2:12" x14ac:dyDescent="0.2">
      <c r="B9" s="6" t="s">
        <v>341</v>
      </c>
      <c r="K9" s="33"/>
    </row>
    <row r="10" spans="2:12" x14ac:dyDescent="0.2">
      <c r="B10" s="6" t="s">
        <v>342</v>
      </c>
      <c r="E10" s="38"/>
      <c r="K10" s="33"/>
    </row>
    <row r="11" spans="2:12" x14ac:dyDescent="0.2">
      <c r="B11" s="6" t="s">
        <v>56</v>
      </c>
      <c r="E11" s="17"/>
      <c r="K11" s="33"/>
    </row>
    <row r="12" spans="2:12" x14ac:dyDescent="0.2">
      <c r="B12" s="6" t="s">
        <v>343</v>
      </c>
      <c r="E12" s="38"/>
      <c r="K12" s="33"/>
    </row>
    <row r="13" spans="2:12" x14ac:dyDescent="0.2">
      <c r="B13" s="6" t="s">
        <v>57</v>
      </c>
      <c r="E13" s="17"/>
      <c r="K13" s="33"/>
    </row>
    <row r="14" spans="2:12" x14ac:dyDescent="0.2">
      <c r="B14" s="6" t="s">
        <v>259</v>
      </c>
      <c r="E14" s="17"/>
      <c r="K14" s="33"/>
    </row>
    <row r="15" spans="2:12" x14ac:dyDescent="0.2">
      <c r="B15" s="6" t="s">
        <v>58</v>
      </c>
      <c r="K15" s="33"/>
    </row>
    <row r="16" spans="2:12" x14ac:dyDescent="0.2">
      <c r="B16" s="6" t="s">
        <v>344</v>
      </c>
      <c r="K16" s="33"/>
    </row>
    <row r="17" spans="2:11" x14ac:dyDescent="0.2">
      <c r="B17" s="6" t="s">
        <v>345</v>
      </c>
      <c r="K17" s="33"/>
    </row>
    <row r="18" spans="2:11" x14ac:dyDescent="0.2">
      <c r="B18" s="6" t="s">
        <v>346</v>
      </c>
      <c r="K18" s="33"/>
    </row>
    <row r="19" spans="2:11" x14ac:dyDescent="0.2">
      <c r="B19" s="6" t="s">
        <v>260</v>
      </c>
      <c r="K19" s="33"/>
    </row>
    <row r="20" spans="2:11" x14ac:dyDescent="0.2">
      <c r="B20" s="6" t="s">
        <v>261</v>
      </c>
      <c r="K20" s="33"/>
    </row>
    <row r="21" spans="2:11" x14ac:dyDescent="0.2">
      <c r="B21" s="6" t="s">
        <v>30</v>
      </c>
      <c r="K21" s="33"/>
    </row>
    <row r="22" spans="2:11" x14ac:dyDescent="0.2">
      <c r="B22" s="6" t="s">
        <v>59</v>
      </c>
      <c r="K22" s="33"/>
    </row>
    <row r="23" spans="2:11" x14ac:dyDescent="0.2">
      <c r="B23" s="6" t="s">
        <v>45</v>
      </c>
      <c r="K23" s="33"/>
    </row>
    <row r="24" spans="2:11" x14ac:dyDescent="0.2">
      <c r="B24" s="6" t="s">
        <v>60</v>
      </c>
      <c r="K24" s="33"/>
    </row>
    <row r="25" spans="2:11" x14ac:dyDescent="0.2">
      <c r="B25" s="6" t="s">
        <v>61</v>
      </c>
      <c r="K25" s="33"/>
    </row>
    <row r="26" spans="2:11" x14ac:dyDescent="0.2">
      <c r="B26" s="6" t="s">
        <v>262</v>
      </c>
      <c r="K26" s="33"/>
    </row>
    <row r="27" spans="2:11" x14ac:dyDescent="0.2">
      <c r="B27" s="6" t="s">
        <v>347</v>
      </c>
      <c r="K27" s="33"/>
    </row>
    <row r="28" spans="2:11" x14ac:dyDescent="0.2">
      <c r="B28" s="6" t="s">
        <v>348</v>
      </c>
      <c r="K28" s="33"/>
    </row>
    <row r="29" spans="2:11" x14ac:dyDescent="0.2">
      <c r="B29" s="6" t="s">
        <v>263</v>
      </c>
      <c r="K29" s="33"/>
    </row>
    <row r="30" spans="2:11" x14ac:dyDescent="0.2">
      <c r="B30" s="6" t="s">
        <v>349</v>
      </c>
      <c r="K30" s="33"/>
    </row>
    <row r="31" spans="2:11" x14ac:dyDescent="0.2">
      <c r="B31" s="6" t="s">
        <v>62</v>
      </c>
      <c r="K31" s="33"/>
    </row>
    <row r="32" spans="2:11" x14ac:dyDescent="0.2">
      <c r="B32" s="6" t="s">
        <v>350</v>
      </c>
      <c r="K32" s="33"/>
    </row>
    <row r="33" spans="1:18" x14ac:dyDescent="0.2">
      <c r="B33" s="6" t="s">
        <v>351</v>
      </c>
      <c r="E33" s="36"/>
      <c r="K33" s="33"/>
    </row>
    <row r="34" spans="1:18" x14ac:dyDescent="0.2">
      <c r="B34" s="23" t="s">
        <v>264</v>
      </c>
      <c r="K34" s="33"/>
    </row>
    <row r="35" spans="1:18" x14ac:dyDescent="0.2">
      <c r="B35" s="6" t="s">
        <v>265</v>
      </c>
      <c r="K35" s="33"/>
    </row>
    <row r="36" spans="1:18" x14ac:dyDescent="0.2">
      <c r="A36"/>
      <c r="B36" t="s">
        <v>266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8" x14ac:dyDescent="0.2">
      <c r="A37" s="36"/>
      <c r="B37" s="36" t="s">
        <v>267</v>
      </c>
      <c r="C37"/>
      <c r="D37" s="200">
        <v>1</v>
      </c>
      <c r="E37" s="200">
        <v>3</v>
      </c>
      <c r="F37" s="200">
        <v>6</v>
      </c>
      <c r="G37" s="200">
        <v>12</v>
      </c>
      <c r="H37" s="200"/>
      <c r="I37"/>
      <c r="J37"/>
      <c r="K37"/>
      <c r="L37"/>
      <c r="M37"/>
      <c r="N37"/>
      <c r="O37"/>
      <c r="P37"/>
      <c r="Q37"/>
      <c r="R37"/>
    </row>
    <row r="38" spans="1:18" x14ac:dyDescent="0.2">
      <c r="A38" s="36"/>
      <c r="B38" s="36" t="s">
        <v>268</v>
      </c>
      <c r="C38">
        <v>0.25</v>
      </c>
      <c r="D38" s="201" t="str">
        <f>D$37&amp;"Mx"&amp;$H38*12-D$37&amp;"M"</f>
        <v>1Mx2M</v>
      </c>
      <c r="E38" s="201" t="s">
        <v>339</v>
      </c>
      <c r="F38" s="201" t="s">
        <v>339</v>
      </c>
      <c r="G38" s="201" t="s">
        <v>339</v>
      </c>
      <c r="H38" s="200">
        <v>0.25</v>
      </c>
      <c r="I38"/>
      <c r="J38"/>
      <c r="K38"/>
      <c r="L38"/>
      <c r="M38"/>
      <c r="N38"/>
      <c r="O38"/>
      <c r="P38"/>
      <c r="Q38"/>
      <c r="R38"/>
    </row>
    <row r="39" spans="1:18" x14ac:dyDescent="0.2">
      <c r="A39" s="36"/>
      <c r="B39" s="36" t="s">
        <v>269</v>
      </c>
      <c r="C39">
        <v>0.5</v>
      </c>
      <c r="D39" s="201" t="str">
        <f t="shared" ref="D39:G55" si="0">D$37&amp;"Mx"&amp;$H39*12-D$37&amp;"M"</f>
        <v>1Mx5M</v>
      </c>
      <c r="E39" s="201" t="str">
        <f t="shared" si="0"/>
        <v>3Mx3M</v>
      </c>
      <c r="F39" s="201" t="s">
        <v>339</v>
      </c>
      <c r="G39" s="201" t="s">
        <v>339</v>
      </c>
      <c r="H39" s="200">
        <v>0.5</v>
      </c>
      <c r="I39"/>
      <c r="J39"/>
      <c r="K39"/>
      <c r="L39"/>
      <c r="M39"/>
      <c r="N39"/>
      <c r="O39"/>
      <c r="P39"/>
      <c r="Q39"/>
      <c r="R39"/>
    </row>
    <row r="40" spans="1:18" x14ac:dyDescent="0.2">
      <c r="A40" s="36"/>
      <c r="B40" s="36" t="s">
        <v>270</v>
      </c>
      <c r="C40">
        <v>0.75</v>
      </c>
      <c r="D40" s="98" t="str">
        <f t="shared" si="0"/>
        <v>1Mx8M</v>
      </c>
      <c r="E40" s="98" t="str">
        <f t="shared" si="0"/>
        <v>3Mx6M</v>
      </c>
      <c r="F40" s="98" t="str">
        <f t="shared" si="0"/>
        <v>6Mx3M</v>
      </c>
      <c r="G40" s="201" t="s">
        <v>339</v>
      </c>
      <c r="H40">
        <v>0.75</v>
      </c>
      <c r="I40"/>
      <c r="J40"/>
      <c r="K40"/>
      <c r="L40"/>
      <c r="M40"/>
      <c r="N40"/>
      <c r="O40"/>
      <c r="P40"/>
      <c r="Q40"/>
      <c r="R40"/>
    </row>
    <row r="41" spans="1:18" x14ac:dyDescent="0.2">
      <c r="A41" s="36"/>
      <c r="B41" s="36" t="s">
        <v>352</v>
      </c>
      <c r="C41">
        <v>1</v>
      </c>
      <c r="D41" s="98" t="str">
        <f t="shared" si="0"/>
        <v>1Mx11M</v>
      </c>
      <c r="E41" s="98" t="str">
        <f t="shared" si="0"/>
        <v>3Mx9M</v>
      </c>
      <c r="F41" s="98" t="str">
        <f t="shared" si="0"/>
        <v>6Mx6M</v>
      </c>
      <c r="G41" s="201" t="s">
        <v>339</v>
      </c>
      <c r="H41">
        <v>1</v>
      </c>
      <c r="I41"/>
      <c r="J41"/>
      <c r="K41"/>
      <c r="L41"/>
      <c r="M41"/>
      <c r="N41"/>
      <c r="O41"/>
      <c r="P41"/>
      <c r="Q41"/>
      <c r="R41"/>
    </row>
    <row r="42" spans="1:18" x14ac:dyDescent="0.2">
      <c r="A42" s="36"/>
      <c r="B42" s="36" t="s">
        <v>271</v>
      </c>
      <c r="C42">
        <v>2</v>
      </c>
      <c r="D42" s="98" t="str">
        <f t="shared" si="0"/>
        <v>1Mx23M</v>
      </c>
      <c r="E42" s="98" t="str">
        <f t="shared" si="0"/>
        <v>3Mx21M</v>
      </c>
      <c r="F42" s="98" t="str">
        <f t="shared" si="0"/>
        <v>6Mx18M</v>
      </c>
      <c r="G42" t="str">
        <f t="shared" si="0"/>
        <v>12Mx12M</v>
      </c>
      <c r="H42">
        <v>2</v>
      </c>
      <c r="I42"/>
      <c r="J42"/>
      <c r="K42"/>
      <c r="L42"/>
      <c r="M42"/>
      <c r="N42"/>
      <c r="O42"/>
      <c r="P42"/>
      <c r="Q42"/>
      <c r="R42"/>
    </row>
    <row r="43" spans="1:18" x14ac:dyDescent="0.2">
      <c r="A43" s="36"/>
      <c r="B43" s="36" t="s">
        <v>353</v>
      </c>
      <c r="C43">
        <v>3</v>
      </c>
      <c r="D43" s="98" t="str">
        <f t="shared" si="0"/>
        <v>1Mx35M</v>
      </c>
      <c r="E43" s="98" t="str">
        <f t="shared" si="0"/>
        <v>3Mx33M</v>
      </c>
      <c r="F43" s="98" t="str">
        <f t="shared" si="0"/>
        <v>6Mx30M</v>
      </c>
      <c r="G43" t="str">
        <f t="shared" si="0"/>
        <v>12Mx24M</v>
      </c>
      <c r="H43">
        <v>3</v>
      </c>
      <c r="I43"/>
      <c r="J43"/>
      <c r="K43"/>
      <c r="L43"/>
      <c r="M43"/>
      <c r="N43"/>
      <c r="O43"/>
      <c r="P43"/>
      <c r="Q43"/>
      <c r="R43"/>
    </row>
    <row r="44" spans="1:18" x14ac:dyDescent="0.2">
      <c r="A44" s="36"/>
      <c r="B44" s="36" t="s">
        <v>272</v>
      </c>
      <c r="C44">
        <v>4</v>
      </c>
      <c r="D44" s="98" t="str">
        <f t="shared" si="0"/>
        <v>1Mx47M</v>
      </c>
      <c r="E44" s="98" t="str">
        <f t="shared" si="0"/>
        <v>3Mx45M</v>
      </c>
      <c r="F44" s="98" t="str">
        <f t="shared" si="0"/>
        <v>6Mx42M</v>
      </c>
      <c r="G44" t="str">
        <f t="shared" si="0"/>
        <v>12Mx36M</v>
      </c>
      <c r="H44">
        <v>4</v>
      </c>
      <c r="I44"/>
      <c r="J44"/>
      <c r="K44"/>
      <c r="L44"/>
      <c r="M44"/>
      <c r="N44"/>
      <c r="O44"/>
      <c r="P44"/>
      <c r="Q44"/>
      <c r="R44"/>
    </row>
    <row r="45" spans="1:18" x14ac:dyDescent="0.2">
      <c r="A45" s="36"/>
      <c r="B45" s="36" t="s">
        <v>273</v>
      </c>
      <c r="C45">
        <v>5</v>
      </c>
      <c r="D45" s="98" t="str">
        <f t="shared" si="0"/>
        <v>1Mx59M</v>
      </c>
      <c r="E45" s="98" t="str">
        <f t="shared" si="0"/>
        <v>3Mx57M</v>
      </c>
      <c r="F45" s="98" t="str">
        <f t="shared" si="0"/>
        <v>6Mx54M</v>
      </c>
      <c r="G45" t="str">
        <f t="shared" si="0"/>
        <v>12Mx48M</v>
      </c>
      <c r="H45">
        <v>5</v>
      </c>
      <c r="I45"/>
      <c r="J45"/>
      <c r="K45"/>
      <c r="L45"/>
      <c r="M45"/>
      <c r="N45"/>
      <c r="O45"/>
      <c r="P45"/>
      <c r="Q45"/>
      <c r="R45"/>
    </row>
    <row r="46" spans="1:18" x14ac:dyDescent="0.2">
      <c r="A46" s="36"/>
      <c r="B46" s="36" t="s">
        <v>274</v>
      </c>
      <c r="C46">
        <v>6</v>
      </c>
      <c r="D46" s="98" t="str">
        <f t="shared" si="0"/>
        <v>1Mx71M</v>
      </c>
      <c r="E46" s="98" t="str">
        <f t="shared" si="0"/>
        <v>3Mx69M</v>
      </c>
      <c r="F46" s="98" t="str">
        <f t="shared" si="0"/>
        <v>6Mx66M</v>
      </c>
      <c r="G46" t="str">
        <f t="shared" si="0"/>
        <v>12Mx60M</v>
      </c>
      <c r="H46">
        <v>6</v>
      </c>
      <c r="I46"/>
      <c r="J46"/>
      <c r="K46" t="s">
        <v>180</v>
      </c>
      <c r="L46"/>
      <c r="M46"/>
      <c r="N46"/>
      <c r="O46"/>
      <c r="P46"/>
      <c r="Q46"/>
      <c r="R46"/>
    </row>
    <row r="47" spans="1:18" x14ac:dyDescent="0.2">
      <c r="A47" s="36"/>
      <c r="B47" s="36" t="s">
        <v>354</v>
      </c>
      <c r="C47">
        <v>7</v>
      </c>
      <c r="D47" s="98" t="str">
        <f t="shared" si="0"/>
        <v>1Mx83M</v>
      </c>
      <c r="E47" s="98" t="str">
        <f t="shared" si="0"/>
        <v>3Mx81M</v>
      </c>
      <c r="F47" s="98" t="str">
        <f t="shared" si="0"/>
        <v>6Mx78M</v>
      </c>
      <c r="G47" t="str">
        <f t="shared" si="0"/>
        <v>12Mx72M</v>
      </c>
      <c r="H47">
        <v>7</v>
      </c>
      <c r="I47"/>
      <c r="J47"/>
      <c r="K47" t="s">
        <v>179</v>
      </c>
      <c r="L47"/>
      <c r="M47"/>
      <c r="N47"/>
      <c r="O47"/>
      <c r="P47"/>
      <c r="Q47"/>
      <c r="R47"/>
    </row>
    <row r="48" spans="1:18" x14ac:dyDescent="0.2">
      <c r="A48" s="36"/>
      <c r="B48" s="36" t="s">
        <v>355</v>
      </c>
      <c r="C48">
        <v>8</v>
      </c>
      <c r="D48" s="98" t="str">
        <f t="shared" si="0"/>
        <v>1Mx95M</v>
      </c>
      <c r="E48" s="98" t="str">
        <f t="shared" si="0"/>
        <v>3Mx93M</v>
      </c>
      <c r="F48" s="98" t="str">
        <f t="shared" si="0"/>
        <v>6Mx90M</v>
      </c>
      <c r="G48" t="str">
        <f t="shared" si="0"/>
        <v>12Mx84M</v>
      </c>
      <c r="H48">
        <v>8</v>
      </c>
      <c r="I48"/>
      <c r="J48"/>
      <c r="K48" t="s">
        <v>178</v>
      </c>
      <c r="L48"/>
      <c r="M48"/>
      <c r="N48"/>
      <c r="O48"/>
      <c r="P48"/>
      <c r="Q48"/>
      <c r="R48"/>
    </row>
    <row r="49" spans="1:18" x14ac:dyDescent="0.2">
      <c r="A49" s="36"/>
      <c r="B49" s="36" t="s">
        <v>46</v>
      </c>
      <c r="C49">
        <v>9</v>
      </c>
      <c r="D49" s="98" t="str">
        <f t="shared" si="0"/>
        <v>1Mx107M</v>
      </c>
      <c r="E49" s="98" t="str">
        <f t="shared" si="0"/>
        <v>3Mx105M</v>
      </c>
      <c r="F49" s="98" t="str">
        <f t="shared" si="0"/>
        <v>6Mx102M</v>
      </c>
      <c r="G49" t="str">
        <f t="shared" si="0"/>
        <v>12Mx96M</v>
      </c>
      <c r="H49">
        <v>9</v>
      </c>
      <c r="I49"/>
      <c r="J49"/>
      <c r="K49" t="s">
        <v>326</v>
      </c>
      <c r="L49"/>
      <c r="M49"/>
      <c r="N49"/>
      <c r="O49"/>
      <c r="P49"/>
      <c r="Q49"/>
      <c r="R49"/>
    </row>
    <row r="50" spans="1:18" x14ac:dyDescent="0.2">
      <c r="A50" s="36"/>
      <c r="B50" s="36" t="s">
        <v>356</v>
      </c>
      <c r="C50">
        <v>10</v>
      </c>
      <c r="D50" s="98" t="str">
        <f t="shared" si="0"/>
        <v>1Mx119M</v>
      </c>
      <c r="E50" s="98" t="str">
        <f t="shared" si="0"/>
        <v>3Mx117M</v>
      </c>
      <c r="F50" s="98" t="str">
        <f t="shared" si="0"/>
        <v>6Mx114M</v>
      </c>
      <c r="G50" t="str">
        <f t="shared" si="0"/>
        <v>12Mx108M</v>
      </c>
      <c r="H50">
        <v>10</v>
      </c>
      <c r="I50"/>
      <c r="J50"/>
      <c r="K50" t="s">
        <v>186</v>
      </c>
      <c r="M50"/>
      <c r="N50"/>
      <c r="O50"/>
      <c r="P50"/>
      <c r="Q50"/>
      <c r="R50"/>
    </row>
    <row r="51" spans="1:18" x14ac:dyDescent="0.2">
      <c r="A51" s="36"/>
      <c r="B51" s="36" t="s">
        <v>275</v>
      </c>
      <c r="C51">
        <v>12</v>
      </c>
      <c r="D51" s="98" t="str">
        <f t="shared" si="0"/>
        <v>1Mx143M</v>
      </c>
      <c r="E51" s="98" t="str">
        <f t="shared" si="0"/>
        <v>3Mx141M</v>
      </c>
      <c r="F51" s="98" t="str">
        <f t="shared" si="0"/>
        <v>6Mx138M</v>
      </c>
      <c r="G51" t="str">
        <f t="shared" si="0"/>
        <v>12Mx132M</v>
      </c>
      <c r="H51">
        <v>12</v>
      </c>
      <c r="I51"/>
      <c r="J51"/>
      <c r="K51" t="s">
        <v>185</v>
      </c>
      <c r="M51"/>
      <c r="N51"/>
      <c r="O51"/>
      <c r="P51"/>
      <c r="Q51"/>
      <c r="R51"/>
    </row>
    <row r="52" spans="1:18" x14ac:dyDescent="0.2">
      <c r="A52" s="36"/>
      <c r="B52" s="36"/>
      <c r="C52">
        <v>15</v>
      </c>
      <c r="D52" s="98" t="str">
        <f t="shared" si="0"/>
        <v>1Mx179M</v>
      </c>
      <c r="E52" s="98" t="str">
        <f t="shared" si="0"/>
        <v>3Mx177M</v>
      </c>
      <c r="F52" s="98" t="str">
        <f t="shared" si="0"/>
        <v>6Mx174M</v>
      </c>
      <c r="G52" t="str">
        <f t="shared" si="0"/>
        <v>12Mx168M</v>
      </c>
      <c r="H52">
        <v>15</v>
      </c>
      <c r="I52"/>
      <c r="J52"/>
      <c r="K52" t="s">
        <v>184</v>
      </c>
      <c r="M52"/>
      <c r="N52"/>
      <c r="O52"/>
      <c r="P52"/>
      <c r="Q52"/>
      <c r="R52"/>
    </row>
    <row r="53" spans="1:18" x14ac:dyDescent="0.2">
      <c r="A53" s="36"/>
      <c r="B53" s="36"/>
      <c r="C53">
        <v>20</v>
      </c>
      <c r="D53" s="98" t="str">
        <f t="shared" si="0"/>
        <v>1Mx239M</v>
      </c>
      <c r="E53" s="98" t="str">
        <f t="shared" si="0"/>
        <v>3Mx237M</v>
      </c>
      <c r="F53" s="98" t="str">
        <f t="shared" si="0"/>
        <v>6Mx234M</v>
      </c>
      <c r="G53" t="str">
        <f t="shared" si="0"/>
        <v>12Mx228M</v>
      </c>
      <c r="H53">
        <v>20</v>
      </c>
      <c r="I53"/>
      <c r="J53"/>
      <c r="K53" t="s">
        <v>327</v>
      </c>
      <c r="M53"/>
      <c r="N53"/>
      <c r="O53"/>
      <c r="P53"/>
      <c r="Q53"/>
      <c r="R53"/>
    </row>
    <row r="54" spans="1:18" x14ac:dyDescent="0.2">
      <c r="A54" s="36"/>
      <c r="B54" s="36"/>
      <c r="C54">
        <v>25</v>
      </c>
      <c r="D54" s="98" t="str">
        <f t="shared" si="0"/>
        <v>1Mx299M</v>
      </c>
      <c r="E54" s="98" t="str">
        <f t="shared" si="0"/>
        <v>3Mx297M</v>
      </c>
      <c r="F54" s="98" t="str">
        <f t="shared" si="0"/>
        <v>6Mx294M</v>
      </c>
      <c r="G54" t="str">
        <f t="shared" si="0"/>
        <v>12Mx288M</v>
      </c>
      <c r="H54">
        <v>25</v>
      </c>
      <c r="I54"/>
      <c r="J54"/>
      <c r="K54" t="s">
        <v>189</v>
      </c>
      <c r="L54"/>
      <c r="M54"/>
      <c r="N54"/>
      <c r="O54"/>
      <c r="P54"/>
      <c r="Q54"/>
      <c r="R54"/>
    </row>
    <row r="55" spans="1:18" x14ac:dyDescent="0.2">
      <c r="A55" s="36"/>
      <c r="B55" s="36"/>
      <c r="C55">
        <v>30</v>
      </c>
      <c r="D55" s="98" t="str">
        <f t="shared" si="0"/>
        <v>1Mx359M</v>
      </c>
      <c r="E55" s="98" t="str">
        <f t="shared" si="0"/>
        <v>3Mx357M</v>
      </c>
      <c r="F55" s="98" t="str">
        <f t="shared" si="0"/>
        <v>6Mx354M</v>
      </c>
      <c r="G55" t="str">
        <f t="shared" si="0"/>
        <v>12Mx348M</v>
      </c>
      <c r="H55">
        <v>30</v>
      </c>
      <c r="I55"/>
      <c r="J55"/>
      <c r="K55" t="s">
        <v>188</v>
      </c>
      <c r="L55"/>
      <c r="M55"/>
      <c r="N55"/>
      <c r="O55"/>
      <c r="P55"/>
      <c r="Q55"/>
      <c r="R55"/>
    </row>
    <row r="56" spans="1:18" x14ac:dyDescent="0.2">
      <c r="A56" s="36"/>
      <c r="B56" s="36"/>
      <c r="C56"/>
      <c r="D56">
        <v>1</v>
      </c>
      <c r="E56">
        <v>3</v>
      </c>
      <c r="F56">
        <v>6</v>
      </c>
      <c r="G56">
        <v>12</v>
      </c>
      <c r="H56"/>
      <c r="I56"/>
      <c r="J56"/>
      <c r="K56" t="s">
        <v>187</v>
      </c>
      <c r="L56"/>
      <c r="M56"/>
      <c r="N56"/>
      <c r="O56"/>
      <c r="P56"/>
      <c r="Q56"/>
      <c r="R56"/>
    </row>
    <row r="57" spans="1:18" x14ac:dyDescent="0.2">
      <c r="A57" s="36"/>
      <c r="B57" s="36"/>
      <c r="C57">
        <v>0.25</v>
      </c>
      <c r="D57" t="str">
        <f t="shared" ref="D57:E60" si="1">$H57*12-D$56&amp;"m"</f>
        <v>2m</v>
      </c>
      <c r="E57" t="str">
        <f t="shared" si="1"/>
        <v>0m</v>
      </c>
      <c r="F57" t="s">
        <v>309</v>
      </c>
      <c r="G57" t="s">
        <v>309</v>
      </c>
      <c r="H57">
        <v>0.25</v>
      </c>
      <c r="I57"/>
      <c r="J57"/>
      <c r="K57" t="s">
        <v>328</v>
      </c>
      <c r="L57"/>
      <c r="M57"/>
      <c r="N57"/>
      <c r="O57"/>
      <c r="P57"/>
      <c r="Q57"/>
      <c r="R57"/>
    </row>
    <row r="58" spans="1:18" x14ac:dyDescent="0.2">
      <c r="A58" s="36"/>
      <c r="B58" s="36"/>
      <c r="C58">
        <v>0.5</v>
      </c>
      <c r="D58" t="str">
        <f t="shared" si="1"/>
        <v>5m</v>
      </c>
      <c r="E58" t="str">
        <f t="shared" si="1"/>
        <v>3m</v>
      </c>
      <c r="F58" t="str">
        <f>$H58*12-F$56&amp;"m"</f>
        <v>0m</v>
      </c>
      <c r="G58" t="s">
        <v>309</v>
      </c>
      <c r="H58">
        <v>0.5</v>
      </c>
      <c r="I58"/>
      <c r="J58"/>
      <c r="K58"/>
      <c r="L58"/>
      <c r="M58"/>
      <c r="N58"/>
      <c r="O58"/>
      <c r="P58"/>
      <c r="Q58"/>
      <c r="R58"/>
    </row>
    <row r="59" spans="1:18" x14ac:dyDescent="0.2">
      <c r="A59" s="36"/>
      <c r="B59" s="36"/>
      <c r="C59">
        <v>0.75</v>
      </c>
      <c r="D59" t="str">
        <f t="shared" si="1"/>
        <v>8m</v>
      </c>
      <c r="E59" t="str">
        <f t="shared" si="1"/>
        <v>6m</v>
      </c>
      <c r="F59" t="str">
        <f>$H59*12-F$56&amp;"m"</f>
        <v>3m</v>
      </c>
      <c r="G59" t="s">
        <v>309</v>
      </c>
      <c r="H59">
        <v>0.75</v>
      </c>
      <c r="I59"/>
      <c r="J59"/>
      <c r="K59"/>
      <c r="L59"/>
      <c r="M59"/>
      <c r="N59"/>
      <c r="O59"/>
      <c r="P59"/>
      <c r="Q59"/>
      <c r="R59"/>
    </row>
    <row r="60" spans="1:18" x14ac:dyDescent="0.2">
      <c r="A60" s="36"/>
      <c r="B60" s="36"/>
      <c r="C60">
        <v>1</v>
      </c>
      <c r="D60" t="str">
        <f t="shared" si="1"/>
        <v>11m</v>
      </c>
      <c r="E60" t="str">
        <f t="shared" si="1"/>
        <v>9m</v>
      </c>
      <c r="F60" t="str">
        <f>$H60*12-F$56&amp;"m"</f>
        <v>6m</v>
      </c>
      <c r="G60" t="str">
        <f>$H60*12-G$56&amp;"m"</f>
        <v>0m</v>
      </c>
      <c r="H60">
        <v>1</v>
      </c>
      <c r="I60"/>
      <c r="J60"/>
      <c r="K60" s="36"/>
      <c r="L60"/>
      <c r="M60"/>
      <c r="N60"/>
      <c r="O60"/>
      <c r="P60"/>
      <c r="Q60"/>
      <c r="R60"/>
    </row>
    <row r="61" spans="1:18" x14ac:dyDescent="0.2">
      <c r="A61" s="36"/>
      <c r="B61" s="36"/>
      <c r="C61">
        <v>2</v>
      </c>
      <c r="D61" t="str">
        <f t="shared" ref="D61:G74" si="2">ROUNDDOWN(($H61*12-D$56)/12,0)&amp;"y"&amp;(($H61*12-D$56)/12-(ROUNDDOWN(($H61*12-D$56)/12,0)))*12&amp;"m"</f>
        <v>1y11m</v>
      </c>
      <c r="E61" t="str">
        <f t="shared" si="2"/>
        <v>1y9m</v>
      </c>
      <c r="F61" t="str">
        <f t="shared" si="2"/>
        <v>1y6m</v>
      </c>
      <c r="G61" t="str">
        <f t="shared" si="2"/>
        <v>1y0m</v>
      </c>
      <c r="H61">
        <v>2</v>
      </c>
      <c r="I61"/>
      <c r="J61"/>
      <c r="K61"/>
      <c r="L61"/>
      <c r="M61"/>
      <c r="N61"/>
      <c r="O61"/>
      <c r="P61"/>
      <c r="Q61"/>
      <c r="R61"/>
    </row>
    <row r="62" spans="1:18" x14ac:dyDescent="0.2">
      <c r="A62" s="36"/>
      <c r="B62" s="36"/>
      <c r="C62">
        <v>3</v>
      </c>
      <c r="D62" t="str">
        <f t="shared" si="2"/>
        <v>2y11m</v>
      </c>
      <c r="E62" t="str">
        <f t="shared" si="2"/>
        <v>2y9m</v>
      </c>
      <c r="F62" t="str">
        <f t="shared" si="2"/>
        <v>2y6m</v>
      </c>
      <c r="G62" t="str">
        <f t="shared" si="2"/>
        <v>2y0m</v>
      </c>
      <c r="H62">
        <v>3</v>
      </c>
      <c r="I62"/>
      <c r="J62"/>
      <c r="K62"/>
      <c r="L62"/>
      <c r="M62"/>
      <c r="N62"/>
      <c r="O62"/>
      <c r="P62"/>
      <c r="Q62"/>
      <c r="R62"/>
    </row>
    <row r="63" spans="1:18" x14ac:dyDescent="0.2">
      <c r="A63" s="36"/>
      <c r="B63" s="36"/>
      <c r="C63">
        <v>4</v>
      </c>
      <c r="D63" t="str">
        <f t="shared" si="2"/>
        <v>3y11m</v>
      </c>
      <c r="E63" t="str">
        <f t="shared" si="2"/>
        <v>3y9m</v>
      </c>
      <c r="F63" t="str">
        <f t="shared" si="2"/>
        <v>3y6m</v>
      </c>
      <c r="G63" t="str">
        <f t="shared" si="2"/>
        <v>3y0m</v>
      </c>
      <c r="H63">
        <v>4</v>
      </c>
      <c r="I63"/>
      <c r="J63"/>
      <c r="K63"/>
      <c r="L63"/>
      <c r="M63"/>
      <c r="N63"/>
      <c r="O63"/>
      <c r="P63"/>
      <c r="Q63"/>
      <c r="R63"/>
    </row>
    <row r="64" spans="1:18" x14ac:dyDescent="0.2">
      <c r="A64" s="36"/>
      <c r="B64" s="36"/>
      <c r="C64">
        <v>5</v>
      </c>
      <c r="D64" t="str">
        <f t="shared" si="2"/>
        <v>4y11m</v>
      </c>
      <c r="E64" t="str">
        <f t="shared" si="2"/>
        <v>4y9m</v>
      </c>
      <c r="F64" t="str">
        <f t="shared" si="2"/>
        <v>4y6m</v>
      </c>
      <c r="G64" t="str">
        <f t="shared" si="2"/>
        <v>4y0m</v>
      </c>
      <c r="H64">
        <v>5</v>
      </c>
      <c r="I64"/>
      <c r="J64"/>
      <c r="K64"/>
      <c r="L64"/>
      <c r="M64"/>
      <c r="N64"/>
      <c r="O64"/>
      <c r="P64"/>
      <c r="Q64"/>
      <c r="R64"/>
    </row>
    <row r="65" spans="1:18" x14ac:dyDescent="0.2">
      <c r="A65" s="36"/>
      <c r="B65" s="36"/>
      <c r="C65">
        <v>6</v>
      </c>
      <c r="D65" t="str">
        <f t="shared" si="2"/>
        <v>5y11m</v>
      </c>
      <c r="E65" t="str">
        <f t="shared" si="2"/>
        <v>5y9m</v>
      </c>
      <c r="F65" t="str">
        <f t="shared" si="2"/>
        <v>5y6m</v>
      </c>
      <c r="G65" t="str">
        <f t="shared" si="2"/>
        <v>5y0m</v>
      </c>
      <c r="H65">
        <v>6</v>
      </c>
      <c r="I65"/>
      <c r="J65"/>
      <c r="K65"/>
      <c r="L65"/>
      <c r="M65"/>
      <c r="N65"/>
      <c r="O65"/>
      <c r="P65"/>
      <c r="Q65"/>
      <c r="R65"/>
    </row>
    <row r="66" spans="1:18" x14ac:dyDescent="0.2">
      <c r="A66" s="36"/>
      <c r="B66" s="36"/>
      <c r="C66">
        <v>7</v>
      </c>
      <c r="D66" t="str">
        <f t="shared" si="2"/>
        <v>6y11m</v>
      </c>
      <c r="E66" t="str">
        <f t="shared" si="2"/>
        <v>6y9m</v>
      </c>
      <c r="F66" t="str">
        <f t="shared" si="2"/>
        <v>6y6m</v>
      </c>
      <c r="G66" t="str">
        <f t="shared" si="2"/>
        <v>6y0m</v>
      </c>
      <c r="H66">
        <v>7</v>
      </c>
      <c r="I66"/>
      <c r="J66"/>
      <c r="K66"/>
      <c r="L66"/>
      <c r="M66"/>
      <c r="N66"/>
      <c r="O66"/>
      <c r="P66"/>
      <c r="Q66"/>
      <c r="R66"/>
    </row>
    <row r="67" spans="1:18" x14ac:dyDescent="0.2">
      <c r="A67" s="36"/>
      <c r="B67" s="36"/>
      <c r="C67">
        <v>8</v>
      </c>
      <c r="D67" t="str">
        <f t="shared" si="2"/>
        <v>7y11m</v>
      </c>
      <c r="E67" t="str">
        <f t="shared" si="2"/>
        <v>7y9m</v>
      </c>
      <c r="F67" t="str">
        <f t="shared" si="2"/>
        <v>7y6m</v>
      </c>
      <c r="G67" t="str">
        <f t="shared" si="2"/>
        <v>7y0m</v>
      </c>
      <c r="H67">
        <v>8</v>
      </c>
      <c r="I67"/>
      <c r="J67"/>
      <c r="K67"/>
      <c r="L67"/>
      <c r="M67"/>
      <c r="N67"/>
      <c r="O67"/>
      <c r="P67"/>
      <c r="Q67"/>
      <c r="R67"/>
    </row>
    <row r="68" spans="1:18" x14ac:dyDescent="0.2">
      <c r="A68" s="36"/>
      <c r="B68" s="36"/>
      <c r="C68">
        <v>9</v>
      </c>
      <c r="D68" t="str">
        <f t="shared" si="2"/>
        <v>8y11m</v>
      </c>
      <c r="E68" t="str">
        <f t="shared" si="2"/>
        <v>8y9m</v>
      </c>
      <c r="F68" t="str">
        <f t="shared" si="2"/>
        <v>8y6m</v>
      </c>
      <c r="G68" t="str">
        <f t="shared" si="2"/>
        <v>8y0m</v>
      </c>
      <c r="H68">
        <v>9</v>
      </c>
      <c r="I68"/>
      <c r="J68"/>
      <c r="K68"/>
      <c r="L68"/>
      <c r="M68"/>
      <c r="N68"/>
      <c r="O68"/>
      <c r="P68"/>
      <c r="Q68"/>
      <c r="R68"/>
    </row>
    <row r="69" spans="1:18" x14ac:dyDescent="0.2">
      <c r="A69" s="36"/>
      <c r="B69" s="36"/>
      <c r="C69">
        <v>10</v>
      </c>
      <c r="D69" t="str">
        <f t="shared" si="2"/>
        <v>9y11m</v>
      </c>
      <c r="E69" t="str">
        <f t="shared" si="2"/>
        <v>9y9m</v>
      </c>
      <c r="F69" t="str">
        <f t="shared" si="2"/>
        <v>9y6m</v>
      </c>
      <c r="G69" t="str">
        <f t="shared" si="2"/>
        <v>9y0m</v>
      </c>
      <c r="H69">
        <v>10</v>
      </c>
      <c r="I69"/>
      <c r="J69"/>
      <c r="K69"/>
      <c r="L69"/>
      <c r="M69"/>
      <c r="N69"/>
      <c r="O69"/>
      <c r="P69"/>
      <c r="Q69"/>
      <c r="R69"/>
    </row>
    <row r="70" spans="1:18" x14ac:dyDescent="0.2">
      <c r="A70" s="36"/>
      <c r="B70" s="36"/>
      <c r="C70">
        <v>12</v>
      </c>
      <c r="D70" t="str">
        <f t="shared" si="2"/>
        <v>11y11m</v>
      </c>
      <c r="E70" t="str">
        <f t="shared" si="2"/>
        <v>11y9m</v>
      </c>
      <c r="F70" t="str">
        <f t="shared" si="2"/>
        <v>11y6m</v>
      </c>
      <c r="G70" t="str">
        <f t="shared" si="2"/>
        <v>11y0m</v>
      </c>
      <c r="H70">
        <v>12</v>
      </c>
      <c r="I70"/>
      <c r="J70"/>
      <c r="K70"/>
      <c r="L70"/>
      <c r="M70"/>
      <c r="N70"/>
      <c r="O70"/>
      <c r="P70"/>
      <c r="Q70"/>
      <c r="R70"/>
    </row>
    <row r="71" spans="1:18" x14ac:dyDescent="0.2">
      <c r="A71" s="36"/>
      <c r="B71" s="36"/>
      <c r="C71">
        <v>15</v>
      </c>
      <c r="D71" t="str">
        <f t="shared" si="2"/>
        <v>14y11m</v>
      </c>
      <c r="E71" t="str">
        <f t="shared" si="2"/>
        <v>14y9m</v>
      </c>
      <c r="F71" t="str">
        <f t="shared" si="2"/>
        <v>14y6m</v>
      </c>
      <c r="G71" t="str">
        <f t="shared" si="2"/>
        <v>14y0m</v>
      </c>
      <c r="H71">
        <v>15</v>
      </c>
      <c r="I71"/>
      <c r="J71"/>
      <c r="K71"/>
      <c r="L71"/>
      <c r="M71"/>
      <c r="N71"/>
      <c r="O71"/>
      <c r="P71"/>
      <c r="Q71"/>
      <c r="R71"/>
    </row>
    <row r="72" spans="1:18" x14ac:dyDescent="0.2">
      <c r="A72" s="36"/>
      <c r="B72" s="36"/>
      <c r="C72">
        <v>20</v>
      </c>
      <c r="D72" t="str">
        <f t="shared" si="2"/>
        <v>19y11m</v>
      </c>
      <c r="E72" t="str">
        <f t="shared" si="2"/>
        <v>19y9m</v>
      </c>
      <c r="F72" t="str">
        <f t="shared" si="2"/>
        <v>19y6m</v>
      </c>
      <c r="G72" t="str">
        <f t="shared" si="2"/>
        <v>19y0m</v>
      </c>
      <c r="H72">
        <v>20</v>
      </c>
      <c r="I72"/>
      <c r="J72"/>
      <c r="K72"/>
      <c r="L72"/>
      <c r="M72"/>
      <c r="N72"/>
      <c r="O72"/>
      <c r="P72"/>
      <c r="Q72"/>
      <c r="R72"/>
    </row>
    <row r="73" spans="1:18" x14ac:dyDescent="0.2">
      <c r="A73" s="36"/>
      <c r="B73" s="36"/>
      <c r="C73">
        <v>25</v>
      </c>
      <c r="D73" t="str">
        <f t="shared" si="2"/>
        <v>24y11m</v>
      </c>
      <c r="E73" t="str">
        <f t="shared" si="2"/>
        <v>24y9m</v>
      </c>
      <c r="F73" t="str">
        <f t="shared" si="2"/>
        <v>24y6m</v>
      </c>
      <c r="G73" t="str">
        <f t="shared" si="2"/>
        <v>24y0m</v>
      </c>
      <c r="H73">
        <v>25</v>
      </c>
      <c r="I73"/>
      <c r="J73"/>
      <c r="K73"/>
      <c r="L73"/>
      <c r="M73"/>
      <c r="N73"/>
      <c r="O73"/>
      <c r="P73"/>
      <c r="Q73"/>
      <c r="R73"/>
    </row>
    <row r="74" spans="1:18" x14ac:dyDescent="0.2">
      <c r="A74" s="36"/>
      <c r="B74" s="36"/>
      <c r="C74">
        <v>30</v>
      </c>
      <c r="D74" t="str">
        <f t="shared" si="2"/>
        <v>29y11m</v>
      </c>
      <c r="E74" t="str">
        <f t="shared" si="2"/>
        <v>29y9m</v>
      </c>
      <c r="F74" t="str">
        <f t="shared" si="2"/>
        <v>29y6m</v>
      </c>
      <c r="G74" t="str">
        <f t="shared" si="2"/>
        <v>29y0m</v>
      </c>
      <c r="H74">
        <v>30</v>
      </c>
      <c r="I74"/>
      <c r="J74"/>
      <c r="K74"/>
      <c r="L74"/>
      <c r="M74"/>
      <c r="N74"/>
      <c r="O74"/>
      <c r="P74"/>
      <c r="Q74"/>
      <c r="R74"/>
    </row>
    <row r="75" spans="1:18" x14ac:dyDescent="0.2">
      <c r="A75" s="36"/>
      <c r="B75" s="36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">
      <c r="A76" s="36"/>
      <c r="B76" s="36"/>
      <c r="C76"/>
      <c r="D76">
        <v>1</v>
      </c>
      <c r="E76">
        <v>1</v>
      </c>
      <c r="F76">
        <v>3</v>
      </c>
      <c r="G76">
        <v>3</v>
      </c>
      <c r="H76">
        <v>6</v>
      </c>
      <c r="I76">
        <v>6</v>
      </c>
      <c r="J76">
        <v>12</v>
      </c>
      <c r="K76">
        <v>12</v>
      </c>
      <c r="L76"/>
      <c r="M76"/>
      <c r="N76"/>
      <c r="O76"/>
      <c r="P76"/>
      <c r="Q76"/>
      <c r="R76"/>
    </row>
    <row r="77" spans="1:18" x14ac:dyDescent="0.2">
      <c r="A77" s="36"/>
      <c r="B77" s="36"/>
      <c r="C77" s="98" t="s">
        <v>213</v>
      </c>
      <c r="D77" s="98" t="str">
        <f t="shared" ref="D77:D87" si="3">D$76&amp;"Mx"&amp;$L77*12-D$76&amp;"M"</f>
        <v>1Mx11M</v>
      </c>
      <c r="E77" t="str">
        <f t="shared" ref="E77:E87" si="4">E$76&amp;"Mx"&amp;$M77*12-E$76&amp;"M"</f>
        <v>1Mx23M</v>
      </c>
      <c r="F77" s="98" t="str">
        <f t="shared" ref="F77:F87" si="5">F$76&amp;"Mx"&amp;$L77*12-F$76&amp;"M"</f>
        <v>3Mx9M</v>
      </c>
      <c r="G77" t="str">
        <f t="shared" ref="G77:G87" si="6">G$76&amp;"Mx"&amp;$M77*12-G$76&amp;"M"</f>
        <v>3Mx21M</v>
      </c>
      <c r="H77" s="98" t="str">
        <f t="shared" ref="H77:H87" si="7">H$76&amp;"Mx"&amp;$L77*12-H$76&amp;"M"</f>
        <v>6Mx6M</v>
      </c>
      <c r="I77" t="str">
        <f t="shared" ref="I77:I87" si="8">I$76&amp;"Mx"&amp;$M77*12-I$76&amp;"M"</f>
        <v>6Mx18M</v>
      </c>
      <c r="J77" s="98" t="str">
        <f t="shared" ref="J77:J87" si="9">J$76&amp;"Mx"&amp;$L77*12-J$76&amp;"M"</f>
        <v>12Mx0M</v>
      </c>
      <c r="K77" t="str">
        <f t="shared" ref="K77:K87" si="10">K$76&amp;"Mx"&amp;$M77*12-K$76&amp;"M"</f>
        <v>12Mx12M</v>
      </c>
      <c r="L77">
        <v>1</v>
      </c>
      <c r="M77">
        <v>2</v>
      </c>
      <c r="N77"/>
      <c r="O77"/>
      <c r="P77"/>
      <c r="Q77"/>
      <c r="R77"/>
    </row>
    <row r="78" spans="1:18" x14ac:dyDescent="0.2">
      <c r="A78" s="36"/>
      <c r="B78" s="36"/>
      <c r="C78" s="98" t="s">
        <v>214</v>
      </c>
      <c r="D78" s="98" t="str">
        <f t="shared" si="3"/>
        <v>1Mx23M</v>
      </c>
      <c r="E78" t="str">
        <f t="shared" si="4"/>
        <v>1Mx35M</v>
      </c>
      <c r="F78" s="98" t="str">
        <f t="shared" si="5"/>
        <v>3Mx21M</v>
      </c>
      <c r="G78" t="str">
        <f t="shared" si="6"/>
        <v>3Mx33M</v>
      </c>
      <c r="H78" s="98" t="str">
        <f t="shared" si="7"/>
        <v>6Mx18M</v>
      </c>
      <c r="I78" t="str">
        <f t="shared" si="8"/>
        <v>6Mx30M</v>
      </c>
      <c r="J78" s="98" t="str">
        <f t="shared" si="9"/>
        <v>12Mx12M</v>
      </c>
      <c r="K78" t="str">
        <f t="shared" si="10"/>
        <v>12Mx24M</v>
      </c>
      <c r="L78">
        <v>2</v>
      </c>
      <c r="M78">
        <v>3</v>
      </c>
      <c r="N78"/>
      <c r="O78"/>
      <c r="P78"/>
      <c r="Q78"/>
      <c r="R78"/>
    </row>
    <row r="79" spans="1:18" x14ac:dyDescent="0.2">
      <c r="A79" s="36"/>
      <c r="B79" s="36"/>
      <c r="C79" s="98" t="s">
        <v>215</v>
      </c>
      <c r="D79" s="98" t="str">
        <f t="shared" si="3"/>
        <v>1Mx23M</v>
      </c>
      <c r="E79" t="str">
        <f t="shared" si="4"/>
        <v>1Mx59M</v>
      </c>
      <c r="F79" s="98" t="str">
        <f t="shared" si="5"/>
        <v>3Mx21M</v>
      </c>
      <c r="G79" t="str">
        <f t="shared" si="6"/>
        <v>3Mx57M</v>
      </c>
      <c r="H79" s="98" t="str">
        <f t="shared" si="7"/>
        <v>6Mx18M</v>
      </c>
      <c r="I79" t="str">
        <f t="shared" si="8"/>
        <v>6Mx54M</v>
      </c>
      <c r="J79" s="98" t="str">
        <f t="shared" si="9"/>
        <v>12Mx12M</v>
      </c>
      <c r="K79" t="str">
        <f t="shared" si="10"/>
        <v>12Mx48M</v>
      </c>
      <c r="L79">
        <v>2</v>
      </c>
      <c r="M79">
        <v>5</v>
      </c>
      <c r="N79"/>
      <c r="O79"/>
      <c r="P79"/>
      <c r="Q79"/>
      <c r="R79"/>
    </row>
    <row r="80" spans="1:18" x14ac:dyDescent="0.2">
      <c r="A80" s="36"/>
      <c r="B80" s="36"/>
      <c r="C80" s="98" t="s">
        <v>216</v>
      </c>
      <c r="D80" s="98" t="str">
        <f t="shared" si="3"/>
        <v>1Mx23M</v>
      </c>
      <c r="E80" t="str">
        <f t="shared" si="4"/>
        <v>1Mx119M</v>
      </c>
      <c r="F80" s="98" t="str">
        <f t="shared" si="5"/>
        <v>3Mx21M</v>
      </c>
      <c r="G80" t="str">
        <f t="shared" si="6"/>
        <v>3Mx117M</v>
      </c>
      <c r="H80" s="98" t="str">
        <f t="shared" si="7"/>
        <v>6Mx18M</v>
      </c>
      <c r="I80" t="str">
        <f t="shared" si="8"/>
        <v>6Mx114M</v>
      </c>
      <c r="J80" s="98" t="str">
        <f t="shared" si="9"/>
        <v>12Mx12M</v>
      </c>
      <c r="K80" t="str">
        <f t="shared" si="10"/>
        <v>12Mx108M</v>
      </c>
      <c r="L80">
        <v>2</v>
      </c>
      <c r="M80">
        <v>10</v>
      </c>
      <c r="N80"/>
      <c r="O80"/>
      <c r="P80"/>
      <c r="Q80"/>
      <c r="R80"/>
    </row>
    <row r="81" spans="1:18" x14ac:dyDescent="0.2">
      <c r="A81" s="36"/>
      <c r="B81" s="36"/>
      <c r="C81" s="98" t="s">
        <v>217</v>
      </c>
      <c r="D81" s="98" t="str">
        <f t="shared" si="3"/>
        <v>1Mx35M</v>
      </c>
      <c r="E81" t="str">
        <f t="shared" si="4"/>
        <v>1Mx59M</v>
      </c>
      <c r="F81" s="98" t="str">
        <f t="shared" si="5"/>
        <v>3Mx33M</v>
      </c>
      <c r="G81" t="str">
        <f t="shared" si="6"/>
        <v>3Mx57M</v>
      </c>
      <c r="H81" s="98" t="str">
        <f t="shared" si="7"/>
        <v>6Mx30M</v>
      </c>
      <c r="I81" t="str">
        <f t="shared" si="8"/>
        <v>6Mx54M</v>
      </c>
      <c r="J81" s="98" t="str">
        <f t="shared" si="9"/>
        <v>12Mx24M</v>
      </c>
      <c r="K81" t="str">
        <f t="shared" si="10"/>
        <v>12Mx48M</v>
      </c>
      <c r="L81">
        <v>3</v>
      </c>
      <c r="M81">
        <v>5</v>
      </c>
      <c r="N81"/>
      <c r="O81"/>
      <c r="P81"/>
      <c r="Q81"/>
      <c r="R81"/>
    </row>
    <row r="82" spans="1:18" x14ac:dyDescent="0.2">
      <c r="A82" s="36"/>
      <c r="B82" s="36"/>
      <c r="C82" s="98" t="s">
        <v>218</v>
      </c>
      <c r="D82" s="98" t="str">
        <f t="shared" si="3"/>
        <v>1Mx35M</v>
      </c>
      <c r="E82" t="str">
        <f t="shared" si="4"/>
        <v>1Mx83M</v>
      </c>
      <c r="F82" s="98" t="str">
        <f t="shared" si="5"/>
        <v>3Mx33M</v>
      </c>
      <c r="G82" t="str">
        <f t="shared" si="6"/>
        <v>3Mx81M</v>
      </c>
      <c r="H82" s="98" t="str">
        <f t="shared" si="7"/>
        <v>6Mx30M</v>
      </c>
      <c r="I82" t="str">
        <f t="shared" si="8"/>
        <v>6Mx78M</v>
      </c>
      <c r="J82" s="98" t="str">
        <f t="shared" si="9"/>
        <v>12Mx24M</v>
      </c>
      <c r="K82" t="str">
        <f t="shared" si="10"/>
        <v>12Mx72M</v>
      </c>
      <c r="L82">
        <v>3</v>
      </c>
      <c r="M82">
        <v>7</v>
      </c>
      <c r="N82"/>
      <c r="O82"/>
      <c r="P82"/>
      <c r="Q82"/>
      <c r="R82"/>
    </row>
    <row r="83" spans="1:18" x14ac:dyDescent="0.2">
      <c r="A83" s="36"/>
      <c r="B83" s="36"/>
      <c r="C83" s="98" t="s">
        <v>219</v>
      </c>
      <c r="D83" s="98" t="str">
        <f t="shared" si="3"/>
        <v>1Mx59M</v>
      </c>
      <c r="E83" t="str">
        <f t="shared" si="4"/>
        <v>1Mx83M</v>
      </c>
      <c r="F83" s="98" t="str">
        <f t="shared" si="5"/>
        <v>3Mx57M</v>
      </c>
      <c r="G83" t="str">
        <f t="shared" si="6"/>
        <v>3Mx81M</v>
      </c>
      <c r="H83" s="98" t="str">
        <f t="shared" si="7"/>
        <v>6Mx54M</v>
      </c>
      <c r="I83" t="str">
        <f t="shared" si="8"/>
        <v>6Mx78M</v>
      </c>
      <c r="J83" s="98" t="str">
        <f t="shared" si="9"/>
        <v>12Mx48M</v>
      </c>
      <c r="K83" t="str">
        <f t="shared" si="10"/>
        <v>12Mx72M</v>
      </c>
      <c r="L83">
        <v>5</v>
      </c>
      <c r="M83">
        <v>7</v>
      </c>
      <c r="N83"/>
      <c r="O83"/>
      <c r="P83"/>
      <c r="Q83"/>
      <c r="R83"/>
    </row>
    <row r="84" spans="1:18" x14ac:dyDescent="0.2">
      <c r="A84" s="36"/>
      <c r="B84" s="36"/>
      <c r="C84" s="98" t="s">
        <v>220</v>
      </c>
      <c r="D84" s="98" t="str">
        <f t="shared" si="3"/>
        <v>1Mx59M</v>
      </c>
      <c r="E84" t="str">
        <f t="shared" si="4"/>
        <v>1Mx119M</v>
      </c>
      <c r="F84" s="98" t="str">
        <f t="shared" si="5"/>
        <v>3Mx57M</v>
      </c>
      <c r="G84" t="str">
        <f t="shared" si="6"/>
        <v>3Mx117M</v>
      </c>
      <c r="H84" s="98" t="str">
        <f t="shared" si="7"/>
        <v>6Mx54M</v>
      </c>
      <c r="I84" t="str">
        <f t="shared" si="8"/>
        <v>6Mx114M</v>
      </c>
      <c r="J84" s="98" t="str">
        <f t="shared" si="9"/>
        <v>12Mx48M</v>
      </c>
      <c r="K84" t="str">
        <f t="shared" si="10"/>
        <v>12Mx108M</v>
      </c>
      <c r="L84">
        <v>5</v>
      </c>
      <c r="M84">
        <v>10</v>
      </c>
      <c r="N84"/>
      <c r="O84"/>
      <c r="P84"/>
      <c r="Q84"/>
      <c r="R84"/>
    </row>
    <row r="85" spans="1:18" x14ac:dyDescent="0.2">
      <c r="A85" s="36"/>
      <c r="B85" s="36"/>
      <c r="C85" s="98" t="s">
        <v>221</v>
      </c>
      <c r="D85" s="98" t="str">
        <f t="shared" si="3"/>
        <v>1Mx83M</v>
      </c>
      <c r="E85" t="str">
        <f t="shared" si="4"/>
        <v>1Mx119M</v>
      </c>
      <c r="F85" s="98" t="str">
        <f t="shared" si="5"/>
        <v>3Mx81M</v>
      </c>
      <c r="G85" t="str">
        <f t="shared" si="6"/>
        <v>3Mx117M</v>
      </c>
      <c r="H85" s="98" t="str">
        <f t="shared" si="7"/>
        <v>6Mx78M</v>
      </c>
      <c r="I85" t="str">
        <f t="shared" si="8"/>
        <v>6Mx114M</v>
      </c>
      <c r="J85" s="98" t="str">
        <f t="shared" si="9"/>
        <v>12Mx72M</v>
      </c>
      <c r="K85" t="str">
        <f t="shared" si="10"/>
        <v>12Mx108M</v>
      </c>
      <c r="L85">
        <v>7</v>
      </c>
      <c r="M85">
        <v>10</v>
      </c>
      <c r="N85"/>
      <c r="O85"/>
      <c r="P85"/>
      <c r="Q85"/>
      <c r="R85"/>
    </row>
    <row r="86" spans="1:18" x14ac:dyDescent="0.2">
      <c r="A86" s="36"/>
      <c r="B86" s="36"/>
      <c r="C86" s="98" t="s">
        <v>222</v>
      </c>
      <c r="D86" s="98" t="str">
        <f t="shared" si="3"/>
        <v>1Mx119M</v>
      </c>
      <c r="E86" t="str">
        <f t="shared" si="4"/>
        <v>1Mx143M</v>
      </c>
      <c r="F86" s="98" t="str">
        <f t="shared" si="5"/>
        <v>3Mx117M</v>
      </c>
      <c r="G86" t="str">
        <f t="shared" si="6"/>
        <v>3Mx141M</v>
      </c>
      <c r="H86" s="98" t="str">
        <f t="shared" si="7"/>
        <v>6Mx114M</v>
      </c>
      <c r="I86" t="str">
        <f t="shared" si="8"/>
        <v>6Mx138M</v>
      </c>
      <c r="J86" s="98" t="str">
        <f t="shared" si="9"/>
        <v>12Mx108M</v>
      </c>
      <c r="K86" t="str">
        <f t="shared" si="10"/>
        <v>12Mx132M</v>
      </c>
      <c r="L86">
        <v>10</v>
      </c>
      <c r="M86">
        <v>12</v>
      </c>
      <c r="N86"/>
      <c r="O86"/>
      <c r="P86"/>
      <c r="Q86"/>
      <c r="R86"/>
    </row>
    <row r="87" spans="1:18" x14ac:dyDescent="0.2">
      <c r="A87" s="36"/>
      <c r="B87" s="36"/>
      <c r="C87" s="98" t="s">
        <v>223</v>
      </c>
      <c r="D87" s="98" t="str">
        <f t="shared" si="3"/>
        <v>1Mx119M</v>
      </c>
      <c r="E87" t="str">
        <f t="shared" si="4"/>
        <v>1Mx179M</v>
      </c>
      <c r="F87" s="98" t="str">
        <f t="shared" si="5"/>
        <v>3Mx117M</v>
      </c>
      <c r="G87" t="str">
        <f t="shared" si="6"/>
        <v>3Mx177M</v>
      </c>
      <c r="H87" s="98" t="str">
        <f t="shared" si="7"/>
        <v>6Mx114M</v>
      </c>
      <c r="I87" t="str">
        <f t="shared" si="8"/>
        <v>6Mx174M</v>
      </c>
      <c r="J87" s="98" t="str">
        <f t="shared" si="9"/>
        <v>12Mx108M</v>
      </c>
      <c r="K87" t="str">
        <f t="shared" si="10"/>
        <v>12Mx168M</v>
      </c>
      <c r="L87">
        <v>10</v>
      </c>
      <c r="M87">
        <v>15</v>
      </c>
      <c r="N87"/>
      <c r="O87"/>
      <c r="P87"/>
      <c r="Q87"/>
      <c r="R87"/>
    </row>
    <row r="88" spans="1:18" x14ac:dyDescent="0.2">
      <c r="A88" s="36"/>
      <c r="B88" s="36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">
      <c r="A89" s="36"/>
      <c r="B89" s="36"/>
      <c r="C89"/>
      <c r="D89">
        <v>1</v>
      </c>
      <c r="E89">
        <v>1</v>
      </c>
      <c r="F89">
        <v>3</v>
      </c>
      <c r="G89">
        <v>3</v>
      </c>
      <c r="H89">
        <v>6</v>
      </c>
      <c r="I89">
        <v>6</v>
      </c>
      <c r="J89">
        <v>12</v>
      </c>
      <c r="K89">
        <v>12</v>
      </c>
      <c r="L89"/>
      <c r="M89"/>
      <c r="N89"/>
      <c r="O89"/>
      <c r="P89"/>
      <c r="Q89"/>
      <c r="R89"/>
    </row>
    <row r="90" spans="1:18" x14ac:dyDescent="0.2">
      <c r="A90" s="36"/>
      <c r="B90" s="36"/>
      <c r="C90" s="98" t="s">
        <v>213</v>
      </c>
      <c r="D90" t="str">
        <f>$L90*12-D$89&amp;"m"</f>
        <v>11m</v>
      </c>
      <c r="E90" t="str">
        <f t="shared" ref="E90:E100" si="11">ROUNDDOWN(($M90*12-E$89)/12,0)&amp;"y"&amp;(($M90*12-E$89)/12-(ROUNDDOWN(($M90*12-E$89)/12,0)))*12&amp;"m"</f>
        <v>1y11m</v>
      </c>
      <c r="F90" t="str">
        <f>$L90*12-F89&amp;"m"</f>
        <v>9m</v>
      </c>
      <c r="G90" t="str">
        <f>ROUNDDOWN(($M90*12-G89)/12,0)&amp;"y"&amp;(($M90*12-G89)/12-(ROUNDDOWN(($M90*12-G89)/12,0)))*12&amp;"m"</f>
        <v>1y9m</v>
      </c>
      <c r="H90" t="str">
        <f>$L90*12-H89&amp;"m"</f>
        <v>6m</v>
      </c>
      <c r="I90" t="str">
        <f>ROUNDDOWN(($M90*12-I89)/12,0)&amp;"y"&amp;(($M90*12-I89)/12-(ROUNDDOWN(($M90*12-I89)/12,0)))*12&amp;"m"</f>
        <v>1y6m</v>
      </c>
      <c r="J90" t="str">
        <f>$L90*12-J89&amp;"m"</f>
        <v>0m</v>
      </c>
      <c r="K90" t="str">
        <f>ROUNDDOWN(($M90*12-K89)/12,0)&amp;"y"&amp;(($M90*12-K89)/12-(ROUNDDOWN(($M90*12-K89)/12,0)))*12&amp;"m"</f>
        <v>1y0m</v>
      </c>
      <c r="L90">
        <v>1</v>
      </c>
      <c r="M90">
        <v>2</v>
      </c>
      <c r="N90"/>
      <c r="O90"/>
      <c r="P90"/>
      <c r="Q90"/>
      <c r="R90"/>
    </row>
    <row r="91" spans="1:18" x14ac:dyDescent="0.2">
      <c r="A91" s="36"/>
      <c r="B91" s="36"/>
      <c r="C91" s="98" t="s">
        <v>214</v>
      </c>
      <c r="D91" t="str">
        <f t="shared" ref="D91:D100" si="12">ROUNDDOWN(($L91*12-D$89)/12,0)&amp;"y"&amp;(($L91*12-D$89)/12-(ROUNDDOWN(($L91*12-D$89)/12,0)))*12&amp;"m"</f>
        <v>1y11m</v>
      </c>
      <c r="E91" t="str">
        <f t="shared" si="11"/>
        <v>2y11m</v>
      </c>
      <c r="F91" t="str">
        <f t="shared" ref="F91:F100" si="13">ROUNDDOWN(($L91*12-F$89)/12,0)&amp;"y"&amp;(($L91*12-F$89)/12-(ROUNDDOWN(($L91*12-F$89)/12,0)))*12&amp;"m"</f>
        <v>1y9m</v>
      </c>
      <c r="G91" t="str">
        <f t="shared" ref="G91:G100" si="14">ROUNDDOWN(($M91*12-G$89)/12,0)&amp;"y"&amp;(($M91*12-G$89)/12-(ROUNDDOWN(($M91*12-G$89)/12,0)))*12&amp;"m"</f>
        <v>2y9m</v>
      </c>
      <c r="H91" t="str">
        <f t="shared" ref="H91:H100" si="15">ROUNDDOWN(($L91*12-H$89)/12,0)&amp;"y"&amp;(($L91*12-H$89)/12-(ROUNDDOWN(($L91*12-H$89)/12,0)))*12&amp;"m"</f>
        <v>1y6m</v>
      </c>
      <c r="I91" t="str">
        <f t="shared" ref="I91:I100" si="16">ROUNDDOWN(($M91*12-I$89)/12,0)&amp;"y"&amp;(($M91*12-I$89)/12-(ROUNDDOWN(($M91*12-I$89)/12,0)))*12&amp;"m"</f>
        <v>2y6m</v>
      </c>
      <c r="J91" t="str">
        <f t="shared" ref="J91:J100" si="17">ROUNDDOWN(($L91*12-J$89)/12,0)&amp;"y"&amp;(($L91*12-J$89)/12-(ROUNDDOWN(($L91*12-J$89)/12,0)))*12&amp;"m"</f>
        <v>1y0m</v>
      </c>
      <c r="K91" t="str">
        <f t="shared" ref="K91:K100" si="18">ROUNDDOWN(($M91*12-K$89)/12,0)&amp;"y"&amp;(($M91*12-K$89)/12-(ROUNDDOWN(($M91*12-K$89)/12,0)))*12&amp;"m"</f>
        <v>2y0m</v>
      </c>
      <c r="L91">
        <v>2</v>
      </c>
      <c r="M91">
        <v>3</v>
      </c>
      <c r="N91"/>
      <c r="O91"/>
      <c r="P91"/>
      <c r="Q91"/>
      <c r="R91"/>
    </row>
    <row r="92" spans="1:18" x14ac:dyDescent="0.2">
      <c r="A92" s="36"/>
      <c r="B92" s="36"/>
      <c r="C92" s="98" t="s">
        <v>215</v>
      </c>
      <c r="D92" t="str">
        <f t="shared" si="12"/>
        <v>1y11m</v>
      </c>
      <c r="E92" t="str">
        <f t="shared" si="11"/>
        <v>4y11m</v>
      </c>
      <c r="F92" t="str">
        <f t="shared" si="13"/>
        <v>1y9m</v>
      </c>
      <c r="G92" t="str">
        <f t="shared" si="14"/>
        <v>4y9m</v>
      </c>
      <c r="H92" t="str">
        <f t="shared" si="15"/>
        <v>1y6m</v>
      </c>
      <c r="I92" t="str">
        <f t="shared" si="16"/>
        <v>4y6m</v>
      </c>
      <c r="J92" t="str">
        <f t="shared" si="17"/>
        <v>1y0m</v>
      </c>
      <c r="K92" t="str">
        <f t="shared" si="18"/>
        <v>4y0m</v>
      </c>
      <c r="L92">
        <v>2</v>
      </c>
      <c r="M92">
        <v>5</v>
      </c>
      <c r="N92"/>
      <c r="O92"/>
      <c r="P92"/>
      <c r="Q92"/>
      <c r="R92"/>
    </row>
    <row r="93" spans="1:18" x14ac:dyDescent="0.2">
      <c r="A93" s="36"/>
      <c r="B93" s="36"/>
      <c r="C93" s="98" t="s">
        <v>216</v>
      </c>
      <c r="D93" t="str">
        <f t="shared" si="12"/>
        <v>1y11m</v>
      </c>
      <c r="E93" t="str">
        <f t="shared" si="11"/>
        <v>9y11m</v>
      </c>
      <c r="F93" t="str">
        <f t="shared" si="13"/>
        <v>1y9m</v>
      </c>
      <c r="G93" t="str">
        <f t="shared" si="14"/>
        <v>9y9m</v>
      </c>
      <c r="H93" t="str">
        <f t="shared" si="15"/>
        <v>1y6m</v>
      </c>
      <c r="I93" t="str">
        <f t="shared" si="16"/>
        <v>9y6m</v>
      </c>
      <c r="J93" t="str">
        <f t="shared" si="17"/>
        <v>1y0m</v>
      </c>
      <c r="K93" t="str">
        <f t="shared" si="18"/>
        <v>9y0m</v>
      </c>
      <c r="L93">
        <v>2</v>
      </c>
      <c r="M93">
        <v>10</v>
      </c>
      <c r="N93"/>
      <c r="O93"/>
      <c r="P93"/>
      <c r="Q93"/>
      <c r="R93"/>
    </row>
    <row r="94" spans="1:18" x14ac:dyDescent="0.2">
      <c r="A94" s="36"/>
      <c r="B94" s="36"/>
      <c r="C94" s="98" t="s">
        <v>217</v>
      </c>
      <c r="D94" t="str">
        <f t="shared" si="12"/>
        <v>2y11m</v>
      </c>
      <c r="E94" t="str">
        <f t="shared" si="11"/>
        <v>4y11m</v>
      </c>
      <c r="F94" t="str">
        <f t="shared" si="13"/>
        <v>2y9m</v>
      </c>
      <c r="G94" t="str">
        <f t="shared" si="14"/>
        <v>4y9m</v>
      </c>
      <c r="H94" t="str">
        <f t="shared" si="15"/>
        <v>2y6m</v>
      </c>
      <c r="I94" t="str">
        <f t="shared" si="16"/>
        <v>4y6m</v>
      </c>
      <c r="J94" t="str">
        <f t="shared" si="17"/>
        <v>2y0m</v>
      </c>
      <c r="K94" t="str">
        <f t="shared" si="18"/>
        <v>4y0m</v>
      </c>
      <c r="L94">
        <v>3</v>
      </c>
      <c r="M94">
        <v>5</v>
      </c>
      <c r="N94"/>
      <c r="O94"/>
      <c r="P94"/>
      <c r="Q94"/>
      <c r="R94"/>
    </row>
    <row r="95" spans="1:18" x14ac:dyDescent="0.2">
      <c r="A95" s="36"/>
      <c r="B95" s="36"/>
      <c r="C95" s="98" t="s">
        <v>218</v>
      </c>
      <c r="D95" t="str">
        <f t="shared" si="12"/>
        <v>2y11m</v>
      </c>
      <c r="E95" t="str">
        <f t="shared" si="11"/>
        <v>6y11m</v>
      </c>
      <c r="F95" t="str">
        <f t="shared" si="13"/>
        <v>2y9m</v>
      </c>
      <c r="G95" t="str">
        <f t="shared" si="14"/>
        <v>6y9m</v>
      </c>
      <c r="H95" t="str">
        <f t="shared" si="15"/>
        <v>2y6m</v>
      </c>
      <c r="I95" t="str">
        <f t="shared" si="16"/>
        <v>6y6m</v>
      </c>
      <c r="J95" t="str">
        <f t="shared" si="17"/>
        <v>2y0m</v>
      </c>
      <c r="K95" t="str">
        <f t="shared" si="18"/>
        <v>6y0m</v>
      </c>
      <c r="L95">
        <v>3</v>
      </c>
      <c r="M95">
        <v>7</v>
      </c>
      <c r="N95"/>
      <c r="O95"/>
      <c r="P95"/>
      <c r="Q95"/>
      <c r="R95"/>
    </row>
    <row r="96" spans="1:18" x14ac:dyDescent="0.2">
      <c r="A96" s="36"/>
      <c r="B96" s="36"/>
      <c r="C96" s="98" t="s">
        <v>219</v>
      </c>
      <c r="D96" t="str">
        <f t="shared" si="12"/>
        <v>4y11m</v>
      </c>
      <c r="E96" t="str">
        <f t="shared" si="11"/>
        <v>6y11m</v>
      </c>
      <c r="F96" t="str">
        <f t="shared" si="13"/>
        <v>4y9m</v>
      </c>
      <c r="G96" t="str">
        <f t="shared" si="14"/>
        <v>6y9m</v>
      </c>
      <c r="H96" t="str">
        <f t="shared" si="15"/>
        <v>4y6m</v>
      </c>
      <c r="I96" t="str">
        <f t="shared" si="16"/>
        <v>6y6m</v>
      </c>
      <c r="J96" t="str">
        <f t="shared" si="17"/>
        <v>4y0m</v>
      </c>
      <c r="K96" t="str">
        <f t="shared" si="18"/>
        <v>6y0m</v>
      </c>
      <c r="L96">
        <v>5</v>
      </c>
      <c r="M96">
        <v>7</v>
      </c>
      <c r="N96"/>
      <c r="O96"/>
      <c r="P96"/>
      <c r="Q96"/>
      <c r="R96"/>
    </row>
    <row r="97" spans="1:18" x14ac:dyDescent="0.2">
      <c r="A97" s="36"/>
      <c r="B97" s="36"/>
      <c r="C97" s="98" t="s">
        <v>220</v>
      </c>
      <c r="D97" t="str">
        <f t="shared" si="12"/>
        <v>4y11m</v>
      </c>
      <c r="E97" t="str">
        <f t="shared" si="11"/>
        <v>9y11m</v>
      </c>
      <c r="F97" t="str">
        <f t="shared" si="13"/>
        <v>4y9m</v>
      </c>
      <c r="G97" t="str">
        <f t="shared" si="14"/>
        <v>9y9m</v>
      </c>
      <c r="H97" t="str">
        <f t="shared" si="15"/>
        <v>4y6m</v>
      </c>
      <c r="I97" t="str">
        <f t="shared" si="16"/>
        <v>9y6m</v>
      </c>
      <c r="J97" t="str">
        <f t="shared" si="17"/>
        <v>4y0m</v>
      </c>
      <c r="K97" t="str">
        <f t="shared" si="18"/>
        <v>9y0m</v>
      </c>
      <c r="L97">
        <v>5</v>
      </c>
      <c r="M97">
        <v>10</v>
      </c>
      <c r="N97"/>
      <c r="O97"/>
      <c r="P97"/>
      <c r="Q97"/>
      <c r="R97"/>
    </row>
    <row r="98" spans="1:18" x14ac:dyDescent="0.2">
      <c r="A98" s="36"/>
      <c r="B98" s="36"/>
      <c r="C98" s="98" t="s">
        <v>221</v>
      </c>
      <c r="D98" t="str">
        <f t="shared" si="12"/>
        <v>6y11m</v>
      </c>
      <c r="E98" t="str">
        <f t="shared" si="11"/>
        <v>9y11m</v>
      </c>
      <c r="F98" t="str">
        <f t="shared" si="13"/>
        <v>6y9m</v>
      </c>
      <c r="G98" t="str">
        <f t="shared" si="14"/>
        <v>9y9m</v>
      </c>
      <c r="H98" t="str">
        <f t="shared" si="15"/>
        <v>6y6m</v>
      </c>
      <c r="I98" t="str">
        <f t="shared" si="16"/>
        <v>9y6m</v>
      </c>
      <c r="J98" t="str">
        <f t="shared" si="17"/>
        <v>6y0m</v>
      </c>
      <c r="K98" t="str">
        <f t="shared" si="18"/>
        <v>9y0m</v>
      </c>
      <c r="L98">
        <v>7</v>
      </c>
      <c r="M98">
        <v>10</v>
      </c>
      <c r="N98"/>
      <c r="O98"/>
      <c r="P98"/>
      <c r="Q98"/>
      <c r="R98"/>
    </row>
    <row r="99" spans="1:18" x14ac:dyDescent="0.2">
      <c r="A99" s="36"/>
      <c r="B99" s="36"/>
      <c r="C99" s="98" t="s">
        <v>222</v>
      </c>
      <c r="D99" t="str">
        <f t="shared" si="12"/>
        <v>9y11m</v>
      </c>
      <c r="E99" t="str">
        <f t="shared" si="11"/>
        <v>11y11m</v>
      </c>
      <c r="F99" t="str">
        <f t="shared" si="13"/>
        <v>9y9m</v>
      </c>
      <c r="G99" t="str">
        <f t="shared" si="14"/>
        <v>11y9m</v>
      </c>
      <c r="H99" t="str">
        <f t="shared" si="15"/>
        <v>9y6m</v>
      </c>
      <c r="I99" t="str">
        <f t="shared" si="16"/>
        <v>11y6m</v>
      </c>
      <c r="J99" t="str">
        <f t="shared" si="17"/>
        <v>9y0m</v>
      </c>
      <c r="K99" t="str">
        <f t="shared" si="18"/>
        <v>11y0m</v>
      </c>
      <c r="L99">
        <v>10</v>
      </c>
      <c r="M99">
        <v>12</v>
      </c>
      <c r="N99"/>
      <c r="O99"/>
      <c r="P99"/>
      <c r="Q99"/>
      <c r="R99"/>
    </row>
    <row r="100" spans="1:18" x14ac:dyDescent="0.2">
      <c r="A100" s="36"/>
      <c r="B100" s="36"/>
      <c r="C100" s="98" t="s">
        <v>223</v>
      </c>
      <c r="D100" t="str">
        <f t="shared" si="12"/>
        <v>9y11m</v>
      </c>
      <c r="E100" t="str">
        <f t="shared" si="11"/>
        <v>14y11m</v>
      </c>
      <c r="F100" t="str">
        <f t="shared" si="13"/>
        <v>9y9m</v>
      </c>
      <c r="G100" t="str">
        <f t="shared" si="14"/>
        <v>14y9m</v>
      </c>
      <c r="H100" t="str">
        <f t="shared" si="15"/>
        <v>9y6m</v>
      </c>
      <c r="I100" t="str">
        <f t="shared" si="16"/>
        <v>14y6m</v>
      </c>
      <c r="J100" t="str">
        <f t="shared" si="17"/>
        <v>9y0m</v>
      </c>
      <c r="K100" t="str">
        <f t="shared" si="18"/>
        <v>14y0m</v>
      </c>
      <c r="L100">
        <v>10</v>
      </c>
      <c r="M100">
        <v>15</v>
      </c>
      <c r="N100"/>
      <c r="O100"/>
      <c r="P100"/>
      <c r="Q100"/>
      <c r="R100"/>
    </row>
    <row r="101" spans="1:18" x14ac:dyDescent="0.2">
      <c r="A101" s="36"/>
      <c r="B101" s="36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">
      <c r="A102" s="36"/>
      <c r="B102" s="36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">
      <c r="A103" s="36"/>
      <c r="B103" s="36"/>
      <c r="C103"/>
      <c r="D103">
        <v>1</v>
      </c>
      <c r="E103">
        <v>1</v>
      </c>
      <c r="F103">
        <v>1</v>
      </c>
      <c r="G103">
        <v>3</v>
      </c>
      <c r="H103">
        <v>3</v>
      </c>
      <c r="I103">
        <v>3</v>
      </c>
      <c r="J103">
        <v>6</v>
      </c>
      <c r="K103">
        <v>6</v>
      </c>
      <c r="L103">
        <v>6</v>
      </c>
      <c r="M103">
        <v>12</v>
      </c>
      <c r="N103">
        <v>12</v>
      </c>
      <c r="O103">
        <v>12</v>
      </c>
      <c r="P103"/>
      <c r="Q103"/>
      <c r="R103"/>
    </row>
    <row r="104" spans="1:18" x14ac:dyDescent="0.2">
      <c r="A104" s="36"/>
      <c r="B104" s="36"/>
      <c r="C104" t="s">
        <v>237</v>
      </c>
      <c r="D104" s="98" t="str">
        <f t="shared" ref="D104:D114" si="19">D$103&amp;"Mx"&amp;$P104*12-D$103&amp;"M"</f>
        <v>1Mx23M</v>
      </c>
      <c r="E104" t="str">
        <f t="shared" ref="E104:E114" si="20">E$103&amp;"Mx"&amp;$Q104*12-E$103&amp;"M"</f>
        <v>1Mx35M</v>
      </c>
      <c r="F104" t="str">
        <f t="shared" ref="F104:F114" si="21">F$103&amp;"Mx"&amp;$R104*12-F$103&amp;"M"</f>
        <v>1Mx59M</v>
      </c>
      <c r="G104" s="98" t="str">
        <f t="shared" ref="G104:G114" si="22">G$103&amp;"Mx"&amp;$P104*12-G$103&amp;"M"</f>
        <v>3Mx21M</v>
      </c>
      <c r="H104" t="str">
        <f t="shared" ref="H104:H114" si="23">H$103&amp;"Mx"&amp;$Q104*12-H$103&amp;"M"</f>
        <v>3Mx33M</v>
      </c>
      <c r="I104" t="str">
        <f t="shared" ref="I104:I114" si="24">I$103&amp;"Mx"&amp;$R104*12-I$103&amp;"M"</f>
        <v>3Mx57M</v>
      </c>
      <c r="J104" s="98" t="str">
        <f t="shared" ref="J104:J114" si="25">J$103&amp;"Mx"&amp;$P104*12-J$103&amp;"M"</f>
        <v>6Mx18M</v>
      </c>
      <c r="K104" t="str">
        <f t="shared" ref="K104:K114" si="26">K$103&amp;"Mx"&amp;$Q104*12-K$103&amp;"M"</f>
        <v>6Mx30M</v>
      </c>
      <c r="L104" t="str">
        <f t="shared" ref="L104:L114" si="27">L$103&amp;"Mx"&amp;$R104*12-L$103&amp;"M"</f>
        <v>6Mx54M</v>
      </c>
      <c r="M104" s="98" t="str">
        <f t="shared" ref="M104:M114" si="28">M$103&amp;"Mx"&amp;$P104*12-M$103&amp;"M"</f>
        <v>12Mx12M</v>
      </c>
      <c r="N104" t="str">
        <f t="shared" ref="N104:N114" si="29">N$103&amp;"Mx"&amp;$Q104*12-N$103&amp;"M"</f>
        <v>12Mx24M</v>
      </c>
      <c r="O104" t="str">
        <f t="shared" ref="O104:O114" si="30">O$103&amp;"Mx"&amp;$R104*12-O$103&amp;"M"</f>
        <v>12Mx48M</v>
      </c>
      <c r="P104">
        <v>2</v>
      </c>
      <c r="Q104">
        <v>3</v>
      </c>
      <c r="R104">
        <v>5</v>
      </c>
    </row>
    <row r="105" spans="1:18" x14ac:dyDescent="0.2">
      <c r="A105" s="36"/>
      <c r="B105" s="36"/>
      <c r="C105" t="s">
        <v>238</v>
      </c>
      <c r="D105" s="98" t="str">
        <f t="shared" si="19"/>
        <v>1Mx23M</v>
      </c>
      <c r="E105" t="str">
        <f t="shared" si="20"/>
        <v>1Mx35M</v>
      </c>
      <c r="F105" t="str">
        <f t="shared" si="21"/>
        <v>1Mx83M</v>
      </c>
      <c r="G105" s="98" t="str">
        <f t="shared" si="22"/>
        <v>3Mx21M</v>
      </c>
      <c r="H105" t="str">
        <f t="shared" si="23"/>
        <v>3Mx33M</v>
      </c>
      <c r="I105" t="str">
        <f t="shared" si="24"/>
        <v>3Mx81M</v>
      </c>
      <c r="J105" s="98" t="str">
        <f t="shared" si="25"/>
        <v>6Mx18M</v>
      </c>
      <c r="K105" t="str">
        <f t="shared" si="26"/>
        <v>6Mx30M</v>
      </c>
      <c r="L105" t="str">
        <f t="shared" si="27"/>
        <v>6Mx78M</v>
      </c>
      <c r="M105" s="98" t="str">
        <f t="shared" si="28"/>
        <v>12Mx12M</v>
      </c>
      <c r="N105" t="str">
        <f t="shared" si="29"/>
        <v>12Mx24M</v>
      </c>
      <c r="O105" t="str">
        <f t="shared" si="30"/>
        <v>12Mx72M</v>
      </c>
      <c r="P105">
        <v>2</v>
      </c>
      <c r="Q105">
        <v>3</v>
      </c>
      <c r="R105">
        <v>7</v>
      </c>
    </row>
    <row r="106" spans="1:18" x14ac:dyDescent="0.2">
      <c r="A106" s="36"/>
      <c r="B106" s="36"/>
      <c r="C106" t="s">
        <v>239</v>
      </c>
      <c r="D106" s="98" t="str">
        <f t="shared" si="19"/>
        <v>1Mx23M</v>
      </c>
      <c r="E106" t="str">
        <f t="shared" si="20"/>
        <v>1Mx35M</v>
      </c>
      <c r="F106" t="str">
        <f t="shared" si="21"/>
        <v>1Mx119M</v>
      </c>
      <c r="G106" s="98" t="str">
        <f t="shared" si="22"/>
        <v>3Mx21M</v>
      </c>
      <c r="H106" t="str">
        <f t="shared" si="23"/>
        <v>3Mx33M</v>
      </c>
      <c r="I106" t="str">
        <f t="shared" si="24"/>
        <v>3Mx117M</v>
      </c>
      <c r="J106" s="98" t="str">
        <f t="shared" si="25"/>
        <v>6Mx18M</v>
      </c>
      <c r="K106" t="str">
        <f t="shared" si="26"/>
        <v>6Mx30M</v>
      </c>
      <c r="L106" t="str">
        <f t="shared" si="27"/>
        <v>6Mx114M</v>
      </c>
      <c r="M106" s="98" t="str">
        <f t="shared" si="28"/>
        <v>12Mx12M</v>
      </c>
      <c r="N106" t="str">
        <f t="shared" si="29"/>
        <v>12Mx24M</v>
      </c>
      <c r="O106" t="str">
        <f t="shared" si="30"/>
        <v>12Mx108M</v>
      </c>
      <c r="P106">
        <v>2</v>
      </c>
      <c r="Q106">
        <v>3</v>
      </c>
      <c r="R106">
        <v>10</v>
      </c>
    </row>
    <row r="107" spans="1:18" x14ac:dyDescent="0.2">
      <c r="A107" s="36"/>
      <c r="B107" s="36"/>
      <c r="C107" t="s">
        <v>240</v>
      </c>
      <c r="D107" s="98" t="str">
        <f t="shared" si="19"/>
        <v>1Mx23M</v>
      </c>
      <c r="E107" t="str">
        <f t="shared" si="20"/>
        <v>1Mx59M</v>
      </c>
      <c r="F107" t="str">
        <f t="shared" si="21"/>
        <v>1Mx83M</v>
      </c>
      <c r="G107" s="98" t="str">
        <f t="shared" si="22"/>
        <v>3Mx21M</v>
      </c>
      <c r="H107" t="str">
        <f t="shared" si="23"/>
        <v>3Mx57M</v>
      </c>
      <c r="I107" t="str">
        <f t="shared" si="24"/>
        <v>3Mx81M</v>
      </c>
      <c r="J107" s="98" t="str">
        <f t="shared" si="25"/>
        <v>6Mx18M</v>
      </c>
      <c r="K107" t="str">
        <f t="shared" si="26"/>
        <v>6Mx54M</v>
      </c>
      <c r="L107" t="str">
        <f t="shared" si="27"/>
        <v>6Mx78M</v>
      </c>
      <c r="M107" s="98" t="str">
        <f t="shared" si="28"/>
        <v>12Mx12M</v>
      </c>
      <c r="N107" t="str">
        <f t="shared" si="29"/>
        <v>12Mx48M</v>
      </c>
      <c r="O107" t="str">
        <f t="shared" si="30"/>
        <v>12Mx72M</v>
      </c>
      <c r="P107">
        <v>2</v>
      </c>
      <c r="Q107">
        <v>5</v>
      </c>
      <c r="R107">
        <v>7</v>
      </c>
    </row>
    <row r="108" spans="1:18" x14ac:dyDescent="0.2">
      <c r="A108" s="36"/>
      <c r="B108" s="36"/>
      <c r="C108" t="s">
        <v>241</v>
      </c>
      <c r="D108" s="98" t="str">
        <f t="shared" si="19"/>
        <v>1Mx23M</v>
      </c>
      <c r="E108" t="str">
        <f t="shared" si="20"/>
        <v>1Mx59M</v>
      </c>
      <c r="F108" t="str">
        <f t="shared" si="21"/>
        <v>1Mx119M</v>
      </c>
      <c r="G108" s="98" t="str">
        <f t="shared" si="22"/>
        <v>3Mx21M</v>
      </c>
      <c r="H108" t="str">
        <f t="shared" si="23"/>
        <v>3Mx57M</v>
      </c>
      <c r="I108" t="str">
        <f t="shared" si="24"/>
        <v>3Mx117M</v>
      </c>
      <c r="J108" s="98" t="str">
        <f t="shared" si="25"/>
        <v>6Mx18M</v>
      </c>
      <c r="K108" t="str">
        <f t="shared" si="26"/>
        <v>6Mx54M</v>
      </c>
      <c r="L108" t="str">
        <f t="shared" si="27"/>
        <v>6Mx114M</v>
      </c>
      <c r="M108" s="98" t="str">
        <f t="shared" si="28"/>
        <v>12Mx12M</v>
      </c>
      <c r="N108" t="str">
        <f t="shared" si="29"/>
        <v>12Mx48M</v>
      </c>
      <c r="O108" t="str">
        <f t="shared" si="30"/>
        <v>12Mx108M</v>
      </c>
      <c r="P108">
        <v>2</v>
      </c>
      <c r="Q108">
        <v>5</v>
      </c>
      <c r="R108">
        <v>10</v>
      </c>
    </row>
    <row r="109" spans="1:18" x14ac:dyDescent="0.2">
      <c r="A109" s="36"/>
      <c r="B109" s="36"/>
      <c r="C109" t="s">
        <v>242</v>
      </c>
      <c r="D109" s="98" t="str">
        <f t="shared" si="19"/>
        <v>1Mx35M</v>
      </c>
      <c r="E109" t="str">
        <f t="shared" si="20"/>
        <v>1Mx59M</v>
      </c>
      <c r="F109" t="str">
        <f t="shared" si="21"/>
        <v>1Mx83M</v>
      </c>
      <c r="G109" s="98" t="str">
        <f t="shared" si="22"/>
        <v>3Mx33M</v>
      </c>
      <c r="H109" t="str">
        <f t="shared" si="23"/>
        <v>3Mx57M</v>
      </c>
      <c r="I109" t="str">
        <f t="shared" si="24"/>
        <v>3Mx81M</v>
      </c>
      <c r="J109" s="98" t="str">
        <f t="shared" si="25"/>
        <v>6Mx30M</v>
      </c>
      <c r="K109" t="str">
        <f t="shared" si="26"/>
        <v>6Mx54M</v>
      </c>
      <c r="L109" t="str">
        <f t="shared" si="27"/>
        <v>6Mx78M</v>
      </c>
      <c r="M109" s="98" t="str">
        <f t="shared" si="28"/>
        <v>12Mx24M</v>
      </c>
      <c r="N109" t="str">
        <f t="shared" si="29"/>
        <v>12Mx48M</v>
      </c>
      <c r="O109" t="str">
        <f t="shared" si="30"/>
        <v>12Mx72M</v>
      </c>
      <c r="P109">
        <v>3</v>
      </c>
      <c r="Q109">
        <v>5</v>
      </c>
      <c r="R109">
        <v>7</v>
      </c>
    </row>
    <row r="110" spans="1:18" x14ac:dyDescent="0.2">
      <c r="A110" s="36"/>
      <c r="B110" s="36"/>
      <c r="C110" t="s">
        <v>243</v>
      </c>
      <c r="D110" s="98" t="str">
        <f t="shared" si="19"/>
        <v>1Mx35M</v>
      </c>
      <c r="E110" t="str">
        <f t="shared" si="20"/>
        <v>1Mx59M</v>
      </c>
      <c r="F110" t="str">
        <f t="shared" si="21"/>
        <v>1Mx119M</v>
      </c>
      <c r="G110" s="98" t="str">
        <f t="shared" si="22"/>
        <v>3Mx33M</v>
      </c>
      <c r="H110" t="str">
        <f t="shared" si="23"/>
        <v>3Mx57M</v>
      </c>
      <c r="I110" t="str">
        <f t="shared" si="24"/>
        <v>3Mx117M</v>
      </c>
      <c r="J110" s="98" t="str">
        <f t="shared" si="25"/>
        <v>6Mx30M</v>
      </c>
      <c r="K110" t="str">
        <f t="shared" si="26"/>
        <v>6Mx54M</v>
      </c>
      <c r="L110" t="str">
        <f t="shared" si="27"/>
        <v>6Mx114M</v>
      </c>
      <c r="M110" s="98" t="str">
        <f t="shared" si="28"/>
        <v>12Mx24M</v>
      </c>
      <c r="N110" t="str">
        <f t="shared" si="29"/>
        <v>12Mx48M</v>
      </c>
      <c r="O110" t="str">
        <f t="shared" si="30"/>
        <v>12Mx108M</v>
      </c>
      <c r="P110">
        <v>3</v>
      </c>
      <c r="Q110">
        <v>5</v>
      </c>
      <c r="R110">
        <v>10</v>
      </c>
    </row>
    <row r="111" spans="1:18" x14ac:dyDescent="0.2">
      <c r="A111" s="36"/>
      <c r="B111" s="36"/>
      <c r="C111" t="s">
        <v>244</v>
      </c>
      <c r="D111" s="98" t="str">
        <f t="shared" si="19"/>
        <v>1Mx35M</v>
      </c>
      <c r="E111" t="str">
        <f t="shared" si="20"/>
        <v>1Mx83M</v>
      </c>
      <c r="F111" t="str">
        <f t="shared" si="21"/>
        <v>1Mx119M</v>
      </c>
      <c r="G111" s="98" t="str">
        <f t="shared" si="22"/>
        <v>3Mx33M</v>
      </c>
      <c r="H111" t="str">
        <f t="shared" si="23"/>
        <v>3Mx81M</v>
      </c>
      <c r="I111" t="str">
        <f t="shared" si="24"/>
        <v>3Mx117M</v>
      </c>
      <c r="J111" s="98" t="str">
        <f t="shared" si="25"/>
        <v>6Mx30M</v>
      </c>
      <c r="K111" t="str">
        <f t="shared" si="26"/>
        <v>6Mx78M</v>
      </c>
      <c r="L111" t="str">
        <f t="shared" si="27"/>
        <v>6Mx114M</v>
      </c>
      <c r="M111" s="98" t="str">
        <f t="shared" si="28"/>
        <v>12Mx24M</v>
      </c>
      <c r="N111" t="str">
        <f t="shared" si="29"/>
        <v>12Mx72M</v>
      </c>
      <c r="O111" t="str">
        <f t="shared" si="30"/>
        <v>12Mx108M</v>
      </c>
      <c r="P111">
        <v>3</v>
      </c>
      <c r="Q111">
        <v>7</v>
      </c>
      <c r="R111">
        <v>10</v>
      </c>
    </row>
    <row r="112" spans="1:18" x14ac:dyDescent="0.2">
      <c r="A112" s="36"/>
      <c r="B112" s="36"/>
      <c r="C112" t="s">
        <v>245</v>
      </c>
      <c r="D112" s="98" t="str">
        <f t="shared" si="19"/>
        <v>1Mx59M</v>
      </c>
      <c r="E112" t="str">
        <f t="shared" si="20"/>
        <v>1Mx83M</v>
      </c>
      <c r="F112" t="str">
        <f t="shared" si="21"/>
        <v>1Mx119M</v>
      </c>
      <c r="G112" s="98" t="str">
        <f t="shared" si="22"/>
        <v>3Mx57M</v>
      </c>
      <c r="H112" t="str">
        <f t="shared" si="23"/>
        <v>3Mx81M</v>
      </c>
      <c r="I112" t="str">
        <f t="shared" si="24"/>
        <v>3Mx117M</v>
      </c>
      <c r="J112" s="98" t="str">
        <f t="shared" si="25"/>
        <v>6Mx54M</v>
      </c>
      <c r="K112" t="str">
        <f t="shared" si="26"/>
        <v>6Mx78M</v>
      </c>
      <c r="L112" t="str">
        <f t="shared" si="27"/>
        <v>6Mx114M</v>
      </c>
      <c r="M112" s="98" t="str">
        <f t="shared" si="28"/>
        <v>12Mx48M</v>
      </c>
      <c r="N112" t="str">
        <f t="shared" si="29"/>
        <v>12Mx72M</v>
      </c>
      <c r="O112" t="str">
        <f t="shared" si="30"/>
        <v>12Mx108M</v>
      </c>
      <c r="P112">
        <v>5</v>
      </c>
      <c r="Q112">
        <v>7</v>
      </c>
      <c r="R112">
        <v>10</v>
      </c>
    </row>
    <row r="113" spans="1:18" x14ac:dyDescent="0.2">
      <c r="A113" s="36"/>
      <c r="B113" s="36"/>
      <c r="C113" t="s">
        <v>246</v>
      </c>
      <c r="D113" s="98" t="str">
        <f t="shared" si="19"/>
        <v>1Mx59M</v>
      </c>
      <c r="E113" t="str">
        <f t="shared" si="20"/>
        <v>1Mx119M</v>
      </c>
      <c r="F113" t="str">
        <f t="shared" si="21"/>
        <v>1Mx143M</v>
      </c>
      <c r="G113" s="98" t="str">
        <f t="shared" si="22"/>
        <v>3Mx57M</v>
      </c>
      <c r="H113" t="str">
        <f t="shared" si="23"/>
        <v>3Mx117M</v>
      </c>
      <c r="I113" t="str">
        <f t="shared" si="24"/>
        <v>3Mx141M</v>
      </c>
      <c r="J113" s="98" t="str">
        <f t="shared" si="25"/>
        <v>6Mx54M</v>
      </c>
      <c r="K113" t="str">
        <f t="shared" si="26"/>
        <v>6Mx114M</v>
      </c>
      <c r="L113" t="str">
        <f t="shared" si="27"/>
        <v>6Mx138M</v>
      </c>
      <c r="M113" s="98" t="str">
        <f t="shared" si="28"/>
        <v>12Mx48M</v>
      </c>
      <c r="N113" t="str">
        <f t="shared" si="29"/>
        <v>12Mx108M</v>
      </c>
      <c r="O113" t="str">
        <f t="shared" si="30"/>
        <v>12Mx132M</v>
      </c>
      <c r="P113">
        <v>5</v>
      </c>
      <c r="Q113">
        <v>10</v>
      </c>
      <c r="R113">
        <v>12</v>
      </c>
    </row>
    <row r="114" spans="1:18" x14ac:dyDescent="0.2">
      <c r="A114" s="36"/>
      <c r="B114" s="36"/>
      <c r="C114" t="s">
        <v>247</v>
      </c>
      <c r="D114" s="98" t="str">
        <f t="shared" si="19"/>
        <v>1Mx83M</v>
      </c>
      <c r="E114" t="str">
        <f t="shared" si="20"/>
        <v>1Mx119M</v>
      </c>
      <c r="F114" t="str">
        <f t="shared" si="21"/>
        <v>1Mx143M</v>
      </c>
      <c r="G114" s="98" t="str">
        <f t="shared" si="22"/>
        <v>3Mx81M</v>
      </c>
      <c r="H114" t="str">
        <f t="shared" si="23"/>
        <v>3Mx117M</v>
      </c>
      <c r="I114" t="str">
        <f t="shared" si="24"/>
        <v>3Mx141M</v>
      </c>
      <c r="J114" s="98" t="str">
        <f t="shared" si="25"/>
        <v>6Mx78M</v>
      </c>
      <c r="K114" t="str">
        <f t="shared" si="26"/>
        <v>6Mx114M</v>
      </c>
      <c r="L114" t="str">
        <f t="shared" si="27"/>
        <v>6Mx138M</v>
      </c>
      <c r="M114" s="98" t="str">
        <f t="shared" si="28"/>
        <v>12Mx72M</v>
      </c>
      <c r="N114" t="str">
        <f t="shared" si="29"/>
        <v>12Mx108M</v>
      </c>
      <c r="O114" t="str">
        <f t="shared" si="30"/>
        <v>12Mx132M</v>
      </c>
      <c r="P114">
        <v>7</v>
      </c>
      <c r="Q114">
        <v>10</v>
      </c>
      <c r="R114">
        <v>12</v>
      </c>
    </row>
    <row r="115" spans="1:18" x14ac:dyDescent="0.2">
      <c r="A115" s="36"/>
      <c r="B115" s="36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">
      <c r="A116" s="36"/>
      <c r="B116" s="3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">
      <c r="A117" s="36"/>
      <c r="B117" s="36"/>
      <c r="C117"/>
      <c r="D117">
        <v>1</v>
      </c>
      <c r="E117">
        <v>1</v>
      </c>
      <c r="F117">
        <v>1</v>
      </c>
      <c r="G117">
        <v>3</v>
      </c>
      <c r="H117">
        <v>3</v>
      </c>
      <c r="I117">
        <v>3</v>
      </c>
      <c r="J117">
        <v>6</v>
      </c>
      <c r="K117">
        <v>6</v>
      </c>
      <c r="L117">
        <v>6</v>
      </c>
      <c r="M117">
        <v>12</v>
      </c>
      <c r="N117">
        <v>12</v>
      </c>
      <c r="O117">
        <v>12</v>
      </c>
      <c r="P117"/>
      <c r="Q117"/>
      <c r="R117"/>
    </row>
    <row r="118" spans="1:18" x14ac:dyDescent="0.2">
      <c r="A118" s="36"/>
      <c r="B118" s="36"/>
      <c r="C118" t="s">
        <v>237</v>
      </c>
      <c r="D118" t="str">
        <f t="shared" ref="D118:D128" si="31">ROUNDDOWN(($P118*12-D$117)/12,0)&amp;"y"&amp;(($P118*12-D$117)/12-(ROUNDDOWN(($P118*12-D$117)/12,0)))*12&amp;"m"</f>
        <v>1y11m</v>
      </c>
      <c r="E118" t="str">
        <f t="shared" ref="E118:E128" si="32">ROUNDDOWN(($Q118*12-E$117)/12,0)&amp;"y"&amp;(($Q118*12-E$117)/12-(ROUNDDOWN(($Q118*12-E$117)/12,0)))*12&amp;"m"</f>
        <v>2y11m</v>
      </c>
      <c r="F118" t="str">
        <f t="shared" ref="F118:F128" si="33">ROUNDDOWN(($R118*12-F$117)/12,0)&amp;"y"&amp;(($R118*12-F$117)/12-(ROUNDDOWN(($R118*12-F$117)/12,0)))*12&amp;"m"</f>
        <v>4y11m</v>
      </c>
      <c r="G118" t="str">
        <f t="shared" ref="G118:G128" si="34">ROUNDDOWN(($P118*12-G$117)/12,0)&amp;"y"&amp;(($P118*12-G$117)/12-(ROUNDDOWN(($P118*12-G$117)/12,0)))*12&amp;"m"</f>
        <v>1y9m</v>
      </c>
      <c r="H118" t="str">
        <f t="shared" ref="H118:H128" si="35">ROUNDDOWN(($Q118*12-H$117)/12,0)&amp;"y"&amp;(($Q118*12-H$117)/12-(ROUNDDOWN(($Q118*12-H$117)/12,0)))*12&amp;"m"</f>
        <v>2y9m</v>
      </c>
      <c r="I118" t="str">
        <f t="shared" ref="I118:I128" si="36">ROUNDDOWN(($R118*12-I$117)/12,0)&amp;"y"&amp;(($R118*12-I$117)/12-(ROUNDDOWN(($R118*12-I$117)/12,0)))*12&amp;"m"</f>
        <v>4y9m</v>
      </c>
      <c r="J118" t="str">
        <f t="shared" ref="J118:J128" si="37">ROUNDDOWN(($P118*12-J$117)/12,0)&amp;"y"&amp;(($P118*12-J$117)/12-(ROUNDDOWN(($P118*12-J$117)/12,0)))*12&amp;"m"</f>
        <v>1y6m</v>
      </c>
      <c r="K118" t="str">
        <f t="shared" ref="K118:K128" si="38">ROUNDDOWN(($Q118*12-K$117)/12,0)&amp;"y"&amp;(($Q118*12-K$117)/12-(ROUNDDOWN(($Q118*12-K$117)/12,0)))*12&amp;"m"</f>
        <v>2y6m</v>
      </c>
      <c r="L118" t="str">
        <f t="shared" ref="L118:L128" si="39">ROUNDDOWN(($R118*12-L$117)/12,0)&amp;"y"&amp;(($R118*12-L$117)/12-(ROUNDDOWN(($R118*12-L$117)/12,0)))*12&amp;"m"</f>
        <v>4y6m</v>
      </c>
      <c r="M118" t="str">
        <f t="shared" ref="M118:M128" si="40">ROUNDDOWN(($P118*12-M$117)/12,0)&amp;"y"&amp;(($P118*12-M$117)/12-(ROUNDDOWN(($P118*12-M$117)/12,0)))*12&amp;"m"</f>
        <v>1y0m</v>
      </c>
      <c r="N118" t="str">
        <f t="shared" ref="N118:N128" si="41">ROUNDDOWN(($Q118*12-N$117)/12,0)&amp;"y"&amp;(($Q118*12-N$117)/12-(ROUNDDOWN(($Q118*12-N$117)/12,0)))*12&amp;"m"</f>
        <v>2y0m</v>
      </c>
      <c r="O118" t="str">
        <f t="shared" ref="O118:O128" si="42">ROUNDDOWN(($R118*12-O$117)/12,0)&amp;"y"&amp;(($R118*12-O$117)/12-(ROUNDDOWN(($R118*12-O$117)/12,0)))*12&amp;"m"</f>
        <v>4y0m</v>
      </c>
      <c r="P118">
        <v>2</v>
      </c>
      <c r="Q118">
        <v>3</v>
      </c>
      <c r="R118">
        <v>5</v>
      </c>
    </row>
    <row r="119" spans="1:18" x14ac:dyDescent="0.2">
      <c r="A119" s="36"/>
      <c r="B119" s="36"/>
      <c r="C119" t="s">
        <v>238</v>
      </c>
      <c r="D119" t="str">
        <f t="shared" si="31"/>
        <v>1y11m</v>
      </c>
      <c r="E119" t="str">
        <f t="shared" si="32"/>
        <v>2y11m</v>
      </c>
      <c r="F119" t="str">
        <f t="shared" si="33"/>
        <v>6y11m</v>
      </c>
      <c r="G119" t="str">
        <f t="shared" si="34"/>
        <v>1y9m</v>
      </c>
      <c r="H119" t="str">
        <f t="shared" si="35"/>
        <v>2y9m</v>
      </c>
      <c r="I119" t="str">
        <f t="shared" si="36"/>
        <v>6y9m</v>
      </c>
      <c r="J119" t="str">
        <f t="shared" si="37"/>
        <v>1y6m</v>
      </c>
      <c r="K119" t="str">
        <f t="shared" si="38"/>
        <v>2y6m</v>
      </c>
      <c r="L119" t="str">
        <f t="shared" si="39"/>
        <v>6y6m</v>
      </c>
      <c r="M119" t="str">
        <f t="shared" si="40"/>
        <v>1y0m</v>
      </c>
      <c r="N119" t="str">
        <f t="shared" si="41"/>
        <v>2y0m</v>
      </c>
      <c r="O119" t="str">
        <f t="shared" si="42"/>
        <v>6y0m</v>
      </c>
      <c r="P119">
        <v>2</v>
      </c>
      <c r="Q119">
        <v>3</v>
      </c>
      <c r="R119">
        <v>7</v>
      </c>
    </row>
    <row r="120" spans="1:18" x14ac:dyDescent="0.2">
      <c r="A120" s="36"/>
      <c r="B120" s="36"/>
      <c r="C120" t="s">
        <v>239</v>
      </c>
      <c r="D120" t="str">
        <f t="shared" si="31"/>
        <v>1y11m</v>
      </c>
      <c r="E120" t="str">
        <f t="shared" si="32"/>
        <v>2y11m</v>
      </c>
      <c r="F120" t="str">
        <f t="shared" si="33"/>
        <v>9y11m</v>
      </c>
      <c r="G120" t="str">
        <f t="shared" si="34"/>
        <v>1y9m</v>
      </c>
      <c r="H120" t="str">
        <f t="shared" si="35"/>
        <v>2y9m</v>
      </c>
      <c r="I120" t="str">
        <f t="shared" si="36"/>
        <v>9y9m</v>
      </c>
      <c r="J120" t="str">
        <f t="shared" si="37"/>
        <v>1y6m</v>
      </c>
      <c r="K120" t="str">
        <f t="shared" si="38"/>
        <v>2y6m</v>
      </c>
      <c r="L120" t="str">
        <f t="shared" si="39"/>
        <v>9y6m</v>
      </c>
      <c r="M120" t="str">
        <f t="shared" si="40"/>
        <v>1y0m</v>
      </c>
      <c r="N120" t="str">
        <f t="shared" si="41"/>
        <v>2y0m</v>
      </c>
      <c r="O120" t="str">
        <f t="shared" si="42"/>
        <v>9y0m</v>
      </c>
      <c r="P120">
        <v>2</v>
      </c>
      <c r="Q120">
        <v>3</v>
      </c>
      <c r="R120">
        <v>10</v>
      </c>
    </row>
    <row r="121" spans="1:18" x14ac:dyDescent="0.2">
      <c r="A121" s="36"/>
      <c r="B121" s="36"/>
      <c r="C121" t="s">
        <v>240</v>
      </c>
      <c r="D121" t="str">
        <f t="shared" si="31"/>
        <v>1y11m</v>
      </c>
      <c r="E121" t="str">
        <f t="shared" si="32"/>
        <v>4y11m</v>
      </c>
      <c r="F121" t="str">
        <f t="shared" si="33"/>
        <v>6y11m</v>
      </c>
      <c r="G121" t="str">
        <f t="shared" si="34"/>
        <v>1y9m</v>
      </c>
      <c r="H121" t="str">
        <f t="shared" si="35"/>
        <v>4y9m</v>
      </c>
      <c r="I121" t="str">
        <f t="shared" si="36"/>
        <v>6y9m</v>
      </c>
      <c r="J121" t="str">
        <f t="shared" si="37"/>
        <v>1y6m</v>
      </c>
      <c r="K121" t="str">
        <f t="shared" si="38"/>
        <v>4y6m</v>
      </c>
      <c r="L121" t="str">
        <f t="shared" si="39"/>
        <v>6y6m</v>
      </c>
      <c r="M121" t="str">
        <f t="shared" si="40"/>
        <v>1y0m</v>
      </c>
      <c r="N121" t="str">
        <f t="shared" si="41"/>
        <v>4y0m</v>
      </c>
      <c r="O121" t="str">
        <f t="shared" si="42"/>
        <v>6y0m</v>
      </c>
      <c r="P121">
        <v>2</v>
      </c>
      <c r="Q121">
        <v>5</v>
      </c>
      <c r="R121">
        <v>7</v>
      </c>
    </row>
    <row r="122" spans="1:18" x14ac:dyDescent="0.2">
      <c r="A122" s="36"/>
      <c r="B122" s="36"/>
      <c r="C122" t="s">
        <v>241</v>
      </c>
      <c r="D122" t="str">
        <f t="shared" si="31"/>
        <v>1y11m</v>
      </c>
      <c r="E122" t="str">
        <f t="shared" si="32"/>
        <v>4y11m</v>
      </c>
      <c r="F122" t="str">
        <f t="shared" si="33"/>
        <v>9y11m</v>
      </c>
      <c r="G122" t="str">
        <f t="shared" si="34"/>
        <v>1y9m</v>
      </c>
      <c r="H122" t="str">
        <f t="shared" si="35"/>
        <v>4y9m</v>
      </c>
      <c r="I122" t="str">
        <f t="shared" si="36"/>
        <v>9y9m</v>
      </c>
      <c r="J122" t="str">
        <f t="shared" si="37"/>
        <v>1y6m</v>
      </c>
      <c r="K122" t="str">
        <f t="shared" si="38"/>
        <v>4y6m</v>
      </c>
      <c r="L122" t="str">
        <f t="shared" si="39"/>
        <v>9y6m</v>
      </c>
      <c r="M122" t="str">
        <f t="shared" si="40"/>
        <v>1y0m</v>
      </c>
      <c r="N122" t="str">
        <f t="shared" si="41"/>
        <v>4y0m</v>
      </c>
      <c r="O122" t="str">
        <f t="shared" si="42"/>
        <v>9y0m</v>
      </c>
      <c r="P122">
        <v>2</v>
      </c>
      <c r="Q122">
        <v>5</v>
      </c>
      <c r="R122">
        <v>10</v>
      </c>
    </row>
    <row r="123" spans="1:18" x14ac:dyDescent="0.2">
      <c r="A123" s="36"/>
      <c r="B123" s="36"/>
      <c r="C123" t="s">
        <v>242</v>
      </c>
      <c r="D123" t="str">
        <f t="shared" si="31"/>
        <v>2y11m</v>
      </c>
      <c r="E123" t="str">
        <f t="shared" si="32"/>
        <v>4y11m</v>
      </c>
      <c r="F123" t="str">
        <f t="shared" si="33"/>
        <v>6y11m</v>
      </c>
      <c r="G123" t="str">
        <f t="shared" si="34"/>
        <v>2y9m</v>
      </c>
      <c r="H123" t="str">
        <f t="shared" si="35"/>
        <v>4y9m</v>
      </c>
      <c r="I123" t="str">
        <f t="shared" si="36"/>
        <v>6y9m</v>
      </c>
      <c r="J123" t="str">
        <f t="shared" si="37"/>
        <v>2y6m</v>
      </c>
      <c r="K123" t="str">
        <f t="shared" si="38"/>
        <v>4y6m</v>
      </c>
      <c r="L123" t="str">
        <f t="shared" si="39"/>
        <v>6y6m</v>
      </c>
      <c r="M123" t="str">
        <f t="shared" si="40"/>
        <v>2y0m</v>
      </c>
      <c r="N123" t="str">
        <f t="shared" si="41"/>
        <v>4y0m</v>
      </c>
      <c r="O123" t="str">
        <f t="shared" si="42"/>
        <v>6y0m</v>
      </c>
      <c r="P123">
        <v>3</v>
      </c>
      <c r="Q123">
        <v>5</v>
      </c>
      <c r="R123">
        <v>7</v>
      </c>
    </row>
    <row r="124" spans="1:18" x14ac:dyDescent="0.2">
      <c r="A124" s="36"/>
      <c r="B124" s="36"/>
      <c r="C124" t="s">
        <v>243</v>
      </c>
      <c r="D124" t="str">
        <f t="shared" si="31"/>
        <v>2y11m</v>
      </c>
      <c r="E124" t="str">
        <f t="shared" si="32"/>
        <v>4y11m</v>
      </c>
      <c r="F124" t="str">
        <f t="shared" si="33"/>
        <v>9y11m</v>
      </c>
      <c r="G124" t="str">
        <f t="shared" si="34"/>
        <v>2y9m</v>
      </c>
      <c r="H124" t="str">
        <f t="shared" si="35"/>
        <v>4y9m</v>
      </c>
      <c r="I124" t="str">
        <f t="shared" si="36"/>
        <v>9y9m</v>
      </c>
      <c r="J124" t="str">
        <f t="shared" si="37"/>
        <v>2y6m</v>
      </c>
      <c r="K124" t="str">
        <f t="shared" si="38"/>
        <v>4y6m</v>
      </c>
      <c r="L124" t="str">
        <f t="shared" si="39"/>
        <v>9y6m</v>
      </c>
      <c r="M124" t="str">
        <f t="shared" si="40"/>
        <v>2y0m</v>
      </c>
      <c r="N124" t="str">
        <f t="shared" si="41"/>
        <v>4y0m</v>
      </c>
      <c r="O124" t="str">
        <f t="shared" si="42"/>
        <v>9y0m</v>
      </c>
      <c r="P124">
        <v>3</v>
      </c>
      <c r="Q124">
        <v>5</v>
      </c>
      <c r="R124">
        <v>10</v>
      </c>
    </row>
    <row r="125" spans="1:18" x14ac:dyDescent="0.2">
      <c r="A125" s="36"/>
      <c r="B125" s="36"/>
      <c r="C125" t="s">
        <v>244</v>
      </c>
      <c r="D125" t="str">
        <f t="shared" si="31"/>
        <v>2y11m</v>
      </c>
      <c r="E125" t="str">
        <f t="shared" si="32"/>
        <v>6y11m</v>
      </c>
      <c r="F125" t="str">
        <f t="shared" si="33"/>
        <v>9y11m</v>
      </c>
      <c r="G125" t="str">
        <f t="shared" si="34"/>
        <v>2y9m</v>
      </c>
      <c r="H125" t="str">
        <f t="shared" si="35"/>
        <v>6y9m</v>
      </c>
      <c r="I125" t="str">
        <f t="shared" si="36"/>
        <v>9y9m</v>
      </c>
      <c r="J125" t="str">
        <f t="shared" si="37"/>
        <v>2y6m</v>
      </c>
      <c r="K125" t="str">
        <f t="shared" si="38"/>
        <v>6y6m</v>
      </c>
      <c r="L125" t="str">
        <f t="shared" si="39"/>
        <v>9y6m</v>
      </c>
      <c r="M125" t="str">
        <f t="shared" si="40"/>
        <v>2y0m</v>
      </c>
      <c r="N125" t="str">
        <f t="shared" si="41"/>
        <v>6y0m</v>
      </c>
      <c r="O125" t="str">
        <f t="shared" si="42"/>
        <v>9y0m</v>
      </c>
      <c r="P125">
        <v>3</v>
      </c>
      <c r="Q125">
        <v>7</v>
      </c>
      <c r="R125">
        <v>10</v>
      </c>
    </row>
    <row r="126" spans="1:18" x14ac:dyDescent="0.2">
      <c r="A126" s="36"/>
      <c r="B126" s="36"/>
      <c r="C126" t="s">
        <v>245</v>
      </c>
      <c r="D126" t="str">
        <f t="shared" si="31"/>
        <v>4y11m</v>
      </c>
      <c r="E126" t="str">
        <f t="shared" si="32"/>
        <v>6y11m</v>
      </c>
      <c r="F126" t="str">
        <f t="shared" si="33"/>
        <v>9y11m</v>
      </c>
      <c r="G126" t="str">
        <f t="shared" si="34"/>
        <v>4y9m</v>
      </c>
      <c r="H126" t="str">
        <f t="shared" si="35"/>
        <v>6y9m</v>
      </c>
      <c r="I126" t="str">
        <f t="shared" si="36"/>
        <v>9y9m</v>
      </c>
      <c r="J126" t="str">
        <f t="shared" si="37"/>
        <v>4y6m</v>
      </c>
      <c r="K126" t="str">
        <f t="shared" si="38"/>
        <v>6y6m</v>
      </c>
      <c r="L126" t="str">
        <f t="shared" si="39"/>
        <v>9y6m</v>
      </c>
      <c r="M126" t="str">
        <f t="shared" si="40"/>
        <v>4y0m</v>
      </c>
      <c r="N126" t="str">
        <f t="shared" si="41"/>
        <v>6y0m</v>
      </c>
      <c r="O126" t="str">
        <f t="shared" si="42"/>
        <v>9y0m</v>
      </c>
      <c r="P126">
        <v>5</v>
      </c>
      <c r="Q126">
        <v>7</v>
      </c>
      <c r="R126">
        <v>10</v>
      </c>
    </row>
    <row r="127" spans="1:18" x14ac:dyDescent="0.2">
      <c r="A127" s="36"/>
      <c r="B127" s="36"/>
      <c r="C127" t="s">
        <v>246</v>
      </c>
      <c r="D127" t="str">
        <f t="shared" si="31"/>
        <v>4y11m</v>
      </c>
      <c r="E127" t="str">
        <f t="shared" si="32"/>
        <v>9y11m</v>
      </c>
      <c r="F127" t="str">
        <f t="shared" si="33"/>
        <v>11y11m</v>
      </c>
      <c r="G127" t="str">
        <f t="shared" si="34"/>
        <v>4y9m</v>
      </c>
      <c r="H127" t="str">
        <f t="shared" si="35"/>
        <v>9y9m</v>
      </c>
      <c r="I127" t="str">
        <f t="shared" si="36"/>
        <v>11y9m</v>
      </c>
      <c r="J127" t="str">
        <f t="shared" si="37"/>
        <v>4y6m</v>
      </c>
      <c r="K127" t="str">
        <f t="shared" si="38"/>
        <v>9y6m</v>
      </c>
      <c r="L127" t="str">
        <f t="shared" si="39"/>
        <v>11y6m</v>
      </c>
      <c r="M127" t="str">
        <f t="shared" si="40"/>
        <v>4y0m</v>
      </c>
      <c r="N127" t="str">
        <f t="shared" si="41"/>
        <v>9y0m</v>
      </c>
      <c r="O127" t="str">
        <f t="shared" si="42"/>
        <v>11y0m</v>
      </c>
      <c r="P127">
        <v>5</v>
      </c>
      <c r="Q127">
        <v>10</v>
      </c>
      <c r="R127">
        <v>12</v>
      </c>
    </row>
    <row r="128" spans="1:18" x14ac:dyDescent="0.2">
      <c r="A128" s="36"/>
      <c r="B128" s="36"/>
      <c r="C128" t="s">
        <v>247</v>
      </c>
      <c r="D128" t="str">
        <f t="shared" si="31"/>
        <v>6y11m</v>
      </c>
      <c r="E128" t="str">
        <f t="shared" si="32"/>
        <v>9y11m</v>
      </c>
      <c r="F128" t="str">
        <f t="shared" si="33"/>
        <v>11y11m</v>
      </c>
      <c r="G128" t="str">
        <f t="shared" si="34"/>
        <v>6y9m</v>
      </c>
      <c r="H128" t="str">
        <f t="shared" si="35"/>
        <v>9y9m</v>
      </c>
      <c r="I128" t="str">
        <f t="shared" si="36"/>
        <v>11y9m</v>
      </c>
      <c r="J128" t="str">
        <f t="shared" si="37"/>
        <v>6y6m</v>
      </c>
      <c r="K128" t="str">
        <f t="shared" si="38"/>
        <v>9y6m</v>
      </c>
      <c r="L128" t="str">
        <f t="shared" si="39"/>
        <v>11y6m</v>
      </c>
      <c r="M128" t="str">
        <f t="shared" si="40"/>
        <v>6y0m</v>
      </c>
      <c r="N128" t="str">
        <f t="shared" si="41"/>
        <v>9y0m</v>
      </c>
      <c r="O128" t="str">
        <f t="shared" si="42"/>
        <v>11y0m</v>
      </c>
      <c r="P128">
        <v>7</v>
      </c>
      <c r="Q128">
        <v>10</v>
      </c>
      <c r="R128">
        <v>12</v>
      </c>
    </row>
    <row r="129" spans="2:11" ht="13.5" thickBot="1" x14ac:dyDescent="0.25">
      <c r="B129" s="6"/>
      <c r="K129" s="33"/>
    </row>
    <row r="130" spans="2:11" ht="13.5" thickBot="1" x14ac:dyDescent="0.25">
      <c r="B130" s="6"/>
      <c r="C130" s="195" t="s">
        <v>303</v>
      </c>
      <c r="D130" s="194" t="str">
        <f>IF(ISERROR(FIND("M",UPPER(Rolldown!AB12))),"Yes","No")</f>
        <v>No</v>
      </c>
      <c r="K130" s="33"/>
    </row>
    <row r="131" spans="2:11" ht="13.5" thickBot="1" x14ac:dyDescent="0.25">
      <c r="B131" s="6"/>
      <c r="C131" s="37" t="s">
        <v>277</v>
      </c>
      <c r="D131" s="38" t="s">
        <v>278</v>
      </c>
      <c r="E131" s="14" t="s">
        <v>279</v>
      </c>
      <c r="F131" s="37" t="s">
        <v>277</v>
      </c>
      <c r="G131" s="38" t="s">
        <v>278</v>
      </c>
      <c r="H131" s="14" t="s">
        <v>279</v>
      </c>
      <c r="I131" s="202" t="str">
        <f>(C132*12)&amp;"M"</f>
        <v>48M</v>
      </c>
      <c r="K131" s="33"/>
    </row>
    <row r="132" spans="2:11" x14ac:dyDescent="0.2">
      <c r="B132" s="6"/>
      <c r="C132">
        <f>MID(Rolldown!AB12,1,FIND("Y",UPPER(Rolldown!AB12))-1)*1+(MID(Rolldown!AB12,FIND("Y",UPPER(Rolldown!AB12))+1,1))/12</f>
        <v>4</v>
      </c>
      <c r="D132">
        <f>Rolldown!D14-$C$132</f>
        <v>-3.75</v>
      </c>
      <c r="E132">
        <f>IF(D132&lt;0,0,IF(ISERROR(FIND(".",D132)),D132&amp;"y",MID(D132,1,FIND(".",D132)-1)&amp;"y"&amp;ROUND((D132-MID(D132,1,FIND(".",D132)-1))*12,0)&amp;"m"))</f>
        <v>0</v>
      </c>
      <c r="F132">
        <f>MID(Rolldown!AB12,1,FIND("Y",UPPER(Rolldown!AB12))-1)*1</f>
        <v>4</v>
      </c>
      <c r="G132">
        <f>Rolldown!D14-$F$132</f>
        <v>-3.75</v>
      </c>
      <c r="H132" t="str">
        <f t="shared" ref="H132:H149" si="43">G132&amp;"y"</f>
        <v>-3.75y</v>
      </c>
      <c r="I132" s="14">
        <f>IF(D132&lt;0,0,IF(ISERROR(FIND(".",D132)),D132*12&amp;"M",MID(D132,1,FIND(".",D132)-1)*12+ROUND((D132-MID(D132,1,FIND(".",D132)-1))*12,0)&amp;"M"))</f>
        <v>0</v>
      </c>
      <c r="K132" s="33"/>
    </row>
    <row r="133" spans="2:11" x14ac:dyDescent="0.2">
      <c r="B133" s="6"/>
      <c r="C133"/>
      <c r="D133">
        <f>Rolldown!D15-$C$132</f>
        <v>-3.5</v>
      </c>
      <c r="E133">
        <f>IF(D133&lt;0,0,IF(ISERROR(FIND(".",D133)),D133&amp;"y",MID(D133,1,FIND(".",D133)-1)&amp;"y"&amp;ROUND((D133-MID(D133,1,FIND(".",D133)-1))*12,0)&amp;"m"))</f>
        <v>0</v>
      </c>
      <c r="F133"/>
      <c r="G133">
        <f>Rolldown!D15-$F$132</f>
        <v>-3.5</v>
      </c>
      <c r="H133" t="str">
        <f t="shared" si="43"/>
        <v>-3.5y</v>
      </c>
      <c r="I133" s="14">
        <f t="shared" ref="I133:I149" si="44">IF(D133&lt;0,0,IF(ISERROR(FIND(".",D133)),D133*12&amp;"M",MID(D133,1,FIND(".",D133)-1)*12+ROUND((D133-MID(D133,1,FIND(".",D133)-1))*12,0)&amp;"M"))</f>
        <v>0</v>
      </c>
      <c r="K133" s="33"/>
    </row>
    <row r="134" spans="2:11" x14ac:dyDescent="0.2">
      <c r="B134" s="6"/>
      <c r="C134"/>
      <c r="D134">
        <f>Rolldown!D16-$C$132</f>
        <v>-3.25</v>
      </c>
      <c r="E134">
        <f>IF(D134&lt;0,0,IF(ISERROR(FIND(".",D134)),D134&amp;"y",MID(D134,1,FIND(".",D134)-1)&amp;"y"&amp;ROUND((D134-MID(D134,1,FIND(".",D134)-1))*12,0)&amp;"m"))</f>
        <v>0</v>
      </c>
      <c r="F134"/>
      <c r="G134">
        <f>Rolldown!D16-$F$132</f>
        <v>-3.25</v>
      </c>
      <c r="H134" t="str">
        <f t="shared" si="43"/>
        <v>-3.25y</v>
      </c>
      <c r="I134" s="14">
        <f t="shared" si="44"/>
        <v>0</v>
      </c>
      <c r="K134" s="33"/>
    </row>
    <row r="135" spans="2:11" x14ac:dyDescent="0.2">
      <c r="B135" s="6"/>
      <c r="C135"/>
      <c r="D135">
        <f>Rolldown!D17-$C$132</f>
        <v>-3</v>
      </c>
      <c r="E135">
        <f>IF(D135&lt;0,0,IF(ISERROR(FIND(".",D135)),D135&amp;"y",MID(D135,1,FIND(".",D135)-1)&amp;"y"&amp;ROUND((D135-MID(D135,1,FIND(".",D135)-1))*12,0)&amp;"m"))</f>
        <v>0</v>
      </c>
      <c r="F135"/>
      <c r="G135">
        <f>Rolldown!D17-$F$132</f>
        <v>-3</v>
      </c>
      <c r="H135" t="str">
        <f t="shared" si="43"/>
        <v>-3y</v>
      </c>
      <c r="I135" s="14">
        <f t="shared" si="44"/>
        <v>0</v>
      </c>
      <c r="K135" s="33"/>
    </row>
    <row r="136" spans="2:11" x14ac:dyDescent="0.2">
      <c r="B136" s="6"/>
      <c r="C136"/>
      <c r="D136">
        <f>Rolldown!D18-$C$132</f>
        <v>-2</v>
      </c>
      <c r="E136">
        <f>IF(D136&lt;0,0,IF(ISERROR(FIND(".",D136)),D136&amp;"y",MID(D136,1,FIND(".",D136)-1)&amp;"y"&amp;ROUND((D136-MID(D136,1,FIND(".",D136)-1))*12,0)&amp;"m"))</f>
        <v>0</v>
      </c>
      <c r="F136"/>
      <c r="G136">
        <f>Rolldown!D18-$F$132</f>
        <v>-2</v>
      </c>
      <c r="H136" t="str">
        <f t="shared" si="43"/>
        <v>-2y</v>
      </c>
      <c r="I136" s="14">
        <f t="shared" si="44"/>
        <v>0</v>
      </c>
      <c r="K136" s="33"/>
    </row>
    <row r="137" spans="2:11" x14ac:dyDescent="0.2">
      <c r="B137" s="6"/>
      <c r="C137"/>
      <c r="D137">
        <f>Rolldown!D19-$C$132</f>
        <v>-1</v>
      </c>
      <c r="E137">
        <f t="shared" ref="E137:E149" si="45">IF(D137&lt;0,0,IF(ISERROR(FIND(".",D137)),D137&amp;"y",MID(D137,1,FIND(".",D137)-1)&amp;"y"&amp;ROUND((D137-MID(D137,1,FIND(".",D137)-1))*12,0)&amp;"m"))</f>
        <v>0</v>
      </c>
      <c r="F137"/>
      <c r="G137">
        <f>Rolldown!D19-$F$132</f>
        <v>-1</v>
      </c>
      <c r="H137" t="str">
        <f t="shared" si="43"/>
        <v>-1y</v>
      </c>
      <c r="I137" s="14">
        <f t="shared" si="44"/>
        <v>0</v>
      </c>
      <c r="K137" s="33"/>
    </row>
    <row r="138" spans="2:11" x14ac:dyDescent="0.2">
      <c r="B138" s="6"/>
      <c r="C138"/>
      <c r="D138">
        <f>Rolldown!D20-$C$132</f>
        <v>0</v>
      </c>
      <c r="E138" t="str">
        <f t="shared" si="45"/>
        <v>0y</v>
      </c>
      <c r="F138"/>
      <c r="G138">
        <f>Rolldown!D20-$F$132</f>
        <v>0</v>
      </c>
      <c r="H138" t="str">
        <f t="shared" si="43"/>
        <v>0y</v>
      </c>
      <c r="I138" s="14" t="str">
        <f t="shared" si="44"/>
        <v>0M</v>
      </c>
      <c r="K138" s="33"/>
    </row>
    <row r="139" spans="2:11" x14ac:dyDescent="0.2">
      <c r="B139" s="6"/>
      <c r="C139"/>
      <c r="D139">
        <f>Rolldown!D21-$C$132</f>
        <v>1</v>
      </c>
      <c r="E139" t="str">
        <f t="shared" si="45"/>
        <v>1y</v>
      </c>
      <c r="F139"/>
      <c r="G139">
        <f>Rolldown!D21-$F$132</f>
        <v>1</v>
      </c>
      <c r="H139" t="str">
        <f t="shared" si="43"/>
        <v>1y</v>
      </c>
      <c r="I139" s="14" t="str">
        <f t="shared" si="44"/>
        <v>12M</v>
      </c>
      <c r="K139" s="33"/>
    </row>
    <row r="140" spans="2:11" x14ac:dyDescent="0.2">
      <c r="B140" s="6"/>
      <c r="C140"/>
      <c r="D140">
        <f>Rolldown!D22-$C$132</f>
        <v>2</v>
      </c>
      <c r="E140" t="str">
        <f t="shared" si="45"/>
        <v>2y</v>
      </c>
      <c r="F140"/>
      <c r="G140">
        <f>Rolldown!D22-$F$132</f>
        <v>2</v>
      </c>
      <c r="H140" t="str">
        <f t="shared" si="43"/>
        <v>2y</v>
      </c>
      <c r="I140" s="14" t="str">
        <f t="shared" si="44"/>
        <v>24M</v>
      </c>
      <c r="K140" s="33"/>
    </row>
    <row r="141" spans="2:11" x14ac:dyDescent="0.2">
      <c r="B141" s="6"/>
      <c r="C141"/>
      <c r="D141">
        <f>Rolldown!D23-$C$132</f>
        <v>3</v>
      </c>
      <c r="E141" t="str">
        <f t="shared" si="45"/>
        <v>3y</v>
      </c>
      <c r="F141"/>
      <c r="G141">
        <f>Rolldown!D23-$F$132</f>
        <v>3</v>
      </c>
      <c r="H141" t="str">
        <f t="shared" si="43"/>
        <v>3y</v>
      </c>
      <c r="I141" s="14" t="str">
        <f t="shared" si="44"/>
        <v>36M</v>
      </c>
      <c r="K141" s="33"/>
    </row>
    <row r="142" spans="2:11" x14ac:dyDescent="0.2">
      <c r="B142" s="6"/>
      <c r="C142"/>
      <c r="D142">
        <f>Rolldown!D24-$C$132</f>
        <v>4</v>
      </c>
      <c r="E142" t="str">
        <f t="shared" si="45"/>
        <v>4y</v>
      </c>
      <c r="F142"/>
      <c r="G142">
        <f>Rolldown!D24-$F$132</f>
        <v>4</v>
      </c>
      <c r="H142" t="str">
        <f t="shared" si="43"/>
        <v>4y</v>
      </c>
      <c r="I142" s="14" t="str">
        <f t="shared" si="44"/>
        <v>48M</v>
      </c>
      <c r="K142" s="33"/>
    </row>
    <row r="143" spans="2:11" x14ac:dyDescent="0.2">
      <c r="B143" s="6"/>
      <c r="C143"/>
      <c r="D143">
        <f>Rolldown!D25-$C$132</f>
        <v>5</v>
      </c>
      <c r="E143" t="str">
        <f t="shared" si="45"/>
        <v>5y</v>
      </c>
      <c r="F143"/>
      <c r="G143">
        <f>Rolldown!D25-$F$132</f>
        <v>5</v>
      </c>
      <c r="H143" t="str">
        <f t="shared" si="43"/>
        <v>5y</v>
      </c>
      <c r="I143" s="14" t="str">
        <f t="shared" si="44"/>
        <v>60M</v>
      </c>
      <c r="K143" s="33"/>
    </row>
    <row r="144" spans="2:11" x14ac:dyDescent="0.2">
      <c r="B144" s="6"/>
      <c r="C144"/>
      <c r="D144">
        <f>Rolldown!D26-$C$132</f>
        <v>6</v>
      </c>
      <c r="E144" t="str">
        <f t="shared" si="45"/>
        <v>6y</v>
      </c>
      <c r="F144"/>
      <c r="G144">
        <f>Rolldown!D26-$F$132</f>
        <v>6</v>
      </c>
      <c r="H144" t="str">
        <f t="shared" si="43"/>
        <v>6y</v>
      </c>
      <c r="I144" s="14" t="str">
        <f t="shared" si="44"/>
        <v>72M</v>
      </c>
      <c r="K144" s="33"/>
    </row>
    <row r="145" spans="2:11" x14ac:dyDescent="0.2">
      <c r="B145" s="6"/>
      <c r="C145"/>
      <c r="D145">
        <f>Rolldown!D27-$C$132</f>
        <v>8</v>
      </c>
      <c r="E145" t="str">
        <f t="shared" si="45"/>
        <v>8y</v>
      </c>
      <c r="F145"/>
      <c r="G145">
        <f>Rolldown!D27-$F$132</f>
        <v>8</v>
      </c>
      <c r="H145" t="str">
        <f t="shared" si="43"/>
        <v>8y</v>
      </c>
      <c r="I145" s="14" t="str">
        <f t="shared" si="44"/>
        <v>96M</v>
      </c>
      <c r="K145" s="33"/>
    </row>
    <row r="146" spans="2:11" x14ac:dyDescent="0.2">
      <c r="B146" s="6"/>
      <c r="C146"/>
      <c r="D146">
        <f>Rolldown!D28-$C$132</f>
        <v>11</v>
      </c>
      <c r="E146" t="str">
        <f t="shared" si="45"/>
        <v>11y</v>
      </c>
      <c r="F146"/>
      <c r="G146">
        <f>Rolldown!D28-$F$132</f>
        <v>11</v>
      </c>
      <c r="H146" t="str">
        <f t="shared" si="43"/>
        <v>11y</v>
      </c>
      <c r="I146" s="14" t="str">
        <f t="shared" si="44"/>
        <v>132M</v>
      </c>
      <c r="K146" s="33"/>
    </row>
    <row r="147" spans="2:11" x14ac:dyDescent="0.2">
      <c r="B147" s="6"/>
      <c r="C147"/>
      <c r="D147">
        <f>Rolldown!D29-$C$132</f>
        <v>16</v>
      </c>
      <c r="E147" t="str">
        <f t="shared" si="45"/>
        <v>16y</v>
      </c>
      <c r="F147"/>
      <c r="G147">
        <f>Rolldown!D29-$F$132</f>
        <v>16</v>
      </c>
      <c r="H147" t="str">
        <f t="shared" si="43"/>
        <v>16y</v>
      </c>
      <c r="I147" s="14" t="str">
        <f t="shared" si="44"/>
        <v>192M</v>
      </c>
      <c r="K147" s="33"/>
    </row>
    <row r="148" spans="2:11" x14ac:dyDescent="0.2">
      <c r="B148" s="6"/>
      <c r="C148"/>
      <c r="D148">
        <f>Rolldown!D30-$C$132</f>
        <v>21</v>
      </c>
      <c r="E148" t="str">
        <f t="shared" si="45"/>
        <v>21y</v>
      </c>
      <c r="F148"/>
      <c r="G148">
        <f>Rolldown!D30-$F$132</f>
        <v>21</v>
      </c>
      <c r="H148" t="str">
        <f t="shared" si="43"/>
        <v>21y</v>
      </c>
      <c r="I148" s="14" t="str">
        <f t="shared" si="44"/>
        <v>252M</v>
      </c>
      <c r="K148" s="33"/>
    </row>
    <row r="149" spans="2:11" x14ac:dyDescent="0.2">
      <c r="B149" s="6"/>
      <c r="D149">
        <f>Rolldown!D31-$C$132</f>
        <v>26</v>
      </c>
      <c r="E149" t="str">
        <f t="shared" si="45"/>
        <v>26y</v>
      </c>
      <c r="F149"/>
      <c r="G149">
        <f>Rolldown!D31-$F$132</f>
        <v>26</v>
      </c>
      <c r="H149" t="str">
        <f t="shared" si="43"/>
        <v>26y</v>
      </c>
      <c r="I149" s="14" t="str">
        <f t="shared" si="44"/>
        <v>312M</v>
      </c>
      <c r="K149" s="33"/>
    </row>
    <row r="150" spans="2:11" x14ac:dyDescent="0.2">
      <c r="B150" s="6"/>
      <c r="K150" s="33"/>
    </row>
    <row r="151" spans="2:11" x14ac:dyDescent="0.2">
      <c r="B151" s="6"/>
      <c r="K151" s="33"/>
    </row>
    <row r="152" spans="2:11" x14ac:dyDescent="0.2">
      <c r="B152" s="6"/>
      <c r="K152" s="33"/>
    </row>
    <row r="153" spans="2:11" x14ac:dyDescent="0.2">
      <c r="B153" s="6"/>
      <c r="K153" s="33"/>
    </row>
    <row r="154" spans="2:11" x14ac:dyDescent="0.2">
      <c r="B154" s="6"/>
      <c r="K154" s="33"/>
    </row>
    <row r="155" spans="2:11" x14ac:dyDescent="0.2">
      <c r="B155" s="6"/>
      <c r="K155" s="33"/>
    </row>
    <row r="156" spans="2:11" x14ac:dyDescent="0.2">
      <c r="B156" s="6"/>
      <c r="K156" s="33"/>
    </row>
    <row r="157" spans="2:11" x14ac:dyDescent="0.2">
      <c r="B157" s="6"/>
      <c r="K157" s="33"/>
    </row>
    <row r="158" spans="2:11" x14ac:dyDescent="0.2">
      <c r="B158" s="6"/>
      <c r="K158" s="33"/>
    </row>
    <row r="159" spans="2:11" x14ac:dyDescent="0.2">
      <c r="B159" s="6"/>
      <c r="K159" s="33"/>
    </row>
    <row r="160" spans="2:11" x14ac:dyDescent="0.2">
      <c r="B160" s="6"/>
      <c r="K160" s="33"/>
    </row>
    <row r="161" spans="2:11" x14ac:dyDescent="0.2">
      <c r="B161" s="6"/>
      <c r="K161" s="33"/>
    </row>
    <row r="162" spans="2:11" x14ac:dyDescent="0.2">
      <c r="B162" s="6"/>
      <c r="K162" s="33"/>
    </row>
    <row r="163" spans="2:11" x14ac:dyDescent="0.2">
      <c r="B163" s="6"/>
      <c r="K163" s="33"/>
    </row>
    <row r="164" spans="2:11" x14ac:dyDescent="0.2">
      <c r="B164" s="6"/>
      <c r="K164" s="33"/>
    </row>
    <row r="165" spans="2:11" x14ac:dyDescent="0.2">
      <c r="B165" s="6"/>
      <c r="K165" s="33"/>
    </row>
    <row r="166" spans="2:11" x14ac:dyDescent="0.2">
      <c r="B166" s="6"/>
      <c r="K166" s="33"/>
    </row>
    <row r="167" spans="2:11" x14ac:dyDescent="0.2">
      <c r="B167" s="6"/>
      <c r="K167" s="33"/>
    </row>
    <row r="168" spans="2:11" x14ac:dyDescent="0.2">
      <c r="B168" s="6"/>
      <c r="K168" s="33"/>
    </row>
    <row r="169" spans="2:11" x14ac:dyDescent="0.2">
      <c r="B169" s="6"/>
      <c r="K169" s="33"/>
    </row>
    <row r="170" spans="2:11" x14ac:dyDescent="0.2">
      <c r="B170" s="6"/>
      <c r="K170" s="33"/>
    </row>
    <row r="171" spans="2:11" x14ac:dyDescent="0.2">
      <c r="B171" s="6"/>
      <c r="K171" s="33"/>
    </row>
    <row r="172" spans="2:11" x14ac:dyDescent="0.2">
      <c r="B172" s="6"/>
      <c r="K172" s="33"/>
    </row>
    <row r="173" spans="2:11" x14ac:dyDescent="0.2">
      <c r="B173" s="6"/>
      <c r="K173" s="33"/>
    </row>
    <row r="174" spans="2:11" x14ac:dyDescent="0.2">
      <c r="B174" s="6"/>
      <c r="K174" s="33"/>
    </row>
    <row r="175" spans="2:11" x14ac:dyDescent="0.2">
      <c r="B175" s="6"/>
      <c r="K175" s="33"/>
    </row>
    <row r="176" spans="2:11" x14ac:dyDescent="0.2">
      <c r="B176" s="6"/>
      <c r="K176" s="33"/>
    </row>
    <row r="177" spans="2:11" x14ac:dyDescent="0.2">
      <c r="B177" s="6"/>
      <c r="K177" s="33"/>
    </row>
    <row r="178" spans="2:11" x14ac:dyDescent="0.2">
      <c r="K178" s="33"/>
    </row>
    <row r="179" spans="2:11" x14ac:dyDescent="0.2">
      <c r="K179" s="33"/>
    </row>
    <row r="180" spans="2:11" x14ac:dyDescent="0.2">
      <c r="K180" s="33"/>
    </row>
    <row r="181" spans="2:11" x14ac:dyDescent="0.2">
      <c r="K181" s="33"/>
    </row>
    <row r="182" spans="2:11" x14ac:dyDescent="0.2">
      <c r="K182" s="33"/>
    </row>
    <row r="183" spans="2:11" x14ac:dyDescent="0.2">
      <c r="K183" s="33"/>
    </row>
    <row r="184" spans="2:11" x14ac:dyDescent="0.2">
      <c r="K184" s="33"/>
    </row>
    <row r="185" spans="2:11" x14ac:dyDescent="0.2">
      <c r="K185" s="33"/>
    </row>
    <row r="186" spans="2:11" x14ac:dyDescent="0.2">
      <c r="K186" s="33"/>
    </row>
    <row r="187" spans="2:11" x14ac:dyDescent="0.2">
      <c r="K187" s="33"/>
    </row>
    <row r="188" spans="2:11" x14ac:dyDescent="0.2">
      <c r="K188" s="33"/>
    </row>
    <row r="189" spans="2:11" x14ac:dyDescent="0.2">
      <c r="K189" s="33"/>
    </row>
    <row r="190" spans="2:11" x14ac:dyDescent="0.2">
      <c r="K190" s="33"/>
    </row>
    <row r="191" spans="2:11" x14ac:dyDescent="0.2">
      <c r="K191" s="33"/>
    </row>
    <row r="192" spans="2:11" x14ac:dyDescent="0.2">
      <c r="K192" s="33"/>
    </row>
    <row r="193" spans="11:11" x14ac:dyDescent="0.2">
      <c r="K193" s="33"/>
    </row>
    <row r="194" spans="11:11" x14ac:dyDescent="0.2">
      <c r="K194" s="33"/>
    </row>
    <row r="195" spans="11:11" x14ac:dyDescent="0.2">
      <c r="K195" s="33"/>
    </row>
    <row r="196" spans="11:11" x14ac:dyDescent="0.2">
      <c r="K196" s="33"/>
    </row>
    <row r="197" spans="11:11" x14ac:dyDescent="0.2">
      <c r="K197" s="33"/>
    </row>
    <row r="198" spans="11:11" x14ac:dyDescent="0.2">
      <c r="K198" s="33"/>
    </row>
    <row r="199" spans="11:11" x14ac:dyDescent="0.2">
      <c r="K199" s="33"/>
    </row>
    <row r="200" spans="11:11" x14ac:dyDescent="0.2">
      <c r="K200" s="33"/>
    </row>
    <row r="201" spans="11:11" x14ac:dyDescent="0.2">
      <c r="K201" s="33"/>
    </row>
    <row r="202" spans="11:11" x14ac:dyDescent="0.2">
      <c r="K202" s="33"/>
    </row>
    <row r="203" spans="11:11" x14ac:dyDescent="0.2">
      <c r="K203" s="33"/>
    </row>
    <row r="204" spans="11:11" x14ac:dyDescent="0.2">
      <c r="K204" s="33"/>
    </row>
    <row r="205" spans="11:11" x14ac:dyDescent="0.2">
      <c r="K205" s="33"/>
    </row>
    <row r="206" spans="11:11" x14ac:dyDescent="0.2">
      <c r="K206" s="33"/>
    </row>
    <row r="207" spans="11:11" x14ac:dyDescent="0.2">
      <c r="K207" s="33"/>
    </row>
    <row r="208" spans="11:11" x14ac:dyDescent="0.2">
      <c r="K208" s="33"/>
    </row>
    <row r="209" spans="11:11" x14ac:dyDescent="0.2">
      <c r="K209" s="33"/>
    </row>
    <row r="210" spans="11:11" x14ac:dyDescent="0.2">
      <c r="K210" s="33"/>
    </row>
    <row r="211" spans="11:11" x14ac:dyDescent="0.2">
      <c r="K211" s="33"/>
    </row>
    <row r="212" spans="11:11" x14ac:dyDescent="0.2">
      <c r="K212" s="33"/>
    </row>
    <row r="213" spans="11:11" x14ac:dyDescent="0.2">
      <c r="K213" s="33"/>
    </row>
    <row r="214" spans="11:11" x14ac:dyDescent="0.2">
      <c r="K214" s="33"/>
    </row>
    <row r="215" spans="11:11" x14ac:dyDescent="0.2">
      <c r="K215" s="33"/>
    </row>
    <row r="216" spans="11:11" x14ac:dyDescent="0.2">
      <c r="K216" s="33"/>
    </row>
    <row r="217" spans="11:11" x14ac:dyDescent="0.2">
      <c r="K217" s="33"/>
    </row>
    <row r="218" spans="11:11" x14ac:dyDescent="0.2">
      <c r="K218" s="33"/>
    </row>
    <row r="219" spans="11:11" x14ac:dyDescent="0.2">
      <c r="K219" s="33"/>
    </row>
    <row r="220" spans="11:11" x14ac:dyDescent="0.2">
      <c r="K220" s="33"/>
    </row>
    <row r="221" spans="11:11" x14ac:dyDescent="0.2">
      <c r="K221" s="33"/>
    </row>
    <row r="222" spans="11:11" x14ac:dyDescent="0.2">
      <c r="K222" s="33"/>
    </row>
    <row r="223" spans="11:11" x14ac:dyDescent="0.2">
      <c r="K223" s="33"/>
    </row>
    <row r="224" spans="11:11" x14ac:dyDescent="0.2">
      <c r="K224" s="33"/>
    </row>
    <row r="225" spans="11:11" x14ac:dyDescent="0.2">
      <c r="K225" s="33"/>
    </row>
    <row r="226" spans="11:11" x14ac:dyDescent="0.2">
      <c r="K226" s="33"/>
    </row>
    <row r="227" spans="11:11" x14ac:dyDescent="0.2">
      <c r="K227" s="33"/>
    </row>
    <row r="228" spans="11:11" x14ac:dyDescent="0.2">
      <c r="K228" s="33"/>
    </row>
    <row r="229" spans="11:11" x14ac:dyDescent="0.2">
      <c r="K229" s="33"/>
    </row>
    <row r="230" spans="11:11" x14ac:dyDescent="0.2">
      <c r="K230" s="33"/>
    </row>
    <row r="231" spans="11:11" x14ac:dyDescent="0.2">
      <c r="K231" s="33"/>
    </row>
    <row r="232" spans="11:11" x14ac:dyDescent="0.2">
      <c r="K232" s="33"/>
    </row>
    <row r="233" spans="11:11" x14ac:dyDescent="0.2">
      <c r="K233" s="33"/>
    </row>
    <row r="234" spans="11:11" x14ac:dyDescent="0.2">
      <c r="K234" s="33"/>
    </row>
    <row r="235" spans="11:11" x14ac:dyDescent="0.2">
      <c r="K235" s="33"/>
    </row>
    <row r="236" spans="11:11" x14ac:dyDescent="0.2">
      <c r="K236" s="33"/>
    </row>
    <row r="237" spans="11:11" x14ac:dyDescent="0.2">
      <c r="K237" s="33"/>
    </row>
    <row r="238" spans="11:11" x14ac:dyDescent="0.2">
      <c r="K238" s="33"/>
    </row>
    <row r="239" spans="11:11" x14ac:dyDescent="0.2">
      <c r="K239" s="33"/>
    </row>
    <row r="240" spans="11:11" x14ac:dyDescent="0.2">
      <c r="K240" s="33"/>
    </row>
    <row r="241" spans="11:11" x14ac:dyDescent="0.2">
      <c r="K241" s="33"/>
    </row>
    <row r="242" spans="11:11" x14ac:dyDescent="0.2">
      <c r="K242" s="33"/>
    </row>
    <row r="243" spans="11:11" x14ac:dyDescent="0.2">
      <c r="K243" s="33"/>
    </row>
    <row r="244" spans="11:11" x14ac:dyDescent="0.2">
      <c r="K244" s="33"/>
    </row>
    <row r="245" spans="11:11" x14ac:dyDescent="0.2">
      <c r="K245" s="33"/>
    </row>
    <row r="246" spans="11:11" x14ac:dyDescent="0.2">
      <c r="K246" s="33"/>
    </row>
    <row r="247" spans="11:11" x14ac:dyDescent="0.2">
      <c r="K247" s="33"/>
    </row>
    <row r="248" spans="11:11" x14ac:dyDescent="0.2">
      <c r="K248" s="33"/>
    </row>
    <row r="249" spans="11:11" x14ac:dyDescent="0.2">
      <c r="K249" s="33"/>
    </row>
    <row r="250" spans="11:11" x14ac:dyDescent="0.2">
      <c r="K250" s="33"/>
    </row>
    <row r="251" spans="11:11" x14ac:dyDescent="0.2">
      <c r="K251" s="33"/>
    </row>
    <row r="252" spans="11:11" x14ac:dyDescent="0.2">
      <c r="K252" s="33"/>
    </row>
    <row r="253" spans="11:11" x14ac:dyDescent="0.2">
      <c r="K253" s="33"/>
    </row>
    <row r="254" spans="11:11" x14ac:dyDescent="0.2">
      <c r="K254" s="33"/>
    </row>
    <row r="255" spans="11:11" x14ac:dyDescent="0.2">
      <c r="K255" s="33"/>
    </row>
    <row r="256" spans="11:11" x14ac:dyDescent="0.2">
      <c r="K256" s="33"/>
    </row>
    <row r="257" spans="11:11" x14ac:dyDescent="0.2">
      <c r="K257" s="33"/>
    </row>
    <row r="258" spans="11:11" x14ac:dyDescent="0.2">
      <c r="K258" s="33"/>
    </row>
    <row r="259" spans="11:11" x14ac:dyDescent="0.2">
      <c r="K259" s="33"/>
    </row>
    <row r="260" spans="11:11" x14ac:dyDescent="0.2">
      <c r="K260" s="33"/>
    </row>
    <row r="261" spans="11:11" x14ac:dyDescent="0.2">
      <c r="K261" s="33"/>
    </row>
    <row r="262" spans="11:11" x14ac:dyDescent="0.2">
      <c r="K262" s="33"/>
    </row>
    <row r="263" spans="11:11" x14ac:dyDescent="0.2">
      <c r="K263" s="33"/>
    </row>
    <row r="264" spans="11:11" x14ac:dyDescent="0.2">
      <c r="K264" s="33"/>
    </row>
    <row r="265" spans="11:11" x14ac:dyDescent="0.2">
      <c r="K265" s="33"/>
    </row>
    <row r="266" spans="11:11" x14ac:dyDescent="0.2">
      <c r="K266" s="33"/>
    </row>
    <row r="267" spans="11:11" x14ac:dyDescent="0.2">
      <c r="K267" s="33"/>
    </row>
    <row r="268" spans="11:11" x14ac:dyDescent="0.2">
      <c r="K268" s="33"/>
    </row>
    <row r="269" spans="11:11" x14ac:dyDescent="0.2">
      <c r="K269" s="33"/>
    </row>
    <row r="270" spans="11:11" x14ac:dyDescent="0.2">
      <c r="K270" s="33"/>
    </row>
    <row r="271" spans="11:11" x14ac:dyDescent="0.2">
      <c r="K271" s="33"/>
    </row>
    <row r="272" spans="11:11" x14ac:dyDescent="0.2">
      <c r="K272" s="33"/>
    </row>
    <row r="273" spans="11:11" x14ac:dyDescent="0.2">
      <c r="K273" s="33"/>
    </row>
    <row r="274" spans="11:11" x14ac:dyDescent="0.2">
      <c r="K274" s="33"/>
    </row>
    <row r="275" spans="11:11" x14ac:dyDescent="0.2">
      <c r="K275" s="33"/>
    </row>
    <row r="276" spans="11:11" x14ac:dyDescent="0.2">
      <c r="K276" s="33"/>
    </row>
    <row r="277" spans="11:11" x14ac:dyDescent="0.2">
      <c r="K277" s="33"/>
    </row>
    <row r="278" spans="11:11" x14ac:dyDescent="0.2">
      <c r="K278" s="33"/>
    </row>
    <row r="279" spans="11:11" x14ac:dyDescent="0.2">
      <c r="K279" s="33"/>
    </row>
    <row r="280" spans="11:11" x14ac:dyDescent="0.2">
      <c r="K280" s="33"/>
    </row>
    <row r="281" spans="11:11" x14ac:dyDescent="0.2">
      <c r="K281" s="33"/>
    </row>
    <row r="282" spans="11:11" x14ac:dyDescent="0.2">
      <c r="K282" s="33"/>
    </row>
    <row r="283" spans="11:11" x14ac:dyDescent="0.2">
      <c r="K283" s="33"/>
    </row>
    <row r="284" spans="11:11" x14ac:dyDescent="0.2">
      <c r="K284" s="33"/>
    </row>
    <row r="285" spans="11:11" x14ac:dyDescent="0.2">
      <c r="K285" s="33"/>
    </row>
    <row r="286" spans="11:11" x14ac:dyDescent="0.2">
      <c r="K286" s="33"/>
    </row>
    <row r="287" spans="11:11" x14ac:dyDescent="0.2">
      <c r="K287" s="33"/>
    </row>
    <row r="288" spans="11:11" x14ac:dyDescent="0.2">
      <c r="K288" s="33"/>
    </row>
    <row r="289" spans="11:11" x14ac:dyDescent="0.2">
      <c r="K289" s="33"/>
    </row>
    <row r="290" spans="11:11" x14ac:dyDescent="0.2">
      <c r="K290" s="33"/>
    </row>
    <row r="291" spans="11:11" x14ac:dyDescent="0.2">
      <c r="K291" s="33"/>
    </row>
    <row r="292" spans="11:11" x14ac:dyDescent="0.2">
      <c r="K292" s="33"/>
    </row>
    <row r="293" spans="11:11" x14ac:dyDescent="0.2">
      <c r="K293" s="33"/>
    </row>
    <row r="294" spans="11:11" x14ac:dyDescent="0.2">
      <c r="K294" s="33"/>
    </row>
    <row r="295" spans="11:11" x14ac:dyDescent="0.2">
      <c r="K295" s="33"/>
    </row>
    <row r="296" spans="11:11" x14ac:dyDescent="0.2">
      <c r="K296" s="33"/>
    </row>
    <row r="297" spans="11:11" x14ac:dyDescent="0.2">
      <c r="K297" s="33"/>
    </row>
    <row r="298" spans="11:11" x14ac:dyDescent="0.2">
      <c r="K298" s="33"/>
    </row>
    <row r="299" spans="11:11" x14ac:dyDescent="0.2">
      <c r="K299" s="33"/>
    </row>
    <row r="300" spans="11:11" x14ac:dyDescent="0.2">
      <c r="K300" s="33"/>
    </row>
    <row r="301" spans="11:11" x14ac:dyDescent="0.2">
      <c r="K301" s="33"/>
    </row>
    <row r="302" spans="11:11" x14ac:dyDescent="0.2">
      <c r="K302" s="33"/>
    </row>
    <row r="303" spans="11:11" x14ac:dyDescent="0.2">
      <c r="K303" s="33"/>
    </row>
    <row r="304" spans="11:11" x14ac:dyDescent="0.2">
      <c r="K304" s="33"/>
    </row>
    <row r="305" spans="11:11" x14ac:dyDescent="0.2">
      <c r="K305" s="33"/>
    </row>
    <row r="306" spans="11:11" x14ac:dyDescent="0.2">
      <c r="K306" s="33"/>
    </row>
    <row r="307" spans="11:11" x14ac:dyDescent="0.2">
      <c r="K307" s="33"/>
    </row>
    <row r="308" spans="11:11" x14ac:dyDescent="0.2">
      <c r="K308" s="33"/>
    </row>
    <row r="309" spans="11:11" x14ac:dyDescent="0.2">
      <c r="K309" s="33"/>
    </row>
    <row r="310" spans="11:11" x14ac:dyDescent="0.2">
      <c r="K310" s="33"/>
    </row>
    <row r="311" spans="11:11" x14ac:dyDescent="0.2">
      <c r="K311" s="33"/>
    </row>
    <row r="312" spans="11:11" x14ac:dyDescent="0.2">
      <c r="K312" s="33"/>
    </row>
    <row r="313" spans="11:11" x14ac:dyDescent="0.2">
      <c r="K313" s="33"/>
    </row>
    <row r="314" spans="11:11" x14ac:dyDescent="0.2">
      <c r="K314" s="33"/>
    </row>
    <row r="315" spans="11:11" x14ac:dyDescent="0.2">
      <c r="K315" s="33"/>
    </row>
    <row r="316" spans="11:11" x14ac:dyDescent="0.2">
      <c r="K316" s="33"/>
    </row>
    <row r="317" spans="11:11" x14ac:dyDescent="0.2">
      <c r="K317" s="33"/>
    </row>
    <row r="318" spans="11:11" x14ac:dyDescent="0.2">
      <c r="K318" s="33"/>
    </row>
    <row r="319" spans="11:11" x14ac:dyDescent="0.2">
      <c r="K319" s="33"/>
    </row>
    <row r="320" spans="11:11" x14ac:dyDescent="0.2">
      <c r="K320" s="33"/>
    </row>
    <row r="321" spans="11:11" x14ac:dyDescent="0.2">
      <c r="K321" s="33"/>
    </row>
    <row r="322" spans="11:11" x14ac:dyDescent="0.2">
      <c r="K322" s="33"/>
    </row>
    <row r="323" spans="11:11" x14ac:dyDescent="0.2">
      <c r="K323" s="33"/>
    </row>
    <row r="324" spans="11:11" x14ac:dyDescent="0.2">
      <c r="K324" s="33"/>
    </row>
    <row r="325" spans="11:11" x14ac:dyDescent="0.2">
      <c r="K325" s="33"/>
    </row>
    <row r="326" spans="11:11" x14ac:dyDescent="0.2">
      <c r="K326" s="33"/>
    </row>
    <row r="327" spans="11:11" x14ac:dyDescent="0.2">
      <c r="K327" s="33"/>
    </row>
    <row r="328" spans="11:11" x14ac:dyDescent="0.2">
      <c r="K328" s="33"/>
    </row>
    <row r="329" spans="11:11" x14ac:dyDescent="0.2">
      <c r="K329" s="33"/>
    </row>
    <row r="330" spans="11:11" x14ac:dyDescent="0.2">
      <c r="K330" s="33"/>
    </row>
    <row r="331" spans="11:11" x14ac:dyDescent="0.2">
      <c r="K331" s="33"/>
    </row>
    <row r="332" spans="11:11" x14ac:dyDescent="0.2">
      <c r="K332" s="33"/>
    </row>
    <row r="333" spans="11:11" x14ac:dyDescent="0.2">
      <c r="K333" s="33"/>
    </row>
    <row r="334" spans="11:11" x14ac:dyDescent="0.2">
      <c r="K334" s="33"/>
    </row>
    <row r="335" spans="11:11" x14ac:dyDescent="0.2">
      <c r="K335" s="33"/>
    </row>
    <row r="336" spans="11:11" x14ac:dyDescent="0.2">
      <c r="K336" s="33"/>
    </row>
    <row r="337" spans="11:11" x14ac:dyDescent="0.2">
      <c r="K337" s="33"/>
    </row>
    <row r="338" spans="11:11" x14ac:dyDescent="0.2">
      <c r="K338" s="33"/>
    </row>
    <row r="339" spans="11:11" x14ac:dyDescent="0.2">
      <c r="K339" s="33"/>
    </row>
    <row r="340" spans="11:11" x14ac:dyDescent="0.2">
      <c r="K340" s="33"/>
    </row>
    <row r="341" spans="11:11" x14ac:dyDescent="0.2">
      <c r="K341" s="33"/>
    </row>
    <row r="342" spans="11:11" x14ac:dyDescent="0.2">
      <c r="K342" s="33"/>
    </row>
    <row r="343" spans="11:11" x14ac:dyDescent="0.2">
      <c r="K343" s="33"/>
    </row>
    <row r="344" spans="11:11" x14ac:dyDescent="0.2">
      <c r="K344" s="33"/>
    </row>
    <row r="345" spans="11:11" x14ac:dyDescent="0.2">
      <c r="K345" s="33"/>
    </row>
    <row r="346" spans="11:11" x14ac:dyDescent="0.2">
      <c r="K346" s="33"/>
    </row>
    <row r="347" spans="11:11" x14ac:dyDescent="0.2">
      <c r="K347" s="33"/>
    </row>
    <row r="348" spans="11:11" x14ac:dyDescent="0.2">
      <c r="K348" s="33"/>
    </row>
    <row r="349" spans="11:11" x14ac:dyDescent="0.2">
      <c r="K349" s="33"/>
    </row>
    <row r="350" spans="11:11" x14ac:dyDescent="0.2">
      <c r="K350" s="33"/>
    </row>
    <row r="351" spans="11:11" x14ac:dyDescent="0.2">
      <c r="K351" s="33"/>
    </row>
    <row r="352" spans="11:11" x14ac:dyDescent="0.2">
      <c r="K352" s="33"/>
    </row>
    <row r="353" spans="11:11" x14ac:dyDescent="0.2">
      <c r="K353" s="33"/>
    </row>
    <row r="354" spans="11:11" x14ac:dyDescent="0.2">
      <c r="K354" s="33"/>
    </row>
    <row r="355" spans="11:11" x14ac:dyDescent="0.2">
      <c r="K355" s="33"/>
    </row>
    <row r="356" spans="11:11" x14ac:dyDescent="0.2">
      <c r="K356" s="33"/>
    </row>
    <row r="357" spans="11:11" x14ac:dyDescent="0.2">
      <c r="K357" s="33"/>
    </row>
    <row r="358" spans="11:11" x14ac:dyDescent="0.2">
      <c r="K358" s="33"/>
    </row>
    <row r="359" spans="11:11" x14ac:dyDescent="0.2">
      <c r="K359" s="33"/>
    </row>
    <row r="360" spans="11:11" x14ac:dyDescent="0.2">
      <c r="K360" s="33"/>
    </row>
    <row r="361" spans="11:11" x14ac:dyDescent="0.2">
      <c r="K361" s="33"/>
    </row>
    <row r="362" spans="11:11" x14ac:dyDescent="0.2">
      <c r="K362" s="33"/>
    </row>
    <row r="363" spans="11:11" x14ac:dyDescent="0.2">
      <c r="K363" s="33"/>
    </row>
    <row r="364" spans="11:11" x14ac:dyDescent="0.2">
      <c r="K364" s="33"/>
    </row>
    <row r="365" spans="11:11" x14ac:dyDescent="0.2">
      <c r="K365" s="33"/>
    </row>
    <row r="366" spans="11:11" x14ac:dyDescent="0.2">
      <c r="K366" s="33"/>
    </row>
    <row r="367" spans="11:11" x14ac:dyDescent="0.2">
      <c r="K367" s="33"/>
    </row>
    <row r="368" spans="11:11" x14ac:dyDescent="0.2">
      <c r="K368" s="33"/>
    </row>
    <row r="369" spans="11:11" x14ac:dyDescent="0.2">
      <c r="K369" s="33"/>
    </row>
    <row r="370" spans="11:11" x14ac:dyDescent="0.2">
      <c r="K370" s="33"/>
    </row>
    <row r="371" spans="11:11" x14ac:dyDescent="0.2">
      <c r="K371" s="33"/>
    </row>
    <row r="372" spans="11:11" x14ac:dyDescent="0.2">
      <c r="K372" s="33"/>
    </row>
    <row r="373" spans="11:11" x14ac:dyDescent="0.2">
      <c r="K373" s="33"/>
    </row>
    <row r="374" spans="11:11" x14ac:dyDescent="0.2">
      <c r="K374" s="33"/>
    </row>
    <row r="375" spans="11:11" x14ac:dyDescent="0.2">
      <c r="K375" s="33"/>
    </row>
    <row r="376" spans="11:11" x14ac:dyDescent="0.2">
      <c r="K376" s="33"/>
    </row>
    <row r="377" spans="11:11" x14ac:dyDescent="0.2">
      <c r="K377" s="33"/>
    </row>
    <row r="378" spans="11:11" x14ac:dyDescent="0.2">
      <c r="K378" s="33"/>
    </row>
    <row r="379" spans="11:11" x14ac:dyDescent="0.2">
      <c r="K379" s="33"/>
    </row>
    <row r="380" spans="11:11" x14ac:dyDescent="0.2">
      <c r="K380" s="33"/>
    </row>
    <row r="381" spans="11:11" x14ac:dyDescent="0.2">
      <c r="K381" s="33"/>
    </row>
    <row r="382" spans="11:11" x14ac:dyDescent="0.2">
      <c r="K382" s="33"/>
    </row>
    <row r="383" spans="11:11" x14ac:dyDescent="0.2">
      <c r="K383" s="33"/>
    </row>
    <row r="384" spans="11:11" x14ac:dyDescent="0.2">
      <c r="K384" s="33"/>
    </row>
    <row r="385" spans="11:11" x14ac:dyDescent="0.2">
      <c r="K385" s="33"/>
    </row>
    <row r="386" spans="11:11" x14ac:dyDescent="0.2">
      <c r="K386" s="33"/>
    </row>
    <row r="387" spans="11:11" x14ac:dyDescent="0.2">
      <c r="K387" s="33"/>
    </row>
    <row r="388" spans="11:11" x14ac:dyDescent="0.2">
      <c r="K388" s="33"/>
    </row>
    <row r="389" spans="11:11" x14ac:dyDescent="0.2">
      <c r="K389" s="33"/>
    </row>
    <row r="390" spans="11:11" x14ac:dyDescent="0.2">
      <c r="K390" s="33"/>
    </row>
    <row r="391" spans="11:11" x14ac:dyDescent="0.2">
      <c r="K391" s="33"/>
    </row>
    <row r="392" spans="11:11" x14ac:dyDescent="0.2">
      <c r="K392" s="33"/>
    </row>
    <row r="393" spans="11:11" x14ac:dyDescent="0.2">
      <c r="K393" s="33"/>
    </row>
    <row r="394" spans="11:11" x14ac:dyDescent="0.2">
      <c r="K394" s="33"/>
    </row>
    <row r="395" spans="11:11" x14ac:dyDescent="0.2">
      <c r="K395" s="33"/>
    </row>
  </sheetData>
  <dataConsolidate/>
  <phoneticPr fontId="2" type="noConversion"/>
  <conditionalFormatting sqref="L37:L49 L54:L128 K54:K59 J129:J65536 J8:J36">
    <cfRule type="cellIs" dxfId="12" priority="15" stopIfTrue="1" operator="equal">
      <formula>"Potential"</formula>
    </cfRule>
    <cfRule type="cellIs" dxfId="11" priority="16" stopIfTrue="1" operator="equal">
      <formula>"Not Realized"</formula>
    </cfRule>
  </conditionalFormatting>
  <conditionalFormatting sqref="I129:I130 K37:K53 K61:K128 H131:H135 H137:H149 I150:I65536 I8:I36">
    <cfRule type="cellIs" dxfId="10" priority="17" stopIfTrue="1" operator="equal">
      <formula>"Sale"</formula>
    </cfRule>
    <cfRule type="cellIs" dxfId="9" priority="18" stopIfTrue="1" operator="equal">
      <formula>"Enhancement"</formula>
    </cfRule>
    <cfRule type="cellIs" dxfId="8" priority="19" stopIfTrue="1" operator="equal">
      <formula>"Development"</formula>
    </cfRule>
  </conditionalFormatting>
  <conditionalFormatting sqref="G37 E129:E132 G42:G56 G60:G128 H131:H135 H137:H149 E137:E65536 E34:E36 E15:E32 E10:E12">
    <cfRule type="cellIs" dxfId="7" priority="20" stopIfTrue="1" operator="equal">
      <formula>"Open"</formula>
    </cfRule>
  </conditionalFormatting>
  <conditionalFormatting sqref="E135">
    <cfRule type="cellIs" dxfId="6" priority="7" stopIfTrue="1" operator="equal">
      <formula>"Open"</formula>
    </cfRule>
  </conditionalFormatting>
  <conditionalFormatting sqref="E134">
    <cfRule type="cellIs" dxfId="5" priority="6" stopIfTrue="1" operator="equal">
      <formula>"Open"</formula>
    </cfRule>
  </conditionalFormatting>
  <conditionalFormatting sqref="E133">
    <cfRule type="cellIs" dxfId="4" priority="5" stopIfTrue="1" operator="equal">
      <formula>"Open"</formula>
    </cfRule>
  </conditionalFormatting>
  <conditionalFormatting sqref="H136">
    <cfRule type="cellIs" dxfId="3" priority="1" stopIfTrue="1" operator="equal">
      <formula>"Sale"</formula>
    </cfRule>
    <cfRule type="cellIs" dxfId="2" priority="2" stopIfTrue="1" operator="equal">
      <formula>"Enhancement"</formula>
    </cfRule>
    <cfRule type="cellIs" dxfId="1" priority="3" stopIfTrue="1" operator="equal">
      <formula>"Development"</formula>
    </cfRule>
  </conditionalFormatting>
  <conditionalFormatting sqref="E136 H136">
    <cfRule type="cellIs" dxfId="0" priority="4" stopIfTrue="1" operator="equal">
      <formula>"Open"</formula>
    </cfRule>
  </conditionalFormatting>
  <dataValidations count="4">
    <dataValidation type="list" allowBlank="1" showInputMessage="1" showErrorMessage="1" sqref="K61:K128 I129:I130 I150:I65536">
      <formula1>"Sale,Displacement,Enhancement,Relationship,Support,Development"</formula1>
    </dataValidation>
    <dataValidation type="list" allowBlank="1" showInputMessage="1" showErrorMessage="1" sqref="L61:L128 J129:J65536">
      <formula1>"Potential,Realized, Not Realized"</formula1>
    </dataValidation>
    <dataValidation type="list" allowBlank="1" showInputMessage="1" showErrorMessage="1" sqref="G61:G128 E129:E130 E150:E65536">
      <formula1>"Open,Closed"</formula1>
    </dataValidation>
    <dataValidation allowBlank="1" showInputMessage="1" showErrorMessage="1" sqref="E8"/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:AN57"/>
  <sheetViews>
    <sheetView showGridLines="0" tabSelected="1" zoomScale="85" zoomScaleNormal="85" workbookViewId="0">
      <selection activeCell="H17" sqref="H17"/>
    </sheetView>
  </sheetViews>
  <sheetFormatPr defaultRowHeight="12.75" x14ac:dyDescent="0.2"/>
  <cols>
    <col min="1" max="1" width="2.5703125" customWidth="1"/>
    <col min="2" max="2" width="10.7109375" bestFit="1" customWidth="1"/>
    <col min="3" max="3" width="13.42578125" bestFit="1" customWidth="1"/>
    <col min="4" max="4" width="11.5703125" customWidth="1"/>
    <col min="6" max="6" width="8.7109375" customWidth="1"/>
    <col min="7" max="7" width="9.7109375" customWidth="1"/>
    <col min="8" max="8" width="9.140625" bestFit="1" customWidth="1"/>
    <col min="9" max="9" width="2.85546875" customWidth="1"/>
    <col min="10" max="10" width="9" customWidth="1"/>
    <col min="11" max="11" width="8.5703125" customWidth="1"/>
    <col min="13" max="13" width="9.42578125" customWidth="1"/>
    <col min="14" max="14" width="2.140625" customWidth="1"/>
    <col min="18" max="18" width="8" customWidth="1"/>
    <col min="19" max="19" width="2.42578125" customWidth="1"/>
    <col min="24" max="24" width="2.28515625" customWidth="1"/>
    <col min="27" max="27" width="9.42578125" customWidth="1"/>
    <col min="28" max="28" width="11" customWidth="1"/>
    <col min="37" max="37" width="13.140625" customWidth="1"/>
  </cols>
  <sheetData>
    <row r="7" spans="2:40" x14ac:dyDescent="0.2">
      <c r="B7" s="167" t="s">
        <v>2</v>
      </c>
      <c r="C7" s="168" t="s">
        <v>344</v>
      </c>
      <c r="E7" s="101"/>
    </row>
    <row r="8" spans="2:40" x14ac:dyDescent="0.2">
      <c r="B8" s="169" t="s">
        <v>29</v>
      </c>
      <c r="C8" s="170" t="s">
        <v>40</v>
      </c>
    </row>
    <row r="9" spans="2:40" x14ac:dyDescent="0.2">
      <c r="B9" s="169" t="s">
        <v>4</v>
      </c>
      <c r="C9" s="171">
        <f ca="1">TODAY()</f>
        <v>41445</v>
      </c>
      <c r="G9" s="236" t="s">
        <v>34</v>
      </c>
      <c r="H9" s="236"/>
    </row>
    <row r="10" spans="2:40" x14ac:dyDescent="0.2">
      <c r="B10" s="172" t="s">
        <v>3</v>
      </c>
      <c r="C10" s="173">
        <f ca="1">IF(ISERROR(settdate(CrvDate,MCrvCrncy)),crvgetsettlement(MCrvCrncy),settdate(CrvDate,MCrvCrncy))</f>
        <v>41449</v>
      </c>
      <c r="G10" s="237" t="s">
        <v>447</v>
      </c>
      <c r="H10" s="238"/>
    </row>
    <row r="11" spans="2:40" ht="16.5" thickBot="1" x14ac:dyDescent="0.3">
      <c r="B11" s="198" t="s">
        <v>446</v>
      </c>
      <c r="C11" s="160"/>
      <c r="D11" s="199" t="s">
        <v>340</v>
      </c>
      <c r="AA11" s="98"/>
      <c r="AB11" s="224">
        <f>(LEFT(AB12,FIND("Y",UPPER(AB12))-1)*12)+(MID(AB12,FIND("Y",UPPER(AB12))+1,FIND("M",UPPER(AB12))-FIND("Y",UPPER(AB12))-1))</f>
        <v>48</v>
      </c>
    </row>
    <row r="12" spans="2:40" ht="15" customHeight="1" thickBot="1" x14ac:dyDescent="0.25">
      <c r="D12" s="155"/>
      <c r="E12" s="233" t="s">
        <v>118</v>
      </c>
      <c r="F12" s="233"/>
      <c r="G12" s="233"/>
      <c r="H12" s="234"/>
      <c r="J12" s="235" t="s">
        <v>165</v>
      </c>
      <c r="K12" s="233"/>
      <c r="L12" s="233"/>
      <c r="M12" s="234"/>
      <c r="O12" s="235" t="s">
        <v>119</v>
      </c>
      <c r="P12" s="233"/>
      <c r="Q12" s="233"/>
      <c r="R12" s="234"/>
      <c r="T12" s="235" t="s">
        <v>120</v>
      </c>
      <c r="U12" s="233"/>
      <c r="V12" s="233"/>
      <c r="W12" s="234"/>
      <c r="Y12" s="174" t="s">
        <v>276</v>
      </c>
      <c r="Z12" s="175"/>
      <c r="AA12" s="175"/>
      <c r="AB12" s="196" t="s">
        <v>232</v>
      </c>
    </row>
    <row r="13" spans="2:40" ht="14.25" thickTop="1" thickBot="1" x14ac:dyDescent="0.25">
      <c r="B13" s="97" t="s">
        <v>252</v>
      </c>
      <c r="D13" s="156"/>
      <c r="E13" s="157" t="s">
        <v>114</v>
      </c>
      <c r="F13" s="157" t="s">
        <v>115</v>
      </c>
      <c r="G13" s="157" t="s">
        <v>116</v>
      </c>
      <c r="H13" s="158" t="s">
        <v>117</v>
      </c>
      <c r="J13" s="159" t="s">
        <v>114</v>
      </c>
      <c r="K13" s="157" t="s">
        <v>115</v>
      </c>
      <c r="L13" s="157" t="s">
        <v>116</v>
      </c>
      <c r="M13" s="158" t="s">
        <v>117</v>
      </c>
      <c r="O13" s="225" t="str">
        <f>+J13</f>
        <v>Fwd</v>
      </c>
      <c r="P13" s="157" t="s">
        <v>115</v>
      </c>
      <c r="Q13" s="157" t="s">
        <v>116</v>
      </c>
      <c r="R13" s="158" t="s">
        <v>117</v>
      </c>
      <c r="T13" s="159" t="s">
        <v>114</v>
      </c>
      <c r="U13" s="157" t="s">
        <v>115</v>
      </c>
      <c r="V13" s="157" t="s">
        <v>116</v>
      </c>
      <c r="W13" s="158" t="s">
        <v>117</v>
      </c>
      <c r="Y13" s="159" t="s">
        <v>114</v>
      </c>
      <c r="Z13" s="157" t="s">
        <v>115</v>
      </c>
      <c r="AA13" s="157" t="s">
        <v>116</v>
      </c>
      <c r="AB13" s="158" t="s">
        <v>117</v>
      </c>
    </row>
    <row r="14" spans="2:40" x14ac:dyDescent="0.2">
      <c r="B14" s="138">
        <f ca="1">VLOOKUP(3&amp;"m",'BROKEN DATES'!$B$18:$D$506,3,0)</f>
        <v>4.8487958928571429</v>
      </c>
      <c r="C14" t="str">
        <f>+D14&amp;"Y"</f>
        <v>0.25Y</v>
      </c>
      <c r="D14" s="103">
        <v>0.25</v>
      </c>
      <c r="E14" s="129">
        <f ca="1">VLOOKUP(SETTINGS!D38,'BROKEN DATES'!$H$18:$L$506,4,0)</f>
        <v>4.8269863096565242</v>
      </c>
      <c r="F14" s="99">
        <f ca="1">(E14-$B14)*100</f>
        <v>-2.1809583200618654</v>
      </c>
      <c r="G14" s="100">
        <f ca="1">($B14-VLOOKUP(SETTINGS!D57,'BROKEN DATES'!$B$18:$D$506,3,0))*100</f>
        <v>-0.12091071428574907</v>
      </c>
      <c r="H14" s="140">
        <f ca="1">F14+G14</f>
        <v>-2.3018690343476145</v>
      </c>
      <c r="I14" s="106"/>
      <c r="J14" s="145"/>
      <c r="K14" s="99"/>
      <c r="L14" s="100"/>
      <c r="M14" s="146"/>
      <c r="N14" s="107"/>
      <c r="O14" s="145"/>
      <c r="P14" s="99"/>
      <c r="Q14" s="100"/>
      <c r="R14" s="146"/>
      <c r="S14" s="107"/>
      <c r="T14" s="145"/>
      <c r="U14" s="99"/>
      <c r="V14" s="99"/>
      <c r="W14" s="146"/>
      <c r="Y14" s="145" t="str">
        <f>IF(D14*12-$AB$11&lt;=0,"",'BROKEN DATES'!K91)</f>
        <v/>
      </c>
      <c r="Z14" s="99" t="str">
        <f>IF(D14*12-$AB$11&lt;=0,"",(Y14-$B14)*100)</f>
        <v/>
      </c>
      <c r="AA14" s="99" t="str">
        <f>IF(D14*12-$AB$11&lt;=0,"",IF(ISERROR(($B14-'BROKEN DATES'!D123)*100),0,($B14-'BROKEN DATES'!D123)*100))</f>
        <v/>
      </c>
      <c r="AB14" s="146" t="str">
        <f>IF(D14*12-$AB$11&lt;=0,"",Z14+AA14)</f>
        <v/>
      </c>
      <c r="AL14" s="176"/>
      <c r="AM14" s="176"/>
      <c r="AN14" s="176"/>
    </row>
    <row r="15" spans="2:40" x14ac:dyDescent="0.2">
      <c r="B15" s="138">
        <f ca="1">VLOOKUP(6&amp;"m",'BROKEN DATES'!$B$18:$D$506,3,0)</f>
        <v>4.7397727586206901</v>
      </c>
      <c r="C15" t="str">
        <f t="shared" ref="C15:C31" si="0">+D15&amp;"Y"</f>
        <v>0.5Y</v>
      </c>
      <c r="D15" s="104">
        <v>0.5</v>
      </c>
      <c r="E15" s="129">
        <f ca="1">VLOOKUP(SETTINGS!D39,'BROKEN DATES'!$H$18:$L$506,4,0)</f>
        <v>4.6954081129489165</v>
      </c>
      <c r="F15" s="99">
        <f t="shared" ref="F15:F31" ca="1" si="1">(E15-$B15)*100</f>
        <v>-4.4364645671773673</v>
      </c>
      <c r="G15" s="100">
        <f ca="1">($B15-VLOOKUP(SETTINGS!D58,'BROKEN DATES'!$B$18:$D$506,3,0))*100</f>
        <v>-3.4072241379309531</v>
      </c>
      <c r="H15" s="140">
        <f ca="1">F15+G15</f>
        <v>-7.8436887051083204</v>
      </c>
      <c r="I15" s="106"/>
      <c r="J15" s="145">
        <f ca="1">VLOOKUP(SETTINGS!E39,'BROKEN DATES'!$H$18:$L$506,4,0)</f>
        <v>4.5683046913784926</v>
      </c>
      <c r="K15" s="99">
        <f ca="1">(J15-$B15)*100</f>
        <v>-17.146806724219754</v>
      </c>
      <c r="L15" s="100">
        <f ca="1">($B15-VLOOKUP(SETTINGS!E58,'BROKEN DATES'!$B$18:$D$506,3,0))*100</f>
        <v>-10.902313423645271</v>
      </c>
      <c r="M15" s="146">
        <f ca="1">K15+L15</f>
        <v>-28.049120147865025</v>
      </c>
      <c r="N15" s="107"/>
      <c r="O15" s="145"/>
      <c r="P15" s="99"/>
      <c r="Q15" s="100"/>
      <c r="R15" s="146"/>
      <c r="S15" s="107"/>
      <c r="T15" s="145"/>
      <c r="U15" s="99"/>
      <c r="V15" s="99"/>
      <c r="W15" s="146"/>
      <c r="Y15" s="145" t="str">
        <f>IF(D15*12-$AB$11&lt;=0,"",'BROKEN DATES'!K92)</f>
        <v/>
      </c>
      <c r="Z15" s="99" t="str">
        <f t="shared" ref="Z15:Z31" si="2">IF(D15*12-$AB$11&lt;=0,"",(Y15-$B15)*100)</f>
        <v/>
      </c>
      <c r="AA15" s="99" t="str">
        <f>IF(D15*12-$AB$11&lt;=0,"",IF(ISERROR(($B15-'BROKEN DATES'!D124)*100),0,($B15-'BROKEN DATES'!D124)*100))</f>
        <v/>
      </c>
      <c r="AB15" s="146" t="str">
        <f t="shared" ref="AB15:AB31" si="3">IF(D15*12-$AB$11&lt;=0,"",Z15+AA15)</f>
        <v/>
      </c>
      <c r="AL15" s="176"/>
      <c r="AM15" s="176"/>
      <c r="AN15" s="176"/>
    </row>
    <row r="16" spans="2:40" x14ac:dyDescent="0.2">
      <c r="B16" s="138">
        <f ca="1">VLOOKUP(9&amp;"m",'BROKEN DATES'!$B$18:$D$506,3,0)</f>
        <v>4.7190424193548388</v>
      </c>
      <c r="C16" t="str">
        <f t="shared" si="0"/>
        <v>0.75Y</v>
      </c>
      <c r="D16" s="104">
        <v>0.75</v>
      </c>
      <c r="E16" s="129">
        <f ca="1">VLOOKUP(SETTINGS!D40,'BROKEN DATES'!$H$18:$L$506,4,0)</f>
        <v>4.6807326642447631</v>
      </c>
      <c r="F16" s="99">
        <f ca="1">(E16-$B16)*100</f>
        <v>-3.8309755110075727</v>
      </c>
      <c r="G16" s="100">
        <f ca="1">($B16-VLOOKUP(SETTINGS!D59,'BROKEN DATES'!$B$18:$D$506,3,0))*100</f>
        <v>-0.66406163594470158</v>
      </c>
      <c r="H16" s="140">
        <f ca="1">F16+G16</f>
        <v>-4.4950371469522743</v>
      </c>
      <c r="I16" s="106"/>
      <c r="J16" s="145">
        <f ca="1">VLOOKUP(SETTINGS!E40,'BROKEN DATES'!$H$18:$L$506,4,0)</f>
        <v>4.5929757081679252</v>
      </c>
      <c r="K16" s="99">
        <f ca="1">(J16-$B16)*100</f>
        <v>-12.606671118691359</v>
      </c>
      <c r="L16" s="100">
        <f ca="1">($B16-VLOOKUP(SETTINGS!E59,'BROKEN DATES'!$B$18:$D$506,3,0))*100</f>
        <v>-2.0730339265851327</v>
      </c>
      <c r="M16" s="146">
        <f ca="1">K16+L16</f>
        <v>-14.679705045276492</v>
      </c>
      <c r="N16" s="107"/>
      <c r="O16" s="145">
        <f ca="1">VLOOKUP(SETTINGS!F40,'BROKEN DATES'!$H$18:$L$506,4,0)</f>
        <v>4.5659174584544235</v>
      </c>
      <c r="P16" s="99">
        <f ca="1">(O16-$B16)*100</f>
        <v>-15.312496090041527</v>
      </c>
      <c r="Q16" s="100">
        <f ca="1">($B16-VLOOKUP(SETTINGS!F59,'BROKEN DATES'!$B$18:$D$506,3,0))*100</f>
        <v>-12.975347350230404</v>
      </c>
      <c r="R16" s="146">
        <f ca="1">P16+Q16</f>
        <v>-28.287843440271931</v>
      </c>
      <c r="S16" s="107"/>
      <c r="T16" s="145"/>
      <c r="U16" s="99"/>
      <c r="V16" s="99"/>
      <c r="W16" s="146"/>
      <c r="Y16" s="145" t="str">
        <f>IF(D16*12-$AB$11&lt;=0,"",'BROKEN DATES'!K93)</f>
        <v/>
      </c>
      <c r="Z16" s="99" t="str">
        <f t="shared" si="2"/>
        <v/>
      </c>
      <c r="AA16" s="99" t="str">
        <f>IF(D16*12-$AB$11&lt;=0,"",IF(ISERROR(($B16-'BROKEN DATES'!D125)*100),0,($B16-'BROKEN DATES'!D125)*100))</f>
        <v/>
      </c>
      <c r="AB16" s="146" t="str">
        <f t="shared" si="3"/>
        <v/>
      </c>
      <c r="AL16" s="176"/>
      <c r="AM16" s="176"/>
      <c r="AN16" s="176"/>
    </row>
    <row r="17" spans="2:40" x14ac:dyDescent="0.2">
      <c r="B17" s="138">
        <f ca="1">VLOOKUP(D17&amp;"y",'BROKEN DATES'!$B$18:$D$506,3,0)</f>
        <v>4.6904825864876942</v>
      </c>
      <c r="C17" t="str">
        <f t="shared" si="0"/>
        <v>1Y</v>
      </c>
      <c r="D17" s="104">
        <v>1</v>
      </c>
      <c r="E17" s="129">
        <f ca="1">VLOOKUP(SETTINGS!D41,'BROKEN DATES'!$H$18:$L$506,4,0)</f>
        <v>4.6551104787644562</v>
      </c>
      <c r="F17" s="99">
        <f ca="1">(E17-$B17)*100</f>
        <v>-3.5372107723238067</v>
      </c>
      <c r="G17" s="100">
        <f ca="1">($B17-VLOOKUP(SETTINGS!D60,'BROKEN DATES'!$B$18:$D$506,3,0))*100</f>
        <v>-0.79789546912012455</v>
      </c>
      <c r="H17" s="140">
        <f ca="1">F17+G17</f>
        <v>-4.3351062414439312</v>
      </c>
      <c r="I17" s="106"/>
      <c r="J17" s="145">
        <f ca="1">VLOOKUP(SETTINGS!E41,'BROKEN DATES'!$H$18:$L$506,4,0)</f>
        <v>4.5785357817651562</v>
      </c>
      <c r="K17" s="99">
        <f ca="1">(J17-$B17)*100</f>
        <v>-11.194680472253804</v>
      </c>
      <c r="L17" s="100">
        <f ca="1">($B17-VLOOKUP(SETTINGS!E60,'BROKEN DATES'!$B$18:$D$506,3,0))*100</f>
        <v>-2.8559832867144586</v>
      </c>
      <c r="M17" s="146">
        <f ca="1">K17+L17</f>
        <v>-14.050663758968263</v>
      </c>
      <c r="N17" s="107"/>
      <c r="O17" s="145">
        <f ca="1">VLOOKUP(SETTINGS!F41,'BROKEN DATES'!$H$18:$L$506,4,0)</f>
        <v>4.5320338544053511</v>
      </c>
      <c r="P17" s="99">
        <f ca="1">(O17-$B17)*100</f>
        <v>-15.844873208234311</v>
      </c>
      <c r="Q17" s="100">
        <f ca="1">($B17-VLOOKUP(SETTINGS!F60,'BROKEN DATES'!$B$18:$D$506,3,0))*100</f>
        <v>-4.9290172132995913</v>
      </c>
      <c r="R17" s="146">
        <f ca="1">P17+Q17</f>
        <v>-20.773890421533903</v>
      </c>
      <c r="S17" s="107"/>
      <c r="T17" s="145"/>
      <c r="U17" s="99"/>
      <c r="V17" s="99"/>
      <c r="W17" s="146"/>
      <c r="Y17" s="145" t="str">
        <f>IF(D17*12-$AB$11&lt;=0,"",'BROKEN DATES'!K94)</f>
        <v/>
      </c>
      <c r="Z17" s="99" t="str">
        <f t="shared" si="2"/>
        <v/>
      </c>
      <c r="AA17" s="99" t="str">
        <f>IF(D17*12-$AB$11&lt;=0,"",IF(ISERROR(($B17-'BROKEN DATES'!D126)*100),0,($B17-'BROKEN DATES'!D126)*100))</f>
        <v/>
      </c>
      <c r="AB17" s="146" t="str">
        <f t="shared" si="3"/>
        <v/>
      </c>
      <c r="AL17" s="176"/>
      <c r="AM17" s="176"/>
      <c r="AN17" s="176"/>
    </row>
    <row r="18" spans="2:40" x14ac:dyDescent="0.2">
      <c r="B18" s="138">
        <f ca="1">VLOOKUP(D18&amp;"y",'BROKEN DATES'!$B$18:$D$506,3,0)</f>
        <v>4.650914632116276</v>
      </c>
      <c r="C18" t="str">
        <f t="shared" si="0"/>
        <v>2Y</v>
      </c>
      <c r="D18" s="104">
        <v>2</v>
      </c>
      <c r="E18" s="129">
        <f ca="1">VLOOKUP(SETTINGS!D42,'BROKEN DATES'!$H$18:$L$506,4,0)</f>
        <v>4.6507064374168001</v>
      </c>
      <c r="F18" s="99">
        <f t="shared" ca="1" si="1"/>
        <v>-2.08194699475861E-2</v>
      </c>
      <c r="G18" s="100">
        <f ca="1">($B18-VLOOKUP(SETTINGS!D61,'BROKEN DATES'!$B$18:$D$506,3,0))*100</f>
        <v>-0.2308915637680542</v>
      </c>
      <c r="H18" s="140">
        <f t="shared" ref="H18:H31" ca="1" si="4">F18+G18</f>
        <v>-0.2517110337156403</v>
      </c>
      <c r="I18" s="106"/>
      <c r="J18" s="145">
        <f ca="1">VLOOKUP(SETTINGS!E42,'BROKEN DATES'!$H$18:$L$506,4,0)</f>
        <v>4.6535172435688654</v>
      </c>
      <c r="K18" s="99">
        <f t="shared" ref="K18:K31" ca="1" si="5">(J18-$B18)*100</f>
        <v>0.26026114525894428</v>
      </c>
      <c r="L18" s="100">
        <f ca="1">($B18-VLOOKUP(SETTINGS!E61,'BROKEN DATES'!$B$18:$D$506,3,0))*100</f>
        <v>-0.92949854002561949</v>
      </c>
      <c r="M18" s="146">
        <f t="shared" ref="M18:M31" ca="1" si="6">K18+L18</f>
        <v>-0.66923739476667521</v>
      </c>
      <c r="N18" s="107"/>
      <c r="O18" s="145">
        <f ca="1">VLOOKUP(SETTINGS!F42,'BROKEN DATES'!$H$18:$L$506,4,0)</f>
        <v>4.7035650303807719</v>
      </c>
      <c r="P18" s="99">
        <f t="shared" ref="P18:P31" ca="1" si="7">(O18-$B18)*100</f>
        <v>5.2650398264495912</v>
      </c>
      <c r="Q18" s="100">
        <f ca="1">($B18-VLOOKUP(SETTINGS!F61,'BROKEN DATES'!$B$18:$D$506,3,0))*100</f>
        <v>-1.9275085061079444</v>
      </c>
      <c r="R18" s="146">
        <f t="shared" ref="R18:R31" ca="1" si="8">P18+Q18</f>
        <v>3.3375313203416468</v>
      </c>
      <c r="S18" s="107"/>
      <c r="T18" s="145">
        <f ca="1">VLOOKUP(SETTINGS!G42,'BROKEN DATES'!$H$18:$L$506,4,0)</f>
        <v>4.6092039859936929</v>
      </c>
      <c r="U18" s="99">
        <f t="shared" ref="U18:U31" ca="1" si="9">(T18-$B18)*100</f>
        <v>-4.1710646122583128</v>
      </c>
      <c r="V18" s="100">
        <f ca="1">($B18-VLOOKUP(SETTINGS!G61,'BROKEN DATES'!$B$18:$D$506,3,0))*100</f>
        <v>-3.9567954371418246</v>
      </c>
      <c r="W18" s="146">
        <f t="shared" ref="W18:W31" ca="1" si="10">U18+V18</f>
        <v>-8.1278600494001374</v>
      </c>
      <c r="Y18" s="145" t="str">
        <f>IF(D18*12-$AB$11&lt;=0,"",'BROKEN DATES'!K95)</f>
        <v/>
      </c>
      <c r="Z18" s="99" t="str">
        <f t="shared" si="2"/>
        <v/>
      </c>
      <c r="AA18" s="100" t="str">
        <f>IF(D18*12-$AB$11&lt;=0,"",IF(ISERROR(($B18-'BROKEN DATES'!D127)*100),0,($B18-'BROKEN DATES'!D127)*100))</f>
        <v/>
      </c>
      <c r="AB18" s="146" t="str">
        <f t="shared" si="3"/>
        <v/>
      </c>
      <c r="AL18" s="176"/>
      <c r="AM18" s="176"/>
      <c r="AN18" s="176"/>
    </row>
    <row r="19" spans="2:40" x14ac:dyDescent="0.2">
      <c r="B19" s="138">
        <f ca="1">VLOOKUP(D19&amp;"y",'BROKEN DATES'!$B$18:$D$506,3,0)</f>
        <v>4.776373705485784</v>
      </c>
      <c r="C19" t="str">
        <f t="shared" si="0"/>
        <v>3Y</v>
      </c>
      <c r="D19" s="104">
        <v>3</v>
      </c>
      <c r="E19" s="129">
        <f ca="1">VLOOKUP(SETTINGS!D43,'BROKEN DATES'!$H$18:$L$506,4,0)</f>
        <v>4.7725044474796512</v>
      </c>
      <c r="F19" s="99">
        <f t="shared" ca="1" si="1"/>
        <v>-0.3869258006132803</v>
      </c>
      <c r="G19" s="100">
        <f ca="1">($B19-VLOOKUP(SETTINGS!D62,'BROKEN DATES'!$B$18:$D$506,3,0))*100</f>
        <v>1.0702434724605858</v>
      </c>
      <c r="H19" s="140">
        <f t="shared" ca="1" si="4"/>
        <v>0.68331767184730552</v>
      </c>
      <c r="I19" s="106"/>
      <c r="J19" s="145">
        <f ca="1">VLOOKUP(SETTINGS!E43,'BROKEN DATES'!$H$18:$L$506,4,0)</f>
        <v>4.7649699687771303</v>
      </c>
      <c r="K19" s="99">
        <f t="shared" ca="1" si="5"/>
        <v>-1.1403736708653689</v>
      </c>
      <c r="L19" s="100">
        <f ca="1">($B19-VLOOKUP(SETTINGS!E62,'BROKEN DATES'!$B$18:$D$506,3,0))*100</f>
        <v>3.1598419671886369</v>
      </c>
      <c r="M19" s="146">
        <f t="shared" ca="1" si="6"/>
        <v>2.019468296323268</v>
      </c>
      <c r="N19" s="107"/>
      <c r="O19" s="145">
        <f ca="1">VLOOKUP(SETTINGS!F43,'BROKEN DATES'!$H$18:$L$506,4,0)</f>
        <v>4.778943485607777</v>
      </c>
      <c r="P19" s="99">
        <f t="shared" ca="1" si="7"/>
        <v>0.25697801219930483</v>
      </c>
      <c r="Q19" s="100">
        <f ca="1">($B19-VLOOKUP(SETTINGS!F62,'BROKEN DATES'!$B$18:$D$506,3,0))*100</f>
        <v>6.2771118527665593</v>
      </c>
      <c r="R19" s="146">
        <f t="shared" ca="1" si="8"/>
        <v>6.5340898649658641</v>
      </c>
      <c r="S19" s="107"/>
      <c r="T19" s="145">
        <f ca="1">VLOOKUP(SETTINGS!G43,'BROKEN DATES'!$H$18:$L$506,4,0)</f>
        <v>4.8229854688544176</v>
      </c>
      <c r="U19" s="99">
        <f t="shared" ca="1" si="9"/>
        <v>4.6611763368633596</v>
      </c>
      <c r="V19" s="100">
        <f ca="1">($B19-VLOOKUP(SETTINGS!G62,'BROKEN DATES'!$B$18:$D$506,3,0))*100</f>
        <v>12.545907336950801</v>
      </c>
      <c r="W19" s="146">
        <f t="shared" ca="1" si="10"/>
        <v>17.207083673814161</v>
      </c>
      <c r="Y19" s="145" t="str">
        <f>IF(D19*12-$AB$11&lt;=0,"",'BROKEN DATES'!K96)</f>
        <v/>
      </c>
      <c r="Z19" s="99" t="str">
        <f t="shared" si="2"/>
        <v/>
      </c>
      <c r="AA19" s="100" t="str">
        <f>IF(D19*12-$AB$11&lt;=0,"",IF(ISERROR(($B19-'BROKEN DATES'!D128)*100),0,($B19-'BROKEN DATES'!D128)*100))</f>
        <v/>
      </c>
      <c r="AB19" s="146" t="str">
        <f t="shared" si="3"/>
        <v/>
      </c>
      <c r="AL19" s="176"/>
      <c r="AM19" s="176"/>
      <c r="AN19" s="176"/>
    </row>
    <row r="20" spans="2:40" x14ac:dyDescent="0.2">
      <c r="B20" s="138">
        <f ca="1">VLOOKUP(D20&amp;"y",'BROKEN DATES'!$B$18:$D$506,3,0)</f>
        <v>4.9118546506771645</v>
      </c>
      <c r="C20" t="str">
        <f t="shared" si="0"/>
        <v>4Y</v>
      </c>
      <c r="D20" s="104">
        <v>4</v>
      </c>
      <c r="E20" s="129">
        <f ca="1">VLOOKUP(SETTINGS!D44,'BROKEN DATES'!$H$18:$L$506,4,0)</f>
        <v>4.909656243842301</v>
      </c>
      <c r="F20" s="99">
        <f t="shared" ca="1" si="1"/>
        <v>-0.21984068348634977</v>
      </c>
      <c r="G20" s="100">
        <f ca="1">($B20-VLOOKUP(SETTINGS!D63,'BROKEN DATES'!$B$18:$D$506,3,0))*100</f>
        <v>1.1807973321707799</v>
      </c>
      <c r="H20" s="140">
        <f t="shared" ca="1" si="4"/>
        <v>0.96095664868443009</v>
      </c>
      <c r="I20" s="106"/>
      <c r="J20" s="145">
        <f ca="1">VLOOKUP(SETTINGS!E44,'BROKEN DATES'!$H$18:$L$506,4,0)</f>
        <v>4.9070042683701258</v>
      </c>
      <c r="K20" s="99">
        <f t="shared" ca="1" si="5"/>
        <v>-0.48503823070387142</v>
      </c>
      <c r="L20" s="100">
        <f ca="1">($B20-VLOOKUP(SETTINGS!E63,'BROKEN DATES'!$B$18:$D$506,3,0))*100</f>
        <v>3.4394953214073709</v>
      </c>
      <c r="M20" s="146">
        <f t="shared" ca="1" si="6"/>
        <v>2.9544570907034995</v>
      </c>
      <c r="N20" s="107"/>
      <c r="O20" s="145">
        <f ca="1">VLOOKUP(SETTINGS!F44,'BROKEN DATES'!$H$18:$L$506,4,0)</f>
        <v>4.9267359754949878</v>
      </c>
      <c r="P20" s="99">
        <f t="shared" ca="1" si="7"/>
        <v>1.4881324817823227</v>
      </c>
      <c r="Q20" s="100">
        <f ca="1">($B20-VLOOKUP(SETTINGS!F63,'BROKEN DATES'!$B$18:$D$506,3,0))*100</f>
        <v>6.6609170437610388</v>
      </c>
      <c r="R20" s="146">
        <f t="shared" ca="1" si="8"/>
        <v>8.1490495255433615</v>
      </c>
      <c r="S20" s="107"/>
      <c r="T20" s="145">
        <f ca="1">VLOOKUP(SETTINGS!G44,'BROKEN DATES'!$H$18:$L$506,4,0)</f>
        <v>4.9938966738724844</v>
      </c>
      <c r="U20" s="99">
        <f t="shared" ca="1" si="9"/>
        <v>8.2042023195319835</v>
      </c>
      <c r="V20" s="100">
        <f ca="1">($B20-VLOOKUP(SETTINGS!G63,'BROKEN DATES'!$B$18:$D$506,3,0))*100</f>
        <v>13.548094519138054</v>
      </c>
      <c r="W20" s="146">
        <f t="shared" ca="1" si="10"/>
        <v>21.752296838670038</v>
      </c>
      <c r="Y20" s="145" t="str">
        <f>IF(D20*12-$AB$11&lt;=0,"",'BROKEN DATES'!K97)</f>
        <v/>
      </c>
      <c r="Z20" s="99" t="str">
        <f t="shared" si="2"/>
        <v/>
      </c>
      <c r="AA20" s="100" t="str">
        <f>IF(D20*12-$AB$11&lt;=0,"",IF(ISERROR(($B20-'BROKEN DATES'!D129)*100),0,($B20-'BROKEN DATES'!D129)*100))</f>
        <v/>
      </c>
      <c r="AB20" s="146" t="str">
        <f t="shared" si="3"/>
        <v/>
      </c>
      <c r="AL20" s="176"/>
      <c r="AM20" s="176"/>
      <c r="AN20" s="176"/>
    </row>
    <row r="21" spans="2:40" x14ac:dyDescent="0.2">
      <c r="B21" s="138">
        <f ca="1">VLOOKUP(D21&amp;"y",'BROKEN DATES'!$B$18:$D$506,3,0)</f>
        <v>5.016535435532961</v>
      </c>
      <c r="C21" t="str">
        <f t="shared" si="0"/>
        <v>5Y</v>
      </c>
      <c r="D21" s="104">
        <v>5</v>
      </c>
      <c r="E21" s="129">
        <f ca="1">VLOOKUP(SETTINGS!D45,'BROKEN DATES'!$H$18:$L$506,4,0)</f>
        <v>5.0176367796671029</v>
      </c>
      <c r="F21" s="99">
        <f t="shared" ca="1" si="1"/>
        <v>0.11013441341418684</v>
      </c>
      <c r="G21" s="100">
        <f ca="1">($B21-VLOOKUP(SETTINGS!D64,'BROKEN DATES'!$B$18:$D$506,3,0))*100</f>
        <v>0.90528811449352986</v>
      </c>
      <c r="H21" s="140">
        <f t="shared" ca="1" si="4"/>
        <v>1.0154225279077167</v>
      </c>
      <c r="I21" s="106"/>
      <c r="J21" s="145">
        <f ca="1">VLOOKUP(SETTINGS!E45,'BROKEN DATES'!$H$18:$L$506,4,0)</f>
        <v>5.0211989903808956</v>
      </c>
      <c r="K21" s="99">
        <f t="shared" ca="1" si="5"/>
        <v>0.46635548479345701</v>
      </c>
      <c r="L21" s="100">
        <f ca="1">($B21-VLOOKUP(SETTINGS!E64,'BROKEN DATES'!$B$18:$D$506,3,0))*100</f>
        <v>2.604699656343179</v>
      </c>
      <c r="M21" s="146">
        <f t="shared" ca="1" si="6"/>
        <v>3.071055141136636</v>
      </c>
      <c r="N21" s="107"/>
      <c r="O21" s="145">
        <f ca="1">VLOOKUP(SETTINGS!F45,'BROKEN DATES'!$H$18:$L$506,4,0)</f>
        <v>5.0448023071280748</v>
      </c>
      <c r="P21" s="99">
        <f t="shared" ca="1" si="7"/>
        <v>2.8266871595113763</v>
      </c>
      <c r="Q21" s="100">
        <f ca="1">($B21-VLOOKUP(SETTINGS!F64,'BROKEN DATES'!$B$18:$D$506,3,0))*100</f>
        <v>5.1970223473002619</v>
      </c>
      <c r="R21" s="146">
        <f t="shared" ca="1" si="8"/>
        <v>8.0237095068116382</v>
      </c>
      <c r="S21" s="107"/>
      <c r="T21" s="145">
        <f ca="1">VLOOKUP(SETTINGS!G45,'BROKEN DATES'!$H$18:$L$506,4,0)</f>
        <v>5.109346768863003</v>
      </c>
      <c r="U21" s="99">
        <f t="shared" ca="1" si="9"/>
        <v>9.281133333004199</v>
      </c>
      <c r="V21" s="100">
        <f ca="1">($B21-VLOOKUP(SETTINGS!G64,'BROKEN DATES'!$B$18:$D$506,3,0))*100</f>
        <v>10.468078485579646</v>
      </c>
      <c r="W21" s="146">
        <f t="shared" ca="1" si="10"/>
        <v>19.749211818583845</v>
      </c>
      <c r="Y21" s="145">
        <f ca="1">IF(D21*12-$AB$11&lt;=0,"",'BROKEN DATES'!K98)</f>
        <v>5.4970036031592562</v>
      </c>
      <c r="Z21" s="99">
        <f t="shared" ca="1" si="2"/>
        <v>48.046816762629518</v>
      </c>
      <c r="AA21" s="100">
        <f ca="1">IF(D21*12-$AB$11&lt;=0,"",IF(ISERROR(($B21-'BROKEN DATES'!D130)*100),0,($B21-'BROKEN DATES'!D130)*100))</f>
        <v>32.605284904526677</v>
      </c>
      <c r="AB21" s="146">
        <f t="shared" ca="1" si="3"/>
        <v>80.652101667156188</v>
      </c>
      <c r="AL21" s="176"/>
      <c r="AM21" s="176"/>
      <c r="AN21" s="176"/>
    </row>
    <row r="22" spans="2:40" x14ac:dyDescent="0.2">
      <c r="B22" s="138">
        <f ca="1">VLOOKUP(D22&amp;"y",'BROKEN DATES'!$B$18:$D$506,3,0)</f>
        <v>5.1064292839578007</v>
      </c>
      <c r="C22" t="str">
        <f t="shared" si="0"/>
        <v>6Y</v>
      </c>
      <c r="D22" s="104">
        <v>6</v>
      </c>
      <c r="E22" s="129">
        <f ca="1">VLOOKUP(SETTINGS!D46,'BROKEN DATES'!$H$18:$L$506,4,0)</f>
        <v>5.1099979340925898</v>
      </c>
      <c r="F22" s="99">
        <f ca="1">(E22-$B22)*100</f>
        <v>0.35686501347891308</v>
      </c>
      <c r="G22" s="100">
        <f ca="1">($B22-VLOOKUP(SETTINGS!D65,'BROKEN DATES'!$B$18:$D$506,3,0))*100</f>
        <v>0.7653070066837131</v>
      </c>
      <c r="H22" s="140">
        <f ca="1">F22+G22</f>
        <v>1.1221720201626262</v>
      </c>
      <c r="I22" s="106"/>
      <c r="J22" s="145">
        <f ca="1">VLOOKUP(SETTINGS!E46,'BROKEN DATES'!$H$18:$L$506,4,0)</f>
        <v>5.1178000623330338</v>
      </c>
      <c r="K22" s="99">
        <f ca="1">(J22-$B22)*100</f>
        <v>1.1370778375233037</v>
      </c>
      <c r="L22" s="100">
        <f ca="1">($B22-VLOOKUP(SETTINGS!E65,'BROKEN DATES'!$B$18:$D$506,3,0))*100</f>
        <v>2.2471228329540516</v>
      </c>
      <c r="M22" s="146">
        <f ca="1">K22+L22</f>
        <v>3.3842006704773553</v>
      </c>
      <c r="N22" s="107"/>
      <c r="O22" s="145">
        <f ca="1">VLOOKUP(SETTINGS!F46,'BROKEN DATES'!$H$18:$L$506,4,0)</f>
        <v>5.1434549676230201</v>
      </c>
      <c r="P22" s="99">
        <f ca="1">(O22-$B22)*100</f>
        <v>3.7025683665219411</v>
      </c>
      <c r="Q22" s="100">
        <f ca="1">($B22-VLOOKUP(SETTINGS!F65,'BROKEN DATES'!$B$18:$D$506,3,0))*100</f>
        <v>4.4945435027972991</v>
      </c>
      <c r="R22" s="146">
        <f ca="1">P22+Q22</f>
        <v>8.1971118693192402</v>
      </c>
      <c r="S22" s="107"/>
      <c r="T22" s="145">
        <f ca="1">VLOOKUP(SETTINGS!G46,'BROKEN DATES'!$H$18:$L$506,4,0)</f>
        <v>5.2035417814940521</v>
      </c>
      <c r="U22" s="99">
        <f ca="1">(T22-$B22)*100</f>
        <v>9.7112497536251396</v>
      </c>
      <c r="V22" s="100">
        <f ca="1">($B22-VLOOKUP(SETTINGS!G65,'BROKEN DATES'!$B$18:$D$506,3,0))*100</f>
        <v>8.9893848424839717</v>
      </c>
      <c r="W22" s="146">
        <f ca="1">U22+V22</f>
        <v>18.700634596109111</v>
      </c>
      <c r="Y22" s="145">
        <f ca="1">IF(D22*12-$AB$11&lt;=0,"",'BROKEN DATES'!K99)</f>
        <v>5.5655808534457734</v>
      </c>
      <c r="Z22" s="99">
        <f t="shared" ca="1" si="2"/>
        <v>45.915156948797261</v>
      </c>
      <c r="AA22" s="100">
        <f ca="1">IF(D22*12-$AB$11&lt;=0,"",IF(ISERROR(($B22-'BROKEN DATES'!D131)*100),0,($B22-'BROKEN DATES'!D131)*100))</f>
        <v>45.551465184152477</v>
      </c>
      <c r="AB22" s="146">
        <f t="shared" ca="1" si="3"/>
        <v>91.466622132949738</v>
      </c>
      <c r="AL22" s="176"/>
      <c r="AM22" s="176"/>
      <c r="AN22" s="176"/>
    </row>
    <row r="23" spans="2:40" x14ac:dyDescent="0.2">
      <c r="B23" s="138">
        <f ca="1">VLOOKUP(D23&amp;"y",'BROKEN DATES'!$B$18:$D$506,3,0)</f>
        <v>5.1963226145467223</v>
      </c>
      <c r="C23" t="str">
        <f t="shared" si="0"/>
        <v>7Y</v>
      </c>
      <c r="D23" s="104">
        <v>7</v>
      </c>
      <c r="E23" s="129">
        <f ca="1">VLOOKUP(SETTINGS!D47,'BROKEN DATES'!$H$18:$L$506,4,0)</f>
        <v>5.1989041814630106</v>
      </c>
      <c r="F23" s="99">
        <f ca="1">(E23-$B23)*100</f>
        <v>0.25815669162883026</v>
      </c>
      <c r="G23" s="100">
        <f ca="1">($B23-VLOOKUP(SETTINGS!D66,'BROKEN DATES'!$B$18:$D$506,3,0))*100</f>
        <v>0.69992451190659111</v>
      </c>
      <c r="H23" s="140">
        <f ca="1">F23+G23</f>
        <v>0.95808120353542137</v>
      </c>
      <c r="I23" s="106"/>
      <c r="J23" s="145">
        <f ca="1">VLOOKUP(SETTINGS!E47,'BROKEN DATES'!$H$18:$L$506,4,0)</f>
        <v>5.205580924187478</v>
      </c>
      <c r="K23" s="99">
        <f ca="1">(J23-$B23)*100</f>
        <v>0.92583096407556909</v>
      </c>
      <c r="L23" s="100">
        <f ca="1">($B23-VLOOKUP(SETTINGS!E66,'BROKEN DATES'!$B$18:$D$506,3,0))*100</f>
        <v>2.2495765548148583</v>
      </c>
      <c r="M23" s="146">
        <f ca="1">K23+L23</f>
        <v>3.1754075188904274</v>
      </c>
      <c r="N23" s="107"/>
      <c r="O23" s="145">
        <f ca="1">VLOOKUP(SETTINGS!F47,'BROKEN DATES'!$H$18:$L$506,4,0)</f>
        <v>5.2303942182395611</v>
      </c>
      <c r="P23" s="99">
        <f ca="1">(O23-$B23)*100</f>
        <v>3.4071603692838792</v>
      </c>
      <c r="Q23" s="100">
        <f ca="1">($B23-VLOOKUP(SETTINGS!F66,'BROKEN DATES'!$B$18:$D$506,3,0))*100</f>
        <v>4.4879628390157578</v>
      </c>
      <c r="R23" s="146">
        <f ca="1">P23+Q23</f>
        <v>7.895123208299637</v>
      </c>
      <c r="S23" s="107"/>
      <c r="T23" s="145">
        <f ca="1">VLOOKUP(SETTINGS!G47,'BROKEN DATES'!$H$18:$L$506,4,0)</f>
        <v>5.2971776670593682</v>
      </c>
      <c r="U23" s="99">
        <f ca="1">(T23-$B23)*100</f>
        <v>10.085505251264593</v>
      </c>
      <c r="V23" s="100">
        <f ca="1">($B23-VLOOKUP(SETTINGS!G66,'BROKEN DATES'!$B$18:$D$506,3,0))*100</f>
        <v>8.9893330588921572</v>
      </c>
      <c r="W23" s="146">
        <f ca="1">U23+V23</f>
        <v>19.07483831015675</v>
      </c>
      <c r="Y23" s="145">
        <f ca="1">IF(D23*12-$AB$11&lt;=0,"",'BROKEN DATES'!K100)</f>
        <v>5.6549678943438559</v>
      </c>
      <c r="Z23" s="99">
        <f t="shared" ca="1" si="2"/>
        <v>45.864527979713365</v>
      </c>
      <c r="AA23" s="100">
        <f ca="1">IF(D23*12-$AB$11&lt;=0,"",IF(ISERROR(($B23-'BROKEN DATES'!D132)*100),0,($B23-'BROKEN DATES'!D132)*100))</f>
        <v>41.994890906093829</v>
      </c>
      <c r="AB23" s="146">
        <f t="shared" ca="1" si="3"/>
        <v>87.859418885807202</v>
      </c>
      <c r="AL23" s="176"/>
      <c r="AM23" s="176"/>
      <c r="AN23" s="176"/>
    </row>
    <row r="24" spans="2:40" x14ac:dyDescent="0.2">
      <c r="B24" s="138">
        <f ca="1">VLOOKUP(D24&amp;"y",'BROKEN DATES'!$B$18:$D$506,3,0)</f>
        <v>5.2624208202949481</v>
      </c>
      <c r="C24" t="str">
        <f t="shared" si="0"/>
        <v>8Y</v>
      </c>
      <c r="D24" s="104">
        <v>8</v>
      </c>
      <c r="E24" s="129">
        <f ca="1">VLOOKUP(SETTINGS!D48,'BROKEN DATES'!$H$18:$L$506,4,0)</f>
        <v>5.2760272004581532</v>
      </c>
      <c r="F24" s="99">
        <f ca="1">(E24-$B24)*100</f>
        <v>1.3606380163205145</v>
      </c>
      <c r="G24" s="100">
        <f ca="1">($B24-VLOOKUP(SETTINGS!D67,'BROKEN DATES'!$B$18:$D$506,3,0))*100</f>
        <v>0.63323758599800328</v>
      </c>
      <c r="H24" s="140">
        <f ca="1">F24+G24</f>
        <v>1.9938756023185178</v>
      </c>
      <c r="I24" s="106"/>
      <c r="J24" s="145">
        <f ca="1">VLOOKUP(SETTINGS!E48,'BROKEN DATES'!$H$18:$L$506,4,0)</f>
        <v>5.2978338502826983</v>
      </c>
      <c r="K24" s="99">
        <f ca="1">(J24-$B24)*100</f>
        <v>3.54130299877502</v>
      </c>
      <c r="L24" s="100">
        <f ca="1">($B24-VLOOKUP(SETTINGS!E67,'BROKEN DATES'!$B$18:$D$506,3,0))*100</f>
        <v>1.7247692097054568</v>
      </c>
      <c r="M24" s="146">
        <f ca="1">K24+L24</f>
        <v>5.2660722084804767</v>
      </c>
      <c r="N24" s="107"/>
      <c r="O24" s="145">
        <f ca="1">VLOOKUP(SETTINGS!F48,'BROKEN DATES'!$H$18:$L$506,4,0)</f>
        <v>5.3310658764625041</v>
      </c>
      <c r="P24" s="99">
        <f ca="1">(O24-$B24)*100</f>
        <v>6.8645056167556007</v>
      </c>
      <c r="Q24" s="100">
        <f ca="1">($B24-VLOOKUP(SETTINGS!F67,'BROKEN DATES'!$B$18:$D$506,3,0))*100</f>
        <v>3.3352257037001287</v>
      </c>
      <c r="R24" s="146">
        <f ca="1">P24+Q24</f>
        <v>10.199731320455729</v>
      </c>
      <c r="S24" s="107"/>
      <c r="T24" s="145">
        <f ca="1">VLOOKUP(SETTINGS!G48,'BROKEN DATES'!$H$18:$L$506,4,0)</f>
        <v>5.3629091944852014</v>
      </c>
      <c r="U24" s="99">
        <f ca="1">(T24-$B24)*100</f>
        <v>10.048837419025336</v>
      </c>
      <c r="V24" s="100">
        <f ca="1">($B24-VLOOKUP(SETTINGS!G67,'BROKEN DATES'!$B$18:$D$506,3,0))*100</f>
        <v>6.609820574822578</v>
      </c>
      <c r="W24" s="146">
        <f ca="1">U24+V24</f>
        <v>16.658657993847914</v>
      </c>
      <c r="Y24" s="145">
        <f ca="1">IF(D24*12-$AB$11&lt;=0,"",'BROKEN DATES'!K101)</f>
        <v>5.7015898374303671</v>
      </c>
      <c r="Z24" s="99">
        <f t="shared" ca="1" si="2"/>
        <v>43.916901713541904</v>
      </c>
      <c r="AA24" s="100">
        <f ca="1">IF(D24*12-$AB$11&lt;=0,"",IF(ISERROR(($B24-'BROKEN DATES'!D133)*100),0,($B24-'BROKEN DATES'!D133)*100))</f>
        <v>35.056616961778353</v>
      </c>
      <c r="AB24" s="146">
        <f t="shared" ca="1" si="3"/>
        <v>78.973518675320264</v>
      </c>
      <c r="AL24" s="176"/>
      <c r="AM24" s="176"/>
      <c r="AN24" s="176"/>
    </row>
    <row r="25" spans="2:40" x14ac:dyDescent="0.2">
      <c r="B25" s="138">
        <f ca="1">VLOOKUP(D25&amp;"y",'BROKEN DATES'!$B$18:$D$506,3,0)</f>
        <v>5.4222795277672891</v>
      </c>
      <c r="C25" t="str">
        <f t="shared" si="0"/>
        <v>9Y</v>
      </c>
      <c r="D25" s="104">
        <v>9</v>
      </c>
      <c r="E25" s="129">
        <f ca="1">VLOOKUP(SETTINGS!D49,'BROKEN DATES'!$H$18:$L$506,4,0)</f>
        <v>5.4195121553764167</v>
      </c>
      <c r="F25" s="99">
        <f ca="1">(E25-$B25)*100</f>
        <v>-0.27673723908723247</v>
      </c>
      <c r="G25" s="100">
        <f ca="1">($B25-VLOOKUP(SETTINGS!D68,'BROKEN DATES'!$B$18:$D$506,3,0))*100</f>
        <v>1.2668607351509209</v>
      </c>
      <c r="H25" s="140">
        <f ca="1">F25+G25</f>
        <v>0.99012349606368844</v>
      </c>
      <c r="I25" s="106"/>
      <c r="J25" s="145">
        <f ca="1">VLOOKUP(SETTINGS!E49,'BROKEN DATES'!$H$18:$L$506,4,0)</f>
        <v>5.4189249553583618</v>
      </c>
      <c r="K25" s="99">
        <f ca="1">(J25-$B25)*100</f>
        <v>-0.33545724089272255</v>
      </c>
      <c r="L25" s="100">
        <f ca="1">($B25-VLOOKUP(SETTINGS!E68,'BROKEN DATES'!$B$18:$D$506,3,0))*100</f>
        <v>3.9550631625074217</v>
      </c>
      <c r="M25" s="146">
        <f ca="1">K25+L25</f>
        <v>3.6196059216146992</v>
      </c>
      <c r="N25" s="107"/>
      <c r="O25" s="145">
        <f ca="1">VLOOKUP(SETTINGS!F49,'BROKEN DATES'!$H$18:$L$506,4,0)</f>
        <v>5.4416072573820209</v>
      </c>
      <c r="P25" s="99">
        <f ca="1">(O25-$B25)*100</f>
        <v>1.9327729614731837</v>
      </c>
      <c r="Q25" s="100">
        <f ca="1">($B25-VLOOKUP(SETTINGS!F68,'BROKEN DATES'!$B$18:$D$506,3,0))*100</f>
        <v>7.7890567884093542</v>
      </c>
      <c r="R25" s="146">
        <f ca="1">P25+Q25</f>
        <v>9.7218297498825379</v>
      </c>
      <c r="S25" s="107"/>
      <c r="T25" s="145">
        <f ca="1">VLOOKUP(SETTINGS!G49,'BROKEN DATES'!$H$18:$L$506,4,0)</f>
        <v>5.5377272094538661</v>
      </c>
      <c r="U25" s="99">
        <f ca="1">(T25-$B25)*100</f>
        <v>11.544768168657704</v>
      </c>
      <c r="V25" s="100">
        <f ca="1">($B25-VLOOKUP(SETTINGS!G68,'BROKEN DATES'!$B$18:$D$506,3,0))*100</f>
        <v>15.985870747234099</v>
      </c>
      <c r="W25" s="146">
        <f ca="1">U25+V25</f>
        <v>27.530638915891803</v>
      </c>
      <c r="Y25" s="145">
        <f ca="1">IF(D25*12-$AB$11&lt;=0,"",'BROKEN DATES'!K102)</f>
        <v>5.9445776536128401</v>
      </c>
      <c r="Z25" s="99">
        <f t="shared" ca="1" si="2"/>
        <v>52.229812584555106</v>
      </c>
      <c r="AA25" s="100">
        <f ca="1">IF(D25*12-$AB$11&lt;=0,"",IF(ISERROR(($B25-'BROKEN DATES'!D134)*100),0,($B25-'BROKEN DATES'!D134)*100))</f>
        <v>40.574409223432809</v>
      </c>
      <c r="AB25" s="146">
        <f t="shared" ca="1" si="3"/>
        <v>92.804221807987915</v>
      </c>
      <c r="AL25" s="176"/>
      <c r="AM25" s="176"/>
      <c r="AN25" s="176"/>
    </row>
    <row r="26" spans="2:40" x14ac:dyDescent="0.2">
      <c r="B26" s="138" t="str">
        <f ca="1">VLOOKUP(D26&amp;"y",'BROKEN DATES'!$B$18:$D$506,3,0)</f>
        <v/>
      </c>
      <c r="C26" t="str">
        <f t="shared" si="0"/>
        <v>10Y</v>
      </c>
      <c r="D26" s="104">
        <v>10</v>
      </c>
      <c r="E26" s="129">
        <f ca="1">VLOOKUP(SETTINGS!D50,'BROKEN DATES'!$H$18:$L$506,4,0)</f>
        <v>0</v>
      </c>
      <c r="F26" s="99" t="e">
        <f t="shared" ca="1" si="1"/>
        <v>#VALUE!</v>
      </c>
      <c r="G26" s="100" t="e">
        <f ca="1">($B26-VLOOKUP(SETTINGS!D69,'BROKEN DATES'!$B$18:$D$506,3,0))*100</f>
        <v>#VALUE!</v>
      </c>
      <c r="H26" s="140" t="e">
        <f t="shared" ca="1" si="4"/>
        <v>#VALUE!</v>
      </c>
      <c r="I26" s="106"/>
      <c r="J26" s="145">
        <f ca="1">VLOOKUP(SETTINGS!E50,'BROKEN DATES'!$H$18:$L$506,4,0)</f>
        <v>0</v>
      </c>
      <c r="K26" s="99" t="e">
        <f t="shared" ca="1" si="5"/>
        <v>#VALUE!</v>
      </c>
      <c r="L26" s="100" t="e">
        <f ca="1">($B26-VLOOKUP(SETTINGS!E69,'BROKEN DATES'!$B$18:$D$506,3,0))*100</f>
        <v>#VALUE!</v>
      </c>
      <c r="M26" s="146" t="e">
        <f t="shared" ca="1" si="6"/>
        <v>#VALUE!</v>
      </c>
      <c r="N26" s="107"/>
      <c r="O26" s="145">
        <f ca="1">VLOOKUP(SETTINGS!F50,'BROKEN DATES'!$H$18:$L$506,4,0)</f>
        <v>0</v>
      </c>
      <c r="P26" s="99" t="e">
        <f t="shared" ca="1" si="7"/>
        <v>#VALUE!</v>
      </c>
      <c r="Q26" s="100" t="e">
        <f ca="1">($B26-VLOOKUP(SETTINGS!F69,'BROKEN DATES'!$B$18:$D$506,3,0))*100</f>
        <v>#VALUE!</v>
      </c>
      <c r="R26" s="146" t="e">
        <f t="shared" ca="1" si="8"/>
        <v>#VALUE!</v>
      </c>
      <c r="S26" s="107"/>
      <c r="T26" s="145">
        <f ca="1">VLOOKUP(SETTINGS!G50,'BROKEN DATES'!$H$18:$L$506,4,0)</f>
        <v>0</v>
      </c>
      <c r="U26" s="99" t="e">
        <f t="shared" ca="1" si="9"/>
        <v>#VALUE!</v>
      </c>
      <c r="V26" s="100" t="e">
        <f ca="1">($B26-VLOOKUP(SETTINGS!G69,'BROKEN DATES'!$B$18:$D$506,3,0))*100</f>
        <v>#VALUE!</v>
      </c>
      <c r="W26" s="146" t="e">
        <f t="shared" ca="1" si="10"/>
        <v>#VALUE!</v>
      </c>
      <c r="Y26" s="145">
        <f ca="1">IF(D26*12-$AB$11&lt;=0,"",'BROKEN DATES'!K103)</f>
        <v>0</v>
      </c>
      <c r="Z26" s="99" t="e">
        <f t="shared" ca="1" si="2"/>
        <v>#VALUE!</v>
      </c>
      <c r="AA26" s="100">
        <f ca="1">IF(D26*12-$AB$11&lt;=0,"",IF(ISERROR(($B26-'BROKEN DATES'!D135)*100),0,($B26-'BROKEN DATES'!D135)*100))</f>
        <v>0</v>
      </c>
      <c r="AB26" s="146" t="e">
        <f t="shared" ca="1" si="3"/>
        <v>#VALUE!</v>
      </c>
      <c r="AL26" s="176"/>
      <c r="AM26" s="176"/>
      <c r="AN26" s="176"/>
    </row>
    <row r="27" spans="2:40" x14ac:dyDescent="0.2">
      <c r="B27" s="138" t="str">
        <f ca="1">VLOOKUP(D27&amp;"y",'BROKEN DATES'!$B$18:$D$506,3,0)</f>
        <v/>
      </c>
      <c r="C27" t="str">
        <f t="shared" si="0"/>
        <v>12Y</v>
      </c>
      <c r="D27" s="104">
        <v>12</v>
      </c>
      <c r="E27" s="129">
        <f ca="1">VLOOKUP(SETTINGS!D51,'BROKEN DATES'!$H$18:$L$506,4,0)</f>
        <v>0</v>
      </c>
      <c r="F27" s="99" t="e">
        <f t="shared" ca="1" si="1"/>
        <v>#VALUE!</v>
      </c>
      <c r="G27" s="100" t="e">
        <f ca="1">($B27-VLOOKUP(SETTINGS!D70,'BROKEN DATES'!$B$18:$D$506,3,0))*100</f>
        <v>#VALUE!</v>
      </c>
      <c r="H27" s="140" t="e">
        <f t="shared" ca="1" si="4"/>
        <v>#VALUE!</v>
      </c>
      <c r="I27" s="106"/>
      <c r="J27" s="145">
        <f ca="1">VLOOKUP(SETTINGS!E51,'BROKEN DATES'!$H$18:$L$506,4,0)</f>
        <v>0</v>
      </c>
      <c r="K27" s="99" t="e">
        <f t="shared" ca="1" si="5"/>
        <v>#VALUE!</v>
      </c>
      <c r="L27" s="100" t="e">
        <f ca="1">($B27-VLOOKUP(SETTINGS!E70,'BROKEN DATES'!$B$18:$D$506,3,0))*100</f>
        <v>#VALUE!</v>
      </c>
      <c r="M27" s="146" t="e">
        <f t="shared" ca="1" si="6"/>
        <v>#VALUE!</v>
      </c>
      <c r="N27" s="107"/>
      <c r="O27" s="145">
        <f ca="1">VLOOKUP(SETTINGS!F51,'BROKEN DATES'!$H$18:$L$506,4,0)</f>
        <v>0</v>
      </c>
      <c r="P27" s="99" t="e">
        <f t="shared" ca="1" si="7"/>
        <v>#VALUE!</v>
      </c>
      <c r="Q27" s="100" t="e">
        <f ca="1">($B27-VLOOKUP(SETTINGS!F70,'BROKEN DATES'!$B$18:$D$506,3,0))*100</f>
        <v>#VALUE!</v>
      </c>
      <c r="R27" s="146" t="e">
        <f t="shared" ca="1" si="8"/>
        <v>#VALUE!</v>
      </c>
      <c r="S27" s="107"/>
      <c r="T27" s="145">
        <f ca="1">VLOOKUP(SETTINGS!G51,'BROKEN DATES'!$H$18:$L$506,4,0)</f>
        <v>0</v>
      </c>
      <c r="U27" s="99" t="e">
        <f t="shared" ca="1" si="9"/>
        <v>#VALUE!</v>
      </c>
      <c r="V27" s="100" t="e">
        <f ca="1">($B27-VLOOKUP(SETTINGS!G70,'BROKEN DATES'!$B$18:$D$506,3,0))*100</f>
        <v>#VALUE!</v>
      </c>
      <c r="W27" s="146" t="e">
        <f t="shared" ca="1" si="10"/>
        <v>#VALUE!</v>
      </c>
      <c r="Y27" s="145">
        <f ca="1">IF(D27*12-$AB$11&lt;=0,"",'BROKEN DATES'!K104)</f>
        <v>0</v>
      </c>
      <c r="Z27" s="99" t="e">
        <f t="shared" ca="1" si="2"/>
        <v>#VALUE!</v>
      </c>
      <c r="AA27" s="100">
        <f ca="1">IF(D27*12-$AB$11&lt;=0,"",IF(ISERROR(($B27-'BROKEN DATES'!D136)*100),0,($B27-'BROKEN DATES'!D136)*100))</f>
        <v>0</v>
      </c>
      <c r="AB27" s="146" t="e">
        <f t="shared" ca="1" si="3"/>
        <v>#VALUE!</v>
      </c>
      <c r="AL27" s="176"/>
      <c r="AM27" s="176"/>
      <c r="AN27" s="176"/>
    </row>
    <row r="28" spans="2:40" x14ac:dyDescent="0.2">
      <c r="B28" s="138" t="str">
        <f ca="1">VLOOKUP(D28&amp;"y",'BROKEN DATES'!$B$18:$D$506,3,0)</f>
        <v/>
      </c>
      <c r="C28" t="str">
        <f t="shared" si="0"/>
        <v>15Y</v>
      </c>
      <c r="D28" s="104">
        <v>15</v>
      </c>
      <c r="E28" s="129">
        <f ca="1">VLOOKUP(SETTINGS!D52,'BROKEN DATES'!$H$18:$L$506,4,0)</f>
        <v>0</v>
      </c>
      <c r="F28" s="99" t="e">
        <f t="shared" ca="1" si="1"/>
        <v>#VALUE!</v>
      </c>
      <c r="G28" s="100" t="e">
        <f ca="1">($B28-VLOOKUP(SETTINGS!D71,'BROKEN DATES'!$B$18:$D$506,3,0))*100</f>
        <v>#VALUE!</v>
      </c>
      <c r="H28" s="140" t="e">
        <f t="shared" ca="1" si="4"/>
        <v>#VALUE!</v>
      </c>
      <c r="I28" s="106"/>
      <c r="J28" s="145">
        <f ca="1">VLOOKUP(SETTINGS!E52,'BROKEN DATES'!$H$18:$L$506,4,0)</f>
        <v>0</v>
      </c>
      <c r="K28" s="99" t="e">
        <f t="shared" ca="1" si="5"/>
        <v>#VALUE!</v>
      </c>
      <c r="L28" s="100" t="e">
        <f ca="1">($B28-VLOOKUP(SETTINGS!E71,'BROKEN DATES'!$B$18:$D$506,3,0))*100</f>
        <v>#VALUE!</v>
      </c>
      <c r="M28" s="146" t="e">
        <f t="shared" ca="1" si="6"/>
        <v>#VALUE!</v>
      </c>
      <c r="N28" s="107"/>
      <c r="O28" s="145">
        <f ca="1">VLOOKUP(SETTINGS!F52,'BROKEN DATES'!$H$18:$L$506,4,0)</f>
        <v>0</v>
      </c>
      <c r="P28" s="99" t="e">
        <f t="shared" ca="1" si="7"/>
        <v>#VALUE!</v>
      </c>
      <c r="Q28" s="100" t="e">
        <f ca="1">($B28-VLOOKUP(SETTINGS!F71,'BROKEN DATES'!$B$18:$D$506,3,0))*100</f>
        <v>#VALUE!</v>
      </c>
      <c r="R28" s="146" t="e">
        <f t="shared" ca="1" si="8"/>
        <v>#VALUE!</v>
      </c>
      <c r="S28" s="107"/>
      <c r="T28" s="145">
        <f ca="1">VLOOKUP(SETTINGS!G52,'BROKEN DATES'!$H$18:$L$506,4,0)</f>
        <v>0</v>
      </c>
      <c r="U28" s="99" t="e">
        <f t="shared" ca="1" si="9"/>
        <v>#VALUE!</v>
      </c>
      <c r="V28" s="100" t="e">
        <f ca="1">($B28-VLOOKUP(SETTINGS!G71,'BROKEN DATES'!$B$18:$D$506,3,0))*100</f>
        <v>#VALUE!</v>
      </c>
      <c r="W28" s="146" t="e">
        <f t="shared" ca="1" si="10"/>
        <v>#VALUE!</v>
      </c>
      <c r="Y28" s="145">
        <f ca="1">IF(D28*12-$AB$11&lt;=0,"",'BROKEN DATES'!K105)</f>
        <v>0</v>
      </c>
      <c r="Z28" s="99" t="e">
        <f t="shared" ca="1" si="2"/>
        <v>#VALUE!</v>
      </c>
      <c r="AA28" s="100">
        <f ca="1">IF(D28*12-$AB$11&lt;=0,"",IF(ISERROR(($B28-'BROKEN DATES'!D137)*100),0,($B28-'BROKEN DATES'!D137)*100))</f>
        <v>0</v>
      </c>
      <c r="AB28" s="146" t="e">
        <f t="shared" ca="1" si="3"/>
        <v>#VALUE!</v>
      </c>
      <c r="AL28" s="176"/>
      <c r="AM28" s="176"/>
      <c r="AN28" s="176"/>
    </row>
    <row r="29" spans="2:40" x14ac:dyDescent="0.2">
      <c r="B29" s="138" t="str">
        <f ca="1">VLOOKUP(D29&amp;"y",'BROKEN DATES'!$B$18:$D$506,3,0)</f>
        <v/>
      </c>
      <c r="C29" t="str">
        <f t="shared" si="0"/>
        <v>20Y</v>
      </c>
      <c r="D29" s="104">
        <v>20</v>
      </c>
      <c r="E29" s="129">
        <f ca="1">VLOOKUP(SETTINGS!D53,'BROKEN DATES'!$H$18:$L$506,4,0)</f>
        <v>0</v>
      </c>
      <c r="F29" s="99" t="e">
        <f t="shared" ca="1" si="1"/>
        <v>#VALUE!</v>
      </c>
      <c r="G29" s="100" t="e">
        <f ca="1">($B29-VLOOKUP(SETTINGS!D72,'BROKEN DATES'!$B$18:$D$506,3,0))*100</f>
        <v>#VALUE!</v>
      </c>
      <c r="H29" s="140" t="e">
        <f t="shared" ca="1" si="4"/>
        <v>#VALUE!</v>
      </c>
      <c r="I29" s="106"/>
      <c r="J29" s="145">
        <f ca="1">VLOOKUP(SETTINGS!E53,'BROKEN DATES'!$H$18:$L$506,4,0)</f>
        <v>0</v>
      </c>
      <c r="K29" s="99" t="e">
        <f t="shared" ca="1" si="5"/>
        <v>#VALUE!</v>
      </c>
      <c r="L29" s="100" t="e">
        <f ca="1">($B29-VLOOKUP(SETTINGS!E72,'BROKEN DATES'!$B$18:$D$506,3,0))*100</f>
        <v>#VALUE!</v>
      </c>
      <c r="M29" s="146" t="e">
        <f t="shared" ca="1" si="6"/>
        <v>#VALUE!</v>
      </c>
      <c r="N29" s="107"/>
      <c r="O29" s="145">
        <f ca="1">VLOOKUP(SETTINGS!F53,'BROKEN DATES'!$H$18:$L$506,4,0)</f>
        <v>0</v>
      </c>
      <c r="P29" s="99" t="e">
        <f t="shared" ca="1" si="7"/>
        <v>#VALUE!</v>
      </c>
      <c r="Q29" s="100" t="e">
        <f ca="1">($B29-VLOOKUP(SETTINGS!F72,'BROKEN DATES'!$B$18:$D$506,3,0))*100</f>
        <v>#VALUE!</v>
      </c>
      <c r="R29" s="146" t="e">
        <f t="shared" ca="1" si="8"/>
        <v>#VALUE!</v>
      </c>
      <c r="S29" s="107"/>
      <c r="T29" s="145">
        <f ca="1">VLOOKUP(SETTINGS!G53,'BROKEN DATES'!$H$18:$L$506,4,0)</f>
        <v>0</v>
      </c>
      <c r="U29" s="99" t="e">
        <f t="shared" ca="1" si="9"/>
        <v>#VALUE!</v>
      </c>
      <c r="V29" s="100" t="e">
        <f ca="1">($B29-VLOOKUP(SETTINGS!G72,'BROKEN DATES'!$B$18:$D$506,3,0))*100</f>
        <v>#VALUE!</v>
      </c>
      <c r="W29" s="146" t="e">
        <f t="shared" ca="1" si="10"/>
        <v>#VALUE!</v>
      </c>
      <c r="Y29" s="145">
        <f ca="1">IF(D29*12-$AB$11&lt;=0,"",'BROKEN DATES'!K106)</f>
        <v>0</v>
      </c>
      <c r="Z29" s="99" t="e">
        <f t="shared" ca="1" si="2"/>
        <v>#VALUE!</v>
      </c>
      <c r="AA29" s="100">
        <f ca="1">IF(D29*12-$AB$11&lt;=0,"",IF(ISERROR(($B29-'BROKEN DATES'!D138)*100),0,($B29-'BROKEN DATES'!D138)*100))</f>
        <v>0</v>
      </c>
      <c r="AB29" s="146" t="e">
        <f t="shared" ca="1" si="3"/>
        <v>#VALUE!</v>
      </c>
      <c r="AL29" s="176"/>
      <c r="AM29" s="176"/>
      <c r="AN29" s="176"/>
    </row>
    <row r="30" spans="2:40" x14ac:dyDescent="0.2">
      <c r="B30" s="138" t="str">
        <f ca="1">VLOOKUP(D30&amp;"y",'BROKEN DATES'!$B$18:$D$506,3,0)</f>
        <v/>
      </c>
      <c r="C30" t="str">
        <f t="shared" si="0"/>
        <v>25Y</v>
      </c>
      <c r="D30" s="104">
        <v>25</v>
      </c>
      <c r="E30" s="129">
        <f ca="1">VLOOKUP(SETTINGS!D54,'BROKEN DATES'!$H$18:$L$506,4,0)</f>
        <v>0</v>
      </c>
      <c r="F30" s="99" t="e">
        <f t="shared" ca="1" si="1"/>
        <v>#VALUE!</v>
      </c>
      <c r="G30" s="100" t="e">
        <f ca="1">($B30-VLOOKUP(SETTINGS!D73,'BROKEN DATES'!$B$18:$D$506,3,0))*100</f>
        <v>#VALUE!</v>
      </c>
      <c r="H30" s="140" t="e">
        <f t="shared" ca="1" si="4"/>
        <v>#VALUE!</v>
      </c>
      <c r="I30" s="106"/>
      <c r="J30" s="145">
        <f ca="1">VLOOKUP(SETTINGS!E54,'BROKEN DATES'!$H$18:$L$506,4,0)</f>
        <v>0</v>
      </c>
      <c r="K30" s="99" t="e">
        <f t="shared" ca="1" si="5"/>
        <v>#VALUE!</v>
      </c>
      <c r="L30" s="100" t="e">
        <f ca="1">($B30-VLOOKUP(SETTINGS!E73,'BROKEN DATES'!$B$18:$D$506,3,0))*100</f>
        <v>#VALUE!</v>
      </c>
      <c r="M30" s="146" t="e">
        <f t="shared" ca="1" si="6"/>
        <v>#VALUE!</v>
      </c>
      <c r="N30" s="107"/>
      <c r="O30" s="145">
        <f ca="1">VLOOKUP(SETTINGS!F54,'BROKEN DATES'!$H$18:$L$506,4,0)</f>
        <v>0</v>
      </c>
      <c r="P30" s="99" t="e">
        <f t="shared" ca="1" si="7"/>
        <v>#VALUE!</v>
      </c>
      <c r="Q30" s="100" t="e">
        <f ca="1">($B30-VLOOKUP(SETTINGS!F73,'BROKEN DATES'!$B$18:$D$506,3,0))*100</f>
        <v>#VALUE!</v>
      </c>
      <c r="R30" s="146" t="e">
        <f t="shared" ca="1" si="8"/>
        <v>#VALUE!</v>
      </c>
      <c r="S30" s="107"/>
      <c r="T30" s="145">
        <f ca="1">VLOOKUP(SETTINGS!G54,'BROKEN DATES'!$H$18:$L$506,4,0)</f>
        <v>0</v>
      </c>
      <c r="U30" s="99" t="e">
        <f t="shared" ca="1" si="9"/>
        <v>#VALUE!</v>
      </c>
      <c r="V30" s="100" t="e">
        <f ca="1">($B30-VLOOKUP(SETTINGS!G73,'BROKEN DATES'!$B$18:$D$506,3,0))*100</f>
        <v>#VALUE!</v>
      </c>
      <c r="W30" s="146" t="e">
        <f t="shared" ca="1" si="10"/>
        <v>#VALUE!</v>
      </c>
      <c r="Y30" s="145">
        <f ca="1">IF(D30*12-$AB$11&lt;=0,"",'BROKEN DATES'!K107)</f>
        <v>0</v>
      </c>
      <c r="Z30" s="99" t="e">
        <f t="shared" ca="1" si="2"/>
        <v>#VALUE!</v>
      </c>
      <c r="AA30" s="100">
        <f ca="1">IF(D30*12-$AB$11&lt;=0,"",IF(ISERROR(($B30-'BROKEN DATES'!D139)*100),0,($B30-'BROKEN DATES'!D139)*100))</f>
        <v>0</v>
      </c>
      <c r="AB30" s="146" t="e">
        <f t="shared" ca="1" si="3"/>
        <v>#VALUE!</v>
      </c>
      <c r="AL30" s="176"/>
      <c r="AM30" s="176"/>
      <c r="AN30" s="176"/>
    </row>
    <row r="31" spans="2:40" ht="13.5" thickBot="1" x14ac:dyDescent="0.25">
      <c r="B31" s="139" t="str">
        <f ca="1">VLOOKUP(D31&amp;"y",'BROKEN DATES'!$B$18:$D$506,3,0)</f>
        <v/>
      </c>
      <c r="C31" t="str">
        <f t="shared" si="0"/>
        <v>30Y</v>
      </c>
      <c r="D31" s="105">
        <v>30</v>
      </c>
      <c r="E31" s="129">
        <f ca="1">VLOOKUP(SETTINGS!D55,'BROKEN DATES'!$H$18:$L$506,4,0)</f>
        <v>0</v>
      </c>
      <c r="F31" s="99" t="e">
        <f t="shared" ca="1" si="1"/>
        <v>#VALUE!</v>
      </c>
      <c r="G31" s="100" t="e">
        <f ca="1">($B31-VLOOKUP(SETTINGS!D74,'BROKEN DATES'!$B$18:$D$506,3,0))*100</f>
        <v>#VALUE!</v>
      </c>
      <c r="H31" s="140" t="e">
        <f t="shared" ca="1" si="4"/>
        <v>#VALUE!</v>
      </c>
      <c r="I31" s="106"/>
      <c r="J31" s="145">
        <f ca="1">VLOOKUP(SETTINGS!E55,'BROKEN DATES'!$H$18:$L$506,4,0)</f>
        <v>0</v>
      </c>
      <c r="K31" s="99" t="e">
        <f t="shared" ca="1" si="5"/>
        <v>#VALUE!</v>
      </c>
      <c r="L31" s="100" t="e">
        <f ca="1">($B31-VLOOKUP(SETTINGS!E74,'BROKEN DATES'!$B$18:$D$506,3,0))*100</f>
        <v>#VALUE!</v>
      </c>
      <c r="M31" s="146" t="e">
        <f t="shared" ca="1" si="6"/>
        <v>#VALUE!</v>
      </c>
      <c r="N31" s="107"/>
      <c r="O31" s="145">
        <f ca="1">VLOOKUP(SETTINGS!F55,'BROKEN DATES'!$H$18:$L$506,4,0)</f>
        <v>0</v>
      </c>
      <c r="P31" s="99" t="e">
        <f t="shared" ca="1" si="7"/>
        <v>#VALUE!</v>
      </c>
      <c r="Q31" s="100" t="e">
        <f ca="1">($B31-VLOOKUP(SETTINGS!F74,'BROKEN DATES'!$B$18:$D$506,3,0))*100</f>
        <v>#VALUE!</v>
      </c>
      <c r="R31" s="146" t="e">
        <f t="shared" ca="1" si="8"/>
        <v>#VALUE!</v>
      </c>
      <c r="S31" s="107"/>
      <c r="T31" s="145">
        <f ca="1">VLOOKUP(SETTINGS!G55,'BROKEN DATES'!$H$18:$L$506,4,0)</f>
        <v>0</v>
      </c>
      <c r="U31" s="99" t="e">
        <f t="shared" ca="1" si="9"/>
        <v>#VALUE!</v>
      </c>
      <c r="V31" s="100" t="e">
        <f ca="1">($B31-VLOOKUP(SETTINGS!G74,'BROKEN DATES'!$B$18:$D$506,3,0))*100</f>
        <v>#VALUE!</v>
      </c>
      <c r="W31" s="146" t="e">
        <f t="shared" ca="1" si="10"/>
        <v>#VALUE!</v>
      </c>
      <c r="Y31" s="145">
        <f ca="1">IF(D31*12-$AB$11&lt;=0,"",'BROKEN DATES'!K108)</f>
        <v>0</v>
      </c>
      <c r="Z31" s="99" t="e">
        <f t="shared" ca="1" si="2"/>
        <v>#VALUE!</v>
      </c>
      <c r="AA31" s="100">
        <f ca="1">IF(D31*12-$AB$11&lt;=0,"",IF(ISERROR(($B31-'BROKEN DATES'!D140)*100),0,($B31-'BROKEN DATES'!D140)*100))</f>
        <v>0</v>
      </c>
      <c r="AB31" s="146" t="e">
        <f t="shared" ca="1" si="3"/>
        <v>#VALUE!</v>
      </c>
      <c r="AL31" s="176"/>
      <c r="AM31" s="176"/>
      <c r="AN31" s="176"/>
    </row>
    <row r="32" spans="2:40" x14ac:dyDescent="0.2">
      <c r="D32" s="148"/>
      <c r="E32" s="149"/>
      <c r="F32" s="149"/>
      <c r="G32" s="149"/>
      <c r="H32" s="150"/>
      <c r="I32" s="101"/>
      <c r="J32" s="154"/>
      <c r="K32" s="152"/>
      <c r="L32" s="152"/>
      <c r="M32" s="153"/>
      <c r="N32" s="101"/>
      <c r="O32" s="154"/>
      <c r="P32" s="152"/>
      <c r="Q32" s="152"/>
      <c r="R32" s="153"/>
      <c r="S32" s="101"/>
      <c r="T32" s="197"/>
      <c r="U32" s="152"/>
      <c r="V32" s="152"/>
      <c r="W32" s="153"/>
      <c r="Y32" s="154"/>
      <c r="Z32" s="152"/>
      <c r="AA32" s="152"/>
      <c r="AB32" s="153"/>
      <c r="AL32" s="176"/>
      <c r="AM32" s="176"/>
      <c r="AN32" s="176"/>
    </row>
    <row r="33" spans="2:28" ht="13.5" thickBot="1" x14ac:dyDescent="0.25">
      <c r="D33" s="148"/>
      <c r="E33" s="149"/>
      <c r="F33" s="149"/>
      <c r="G33" s="149"/>
      <c r="H33" s="150"/>
      <c r="I33" s="101"/>
      <c r="J33" s="154"/>
      <c r="K33" s="152"/>
      <c r="L33" s="152"/>
      <c r="M33" s="153"/>
      <c r="N33" s="101"/>
      <c r="O33" s="154"/>
      <c r="P33" s="152"/>
      <c r="Q33" s="152"/>
      <c r="R33" s="153"/>
      <c r="S33" s="101"/>
      <c r="T33" s="154"/>
      <c r="U33" s="152"/>
      <c r="V33" s="152"/>
      <c r="W33" s="153"/>
      <c r="Y33" s="154"/>
      <c r="Z33" s="152"/>
      <c r="AA33" s="152"/>
      <c r="AB33" s="153"/>
    </row>
    <row r="34" spans="2:28" x14ac:dyDescent="0.2">
      <c r="B34" s="161">
        <f ca="1">B18-B17</f>
        <v>-3.9567954371418246E-2</v>
      </c>
      <c r="C34" s="101"/>
      <c r="D34" s="103" t="s">
        <v>213</v>
      </c>
      <c r="E34" s="130">
        <f ca="1">(E18-E17)*100</f>
        <v>-0.44040413476560403</v>
      </c>
      <c r="F34" s="99">
        <f t="shared" ref="F34:F44" ca="1" si="11">E34-$B34*100</f>
        <v>3.5163913023762206</v>
      </c>
      <c r="G34" s="100">
        <f ca="1">(G18-G17)</f>
        <v>0.56700390535207035</v>
      </c>
      <c r="H34" s="140">
        <f t="shared" ref="H34:H44" ca="1" si="12">F34+G34</f>
        <v>4.0833952077282909</v>
      </c>
      <c r="I34" s="101"/>
      <c r="J34" s="145">
        <f ca="1">(J18-J17)*100</f>
        <v>7.4981461803709237</v>
      </c>
      <c r="K34" s="99">
        <f t="shared" ref="K34:K44" ca="1" si="13">J34-$B34*100</f>
        <v>11.454941617512748</v>
      </c>
      <c r="L34" s="100">
        <f ca="1">(L18-L17)</f>
        <v>1.9264847466888391</v>
      </c>
      <c r="M34" s="140">
        <f t="shared" ref="M34:M44" ca="1" si="14">K34+L34</f>
        <v>13.381426364201587</v>
      </c>
      <c r="N34" s="101"/>
      <c r="O34" s="145">
        <f ca="1">(O18-O17)*100</f>
        <v>17.153117597542078</v>
      </c>
      <c r="P34" s="99">
        <f t="shared" ref="P34:P44" ca="1" si="15">O34-$B34*100</f>
        <v>21.109913034683903</v>
      </c>
      <c r="Q34" s="100">
        <f ca="1">(Q18-Q17)</f>
        <v>3.0015087071916469</v>
      </c>
      <c r="R34" s="140">
        <f t="shared" ref="R34:R44" ca="1" si="16">P34+Q34</f>
        <v>24.111421741875549</v>
      </c>
      <c r="S34" s="101"/>
      <c r="T34" s="145"/>
      <c r="U34" s="99"/>
      <c r="V34" s="100"/>
      <c r="W34" s="140"/>
      <c r="Y34" s="145" t="e">
        <f>(Y18-Y17)*100</f>
        <v>#VALUE!</v>
      </c>
      <c r="Z34" s="99" t="e">
        <f t="shared" ref="Z34:Z44" ca="1" si="17">Y34-$B34*100</f>
        <v>#VALUE!</v>
      </c>
      <c r="AA34" s="100" t="e">
        <f>(AA18-AA17)</f>
        <v>#VALUE!</v>
      </c>
      <c r="AB34" s="140" t="e">
        <f t="shared" ref="AB34:AB44" ca="1" si="18">Z34+AA34</f>
        <v>#VALUE!</v>
      </c>
    </row>
    <row r="35" spans="2:28" x14ac:dyDescent="0.2">
      <c r="B35" s="162">
        <f ca="1">B19-B18</f>
        <v>0.12545907336950801</v>
      </c>
      <c r="C35" s="101"/>
      <c r="D35" s="104" t="s">
        <v>214</v>
      </c>
      <c r="E35" s="130">
        <f ca="1">(E19-E18)*100</f>
        <v>12.179801006285107</v>
      </c>
      <c r="F35" s="99">
        <f t="shared" ca="1" si="11"/>
        <v>-0.3661063306656942</v>
      </c>
      <c r="G35" s="100">
        <f ca="1">(G19-G18)</f>
        <v>1.30113503622864</v>
      </c>
      <c r="H35" s="140">
        <f t="shared" ca="1" si="12"/>
        <v>0.93502870556294582</v>
      </c>
      <c r="I35" s="101"/>
      <c r="J35" s="145">
        <f ca="1">(J19-J18)*100</f>
        <v>11.145272520826488</v>
      </c>
      <c r="K35" s="99">
        <f t="shared" ca="1" si="13"/>
        <v>-1.4006348161243132</v>
      </c>
      <c r="L35" s="100">
        <f ca="1">(L19-L18)</f>
        <v>4.0893405072142563</v>
      </c>
      <c r="M35" s="140">
        <f t="shared" ca="1" si="14"/>
        <v>2.6887056910899432</v>
      </c>
      <c r="N35" s="101"/>
      <c r="O35" s="145">
        <f ca="1">(O19-O18)*100</f>
        <v>7.5378455227005148</v>
      </c>
      <c r="P35" s="99">
        <f t="shared" ca="1" si="15"/>
        <v>-5.0080618142502864</v>
      </c>
      <c r="Q35" s="100">
        <f ca="1">(Q19-Q18)</f>
        <v>8.2046203588745037</v>
      </c>
      <c r="R35" s="140">
        <f t="shared" ca="1" si="16"/>
        <v>3.1965585446242173</v>
      </c>
      <c r="S35" s="101"/>
      <c r="T35" s="145">
        <f ca="1">(T19-T18)*100</f>
        <v>21.378148286072474</v>
      </c>
      <c r="U35" s="99">
        <f t="shared" ref="U35:U44" ca="1" si="19">T35-$B35*100</f>
        <v>8.8322409491216725</v>
      </c>
      <c r="V35" s="100">
        <f ca="1">(V19-V18)</f>
        <v>16.502702774092626</v>
      </c>
      <c r="W35" s="140">
        <f t="shared" ref="W35:W44" ca="1" si="20">U35+V35</f>
        <v>25.334943723214298</v>
      </c>
      <c r="Y35" s="145" t="e">
        <f>(Y19-Y18)*100</f>
        <v>#VALUE!</v>
      </c>
      <c r="Z35" s="99" t="e">
        <f t="shared" ca="1" si="17"/>
        <v>#VALUE!</v>
      </c>
      <c r="AA35" s="100" t="e">
        <f>(AA19-AA18)</f>
        <v>#VALUE!</v>
      </c>
      <c r="AB35" s="140" t="e">
        <f t="shared" ca="1" si="18"/>
        <v>#VALUE!</v>
      </c>
    </row>
    <row r="36" spans="2:28" x14ac:dyDescent="0.2">
      <c r="B36" s="162">
        <f ca="1">B21-B18</f>
        <v>0.36562080341668501</v>
      </c>
      <c r="D36" s="104" t="s">
        <v>215</v>
      </c>
      <c r="E36" s="130">
        <f ca="1">(E21-E18)*100</f>
        <v>36.693034225030274</v>
      </c>
      <c r="F36" s="99">
        <f t="shared" ca="1" si="11"/>
        <v>0.13095388336176939</v>
      </c>
      <c r="G36" s="100">
        <f ca="1">(G21-G18)</f>
        <v>1.1361796782615841</v>
      </c>
      <c r="H36" s="140">
        <f t="shared" ca="1" si="12"/>
        <v>1.2671335616233534</v>
      </c>
      <c r="I36" s="101"/>
      <c r="J36" s="145">
        <f ca="1">(J21-J18)*100</f>
        <v>36.768174681203014</v>
      </c>
      <c r="K36" s="99">
        <f t="shared" ca="1" si="13"/>
        <v>0.20609433953450917</v>
      </c>
      <c r="L36" s="100">
        <f ca="1">(L21-L18)</f>
        <v>3.5341981963687985</v>
      </c>
      <c r="M36" s="140">
        <f t="shared" ca="1" si="14"/>
        <v>3.7402925359033077</v>
      </c>
      <c r="N36" s="101"/>
      <c r="O36" s="145">
        <f ca="1">(O21-O18)*100</f>
        <v>34.12372767473029</v>
      </c>
      <c r="P36" s="99">
        <f t="shared" ca="1" si="15"/>
        <v>-2.438352666938215</v>
      </c>
      <c r="Q36" s="100">
        <f ca="1">(Q21-Q18)</f>
        <v>7.1245308534082064</v>
      </c>
      <c r="R36" s="140">
        <f t="shared" ca="1" si="16"/>
        <v>4.6861781864699914</v>
      </c>
      <c r="S36" s="101"/>
      <c r="T36" s="145">
        <f ca="1">(T21-T18)*100</f>
        <v>50.014278286931017</v>
      </c>
      <c r="U36" s="99">
        <f t="shared" ca="1" si="19"/>
        <v>13.452197945262512</v>
      </c>
      <c r="V36" s="100">
        <f ca="1">(V21-V18)</f>
        <v>14.424873922721471</v>
      </c>
      <c r="W36" s="140">
        <f t="shared" ca="1" si="20"/>
        <v>27.877071867983982</v>
      </c>
      <c r="Y36" s="145" t="e">
        <f ca="1">(Y21-Y18)*100</f>
        <v>#VALUE!</v>
      </c>
      <c r="Z36" s="99" t="e">
        <f t="shared" ca="1" si="17"/>
        <v>#VALUE!</v>
      </c>
      <c r="AA36" s="100" t="e">
        <f ca="1">(AA21-AA18)</f>
        <v>#VALUE!</v>
      </c>
      <c r="AB36" s="140" t="e">
        <f t="shared" ca="1" si="18"/>
        <v>#VALUE!</v>
      </c>
    </row>
    <row r="37" spans="2:28" x14ac:dyDescent="0.2">
      <c r="B37" s="162" t="e">
        <f ca="1">B26-B18</f>
        <v>#VALUE!</v>
      </c>
      <c r="D37" s="104" t="s">
        <v>216</v>
      </c>
      <c r="E37" s="130">
        <f ca="1">(E26-E18)*100</f>
        <v>-465.07064374167999</v>
      </c>
      <c r="F37" s="99" t="e">
        <f t="shared" ca="1" si="11"/>
        <v>#VALUE!</v>
      </c>
      <c r="G37" s="100" t="e">
        <f ca="1">(G26-G18)</f>
        <v>#VALUE!</v>
      </c>
      <c r="H37" s="140" t="e">
        <f t="shared" ca="1" si="12"/>
        <v>#VALUE!</v>
      </c>
      <c r="I37" s="101"/>
      <c r="J37" s="145">
        <f ca="1">(J26-J18)*100</f>
        <v>-465.35172435688656</v>
      </c>
      <c r="K37" s="99" t="e">
        <f t="shared" ca="1" si="13"/>
        <v>#VALUE!</v>
      </c>
      <c r="L37" s="100" t="e">
        <f ca="1">(L26-L18)</f>
        <v>#VALUE!</v>
      </c>
      <c r="M37" s="140" t="e">
        <f t="shared" ca="1" si="14"/>
        <v>#VALUE!</v>
      </c>
      <c r="N37" s="101"/>
      <c r="O37" s="145">
        <f ca="1">(O26-O18)*100</f>
        <v>-470.35650303807716</v>
      </c>
      <c r="P37" s="99" t="e">
        <f t="shared" ca="1" si="15"/>
        <v>#VALUE!</v>
      </c>
      <c r="Q37" s="100" t="e">
        <f ca="1">(Q26-Q18)</f>
        <v>#VALUE!</v>
      </c>
      <c r="R37" s="140" t="e">
        <f t="shared" ca="1" si="16"/>
        <v>#VALUE!</v>
      </c>
      <c r="S37" s="101"/>
      <c r="T37" s="145">
        <f ca="1">(T26-T18)*100</f>
        <v>-460.92039859936926</v>
      </c>
      <c r="U37" s="99" t="e">
        <f t="shared" ca="1" si="19"/>
        <v>#VALUE!</v>
      </c>
      <c r="V37" s="100" t="e">
        <f ca="1">(V26-V18)</f>
        <v>#VALUE!</v>
      </c>
      <c r="W37" s="140" t="e">
        <f t="shared" ca="1" si="20"/>
        <v>#VALUE!</v>
      </c>
      <c r="Y37" s="145" t="e">
        <f ca="1">(Y26-Y18)*100</f>
        <v>#VALUE!</v>
      </c>
      <c r="Z37" s="99" t="e">
        <f t="shared" ca="1" si="17"/>
        <v>#VALUE!</v>
      </c>
      <c r="AA37" s="100" t="e">
        <f ca="1">(AA26-AA18)</f>
        <v>#VALUE!</v>
      </c>
      <c r="AB37" s="140" t="e">
        <f t="shared" ca="1" si="18"/>
        <v>#VALUE!</v>
      </c>
    </row>
    <row r="38" spans="2:28" x14ac:dyDescent="0.2">
      <c r="B38" s="162">
        <f ca="1">B21-B19</f>
        <v>0.240161730047177</v>
      </c>
      <c r="D38" s="104" t="s">
        <v>217</v>
      </c>
      <c r="E38" s="130">
        <f ca="1">(E21-E19)*100</f>
        <v>24.513233218745167</v>
      </c>
      <c r="F38" s="99">
        <f t="shared" ca="1" si="11"/>
        <v>0.49706021402746714</v>
      </c>
      <c r="G38" s="100">
        <f ca="1">(G21-G19)</f>
        <v>-0.16495535796705596</v>
      </c>
      <c r="H38" s="140">
        <f t="shared" ca="1" si="12"/>
        <v>0.33210485606041118</v>
      </c>
      <c r="I38" s="101"/>
      <c r="J38" s="145">
        <f ca="1">(J21-J19)*100</f>
        <v>25.622902160376526</v>
      </c>
      <c r="K38" s="99">
        <f t="shared" ca="1" si="13"/>
        <v>1.6067291556588259</v>
      </c>
      <c r="L38" s="100">
        <f ca="1">(L21-L19)</f>
        <v>-0.55514231084545784</v>
      </c>
      <c r="M38" s="140">
        <f t="shared" ca="1" si="14"/>
        <v>1.0515868448133681</v>
      </c>
      <c r="N38" s="101"/>
      <c r="O38" s="145">
        <f ca="1">(O21-O19)*100</f>
        <v>26.585882152029772</v>
      </c>
      <c r="P38" s="99">
        <f t="shared" ca="1" si="15"/>
        <v>2.5697091473120715</v>
      </c>
      <c r="Q38" s="100">
        <f ca="1">(Q21-Q19)</f>
        <v>-1.0800895054662973</v>
      </c>
      <c r="R38" s="140">
        <f t="shared" ca="1" si="16"/>
        <v>1.4896196418457741</v>
      </c>
      <c r="S38" s="101"/>
      <c r="T38" s="145">
        <f ca="1">(T21-T19)*100</f>
        <v>28.63613000085854</v>
      </c>
      <c r="U38" s="99">
        <f t="shared" ca="1" si="19"/>
        <v>4.6199569961408393</v>
      </c>
      <c r="V38" s="100">
        <f ca="1">(V21-V19)</f>
        <v>-2.0778288513711551</v>
      </c>
      <c r="W38" s="140">
        <f t="shared" ca="1" si="20"/>
        <v>2.5421281447696842</v>
      </c>
      <c r="Y38" s="145" t="e">
        <f ca="1">(Y21-Y19)*100</f>
        <v>#VALUE!</v>
      </c>
      <c r="Z38" s="99" t="e">
        <f t="shared" ca="1" si="17"/>
        <v>#VALUE!</v>
      </c>
      <c r="AA38" s="100" t="e">
        <f ca="1">(AA21-AA19)</f>
        <v>#VALUE!</v>
      </c>
      <c r="AB38" s="140" t="e">
        <f t="shared" ca="1" si="18"/>
        <v>#VALUE!</v>
      </c>
    </row>
    <row r="39" spans="2:28" x14ac:dyDescent="0.2">
      <c r="B39" s="162">
        <f ca="1">B23-B19</f>
        <v>0.41994890906093829</v>
      </c>
      <c r="D39" s="104" t="s">
        <v>218</v>
      </c>
      <c r="E39" s="130">
        <f ca="1">(E23-E19)*100</f>
        <v>42.63997339833594</v>
      </c>
      <c r="F39" s="99">
        <f t="shared" ca="1" si="11"/>
        <v>0.64508249224211056</v>
      </c>
      <c r="G39" s="100">
        <f ca="1">(G23-G19)</f>
        <v>-0.37031896055399471</v>
      </c>
      <c r="H39" s="140">
        <f t="shared" ca="1" si="12"/>
        <v>0.27476353168811585</v>
      </c>
      <c r="I39" s="101"/>
      <c r="J39" s="145">
        <f ca="1">(J23-J19)*100</f>
        <v>44.061095541034767</v>
      </c>
      <c r="K39" s="99">
        <f t="shared" ca="1" si="13"/>
        <v>2.066204634940938</v>
      </c>
      <c r="L39" s="100">
        <f ca="1">(L23-L19)</f>
        <v>-0.91026541237377856</v>
      </c>
      <c r="M39" s="140">
        <f t="shared" ca="1" si="14"/>
        <v>1.1559392225671594</v>
      </c>
      <c r="N39" s="101"/>
      <c r="O39" s="145">
        <f ca="1">(O23-O19)*100</f>
        <v>45.145073263178404</v>
      </c>
      <c r="P39" s="99">
        <f t="shared" ca="1" si="15"/>
        <v>3.1501823570845744</v>
      </c>
      <c r="Q39" s="100">
        <f ca="1">(Q23-Q19)</f>
        <v>-1.7891490137508015</v>
      </c>
      <c r="R39" s="140">
        <f t="shared" ca="1" si="16"/>
        <v>1.3610333433337729</v>
      </c>
      <c r="S39" s="101"/>
      <c r="T39" s="145">
        <f ca="1">(T23-T19)*100</f>
        <v>47.419219820495059</v>
      </c>
      <c r="U39" s="99">
        <f t="shared" ca="1" si="19"/>
        <v>5.4243289144012294</v>
      </c>
      <c r="V39" s="100">
        <f ca="1">(V23-V19)</f>
        <v>-3.556574278058644</v>
      </c>
      <c r="W39" s="140">
        <f t="shared" ca="1" si="20"/>
        <v>1.8677546363425854</v>
      </c>
      <c r="Y39" s="145" t="e">
        <f ca="1">(Y23-Y19)*100</f>
        <v>#VALUE!</v>
      </c>
      <c r="Z39" s="99" t="e">
        <f t="shared" ca="1" si="17"/>
        <v>#VALUE!</v>
      </c>
      <c r="AA39" s="100" t="e">
        <f ca="1">(AA23-AA19)</f>
        <v>#VALUE!</v>
      </c>
      <c r="AB39" s="140" t="e">
        <f t="shared" ca="1" si="18"/>
        <v>#VALUE!</v>
      </c>
    </row>
    <row r="40" spans="2:28" x14ac:dyDescent="0.2">
      <c r="B40" s="162">
        <f ca="1">B23-B21</f>
        <v>0.17978717901376129</v>
      </c>
      <c r="D40" s="104" t="s">
        <v>219</v>
      </c>
      <c r="E40" s="130">
        <f ca="1">(E23-E21)*100</f>
        <v>18.126740179590772</v>
      </c>
      <c r="F40" s="99">
        <f t="shared" ca="1" si="11"/>
        <v>0.14802227821464342</v>
      </c>
      <c r="G40" s="100">
        <f ca="1">(G23-G21)</f>
        <v>-0.20536360258693875</v>
      </c>
      <c r="H40" s="140">
        <f t="shared" ca="1" si="12"/>
        <v>-5.7341324372295333E-2</v>
      </c>
      <c r="I40" s="101"/>
      <c r="J40" s="145">
        <f ca="1">(J23-J21)*100</f>
        <v>18.438193380658241</v>
      </c>
      <c r="K40" s="99">
        <f t="shared" ca="1" si="13"/>
        <v>0.45947547928211208</v>
      </c>
      <c r="L40" s="100">
        <f ca="1">(L23-L21)</f>
        <v>-0.35512310152832072</v>
      </c>
      <c r="M40" s="140">
        <f t="shared" ca="1" si="14"/>
        <v>0.10435237775379136</v>
      </c>
      <c r="N40" s="101"/>
      <c r="O40" s="145">
        <f ca="1">(O23-O21)*100</f>
        <v>18.559191111148632</v>
      </c>
      <c r="P40" s="99">
        <f t="shared" ca="1" si="15"/>
        <v>0.58047320977250294</v>
      </c>
      <c r="Q40" s="100">
        <f ca="1">(Q23-Q21)</f>
        <v>-0.70905950828450415</v>
      </c>
      <c r="R40" s="140">
        <f t="shared" ca="1" si="16"/>
        <v>-0.12858629851200121</v>
      </c>
      <c r="S40" s="101"/>
      <c r="T40" s="145">
        <f ca="1">(T23-T21)*100</f>
        <v>18.783089819636523</v>
      </c>
      <c r="U40" s="99">
        <f t="shared" ca="1" si="19"/>
        <v>0.80437191826039367</v>
      </c>
      <c r="V40" s="100">
        <f ca="1">(V23-V21)</f>
        <v>-1.4787454266874889</v>
      </c>
      <c r="W40" s="140">
        <f t="shared" ca="1" si="20"/>
        <v>-0.6743735084270952</v>
      </c>
      <c r="Y40" s="145">
        <f ca="1">(Y23-Y21)*100</f>
        <v>15.796429118459976</v>
      </c>
      <c r="Z40" s="99">
        <f t="shared" ca="1" si="17"/>
        <v>-2.182288782916153</v>
      </c>
      <c r="AA40" s="100">
        <f ca="1">(AA23-AA21)</f>
        <v>9.3896060015671523</v>
      </c>
      <c r="AB40" s="140">
        <f t="shared" ca="1" si="18"/>
        <v>7.2073172186509993</v>
      </c>
    </row>
    <row r="41" spans="2:28" x14ac:dyDescent="0.2">
      <c r="B41" s="162" t="e">
        <f ca="1">B26-B21</f>
        <v>#VALUE!</v>
      </c>
      <c r="D41" s="104" t="s">
        <v>220</v>
      </c>
      <c r="E41" s="130">
        <f ca="1">(E26-E21)*100</f>
        <v>-501.7636779667103</v>
      </c>
      <c r="F41" s="99" t="e">
        <f t="shared" ca="1" si="11"/>
        <v>#VALUE!</v>
      </c>
      <c r="G41" s="100" t="e">
        <f ca="1">(G26-G21)</f>
        <v>#VALUE!</v>
      </c>
      <c r="H41" s="140" t="e">
        <f t="shared" ca="1" si="12"/>
        <v>#VALUE!</v>
      </c>
      <c r="I41" s="101"/>
      <c r="J41" s="145">
        <f ca="1">(J26-J21)*100</f>
        <v>-502.11989903808956</v>
      </c>
      <c r="K41" s="99" t="e">
        <f t="shared" ca="1" si="13"/>
        <v>#VALUE!</v>
      </c>
      <c r="L41" s="100" t="e">
        <f ca="1">(L26-L21)</f>
        <v>#VALUE!</v>
      </c>
      <c r="M41" s="140" t="e">
        <f t="shared" ca="1" si="14"/>
        <v>#VALUE!</v>
      </c>
      <c r="N41" s="101"/>
      <c r="O41" s="145">
        <f ca="1">(O26-O21)*100</f>
        <v>-504.4802307128075</v>
      </c>
      <c r="P41" s="99" t="e">
        <f t="shared" ca="1" si="15"/>
        <v>#VALUE!</v>
      </c>
      <c r="Q41" s="100" t="e">
        <f ca="1">(Q26-Q21)</f>
        <v>#VALUE!</v>
      </c>
      <c r="R41" s="140" t="e">
        <f t="shared" ca="1" si="16"/>
        <v>#VALUE!</v>
      </c>
      <c r="S41" s="101"/>
      <c r="T41" s="145">
        <f ca="1">(T26-T21)*100</f>
        <v>-510.93467688630028</v>
      </c>
      <c r="U41" s="99" t="e">
        <f t="shared" ca="1" si="19"/>
        <v>#VALUE!</v>
      </c>
      <c r="V41" s="100" t="e">
        <f ca="1">(V26-V21)</f>
        <v>#VALUE!</v>
      </c>
      <c r="W41" s="140" t="e">
        <f t="shared" ca="1" si="20"/>
        <v>#VALUE!</v>
      </c>
      <c r="Y41" s="145">
        <f ca="1">(Y26-Y21)*100</f>
        <v>-549.70036031592565</v>
      </c>
      <c r="Z41" s="99" t="e">
        <f t="shared" ca="1" si="17"/>
        <v>#VALUE!</v>
      </c>
      <c r="AA41" s="100">
        <f ca="1">(AA26-AA21)</f>
        <v>-32.605284904526677</v>
      </c>
      <c r="AB41" s="140" t="e">
        <f t="shared" ca="1" si="18"/>
        <v>#VALUE!</v>
      </c>
    </row>
    <row r="42" spans="2:28" x14ac:dyDescent="0.2">
      <c r="B42" s="162" t="e">
        <f ca="1">B26-B23</f>
        <v>#VALUE!</v>
      </c>
      <c r="D42" s="104" t="s">
        <v>221</v>
      </c>
      <c r="E42" s="130">
        <f ca="1">(E26-E23)*100</f>
        <v>-519.89041814630104</v>
      </c>
      <c r="F42" s="99" t="e">
        <f t="shared" ca="1" si="11"/>
        <v>#VALUE!</v>
      </c>
      <c r="G42" s="100" t="e">
        <f ca="1">(G26-G23)</f>
        <v>#VALUE!</v>
      </c>
      <c r="H42" s="140" t="e">
        <f t="shared" ca="1" si="12"/>
        <v>#VALUE!</v>
      </c>
      <c r="I42" s="101"/>
      <c r="J42" s="145">
        <f ca="1">(J26-J23)*100</f>
        <v>-520.55809241874783</v>
      </c>
      <c r="K42" s="99" t="e">
        <f t="shared" ca="1" si="13"/>
        <v>#VALUE!</v>
      </c>
      <c r="L42" s="100" t="e">
        <f ca="1">(L26-L23)</f>
        <v>#VALUE!</v>
      </c>
      <c r="M42" s="140" t="e">
        <f t="shared" ca="1" si="14"/>
        <v>#VALUE!</v>
      </c>
      <c r="N42" s="101"/>
      <c r="O42" s="145">
        <f ca="1">(O26-O23)*100</f>
        <v>-523.0394218239561</v>
      </c>
      <c r="P42" s="99" t="e">
        <f t="shared" ca="1" si="15"/>
        <v>#VALUE!</v>
      </c>
      <c r="Q42" s="100" t="e">
        <f ca="1">(Q26-Q23)</f>
        <v>#VALUE!</v>
      </c>
      <c r="R42" s="140" t="e">
        <f t="shared" ca="1" si="16"/>
        <v>#VALUE!</v>
      </c>
      <c r="S42" s="101"/>
      <c r="T42" s="145">
        <f ca="1">(T26-T23)*100</f>
        <v>-529.71776670593681</v>
      </c>
      <c r="U42" s="99" t="e">
        <f t="shared" ca="1" si="19"/>
        <v>#VALUE!</v>
      </c>
      <c r="V42" s="100" t="e">
        <f ca="1">(V26-V23)</f>
        <v>#VALUE!</v>
      </c>
      <c r="W42" s="140" t="e">
        <f t="shared" ca="1" si="20"/>
        <v>#VALUE!</v>
      </c>
      <c r="Y42" s="145">
        <f ca="1">(Y26-Y23)*100</f>
        <v>-565.49678943438562</v>
      </c>
      <c r="Z42" s="99" t="e">
        <f t="shared" ca="1" si="17"/>
        <v>#VALUE!</v>
      </c>
      <c r="AA42" s="100">
        <f ca="1">(AA26-AA23)</f>
        <v>-41.994890906093829</v>
      </c>
      <c r="AB42" s="140" t="e">
        <f t="shared" ca="1" si="18"/>
        <v>#VALUE!</v>
      </c>
    </row>
    <row r="43" spans="2:28" x14ac:dyDescent="0.2">
      <c r="B43" s="162" t="e">
        <f ca="1">B27-B26</f>
        <v>#VALUE!</v>
      </c>
      <c r="D43" s="104" t="s">
        <v>222</v>
      </c>
      <c r="E43" s="130">
        <f ca="1">(E27-E26)*100</f>
        <v>0</v>
      </c>
      <c r="F43" s="99" t="e">
        <f t="shared" ca="1" si="11"/>
        <v>#VALUE!</v>
      </c>
      <c r="G43" s="100" t="e">
        <f ca="1">(G27-G26)</f>
        <v>#VALUE!</v>
      </c>
      <c r="H43" s="140" t="e">
        <f t="shared" ca="1" si="12"/>
        <v>#VALUE!</v>
      </c>
      <c r="I43" s="101"/>
      <c r="J43" s="145">
        <f ca="1">(J27-J26)*100</f>
        <v>0</v>
      </c>
      <c r="K43" s="99" t="e">
        <f t="shared" ca="1" si="13"/>
        <v>#VALUE!</v>
      </c>
      <c r="L43" s="100" t="e">
        <f ca="1">(L27-L26)</f>
        <v>#VALUE!</v>
      </c>
      <c r="M43" s="140" t="e">
        <f t="shared" ca="1" si="14"/>
        <v>#VALUE!</v>
      </c>
      <c r="N43" s="101"/>
      <c r="O43" s="145">
        <f ca="1">(O27-O26)*100</f>
        <v>0</v>
      </c>
      <c r="P43" s="99" t="e">
        <f t="shared" ca="1" si="15"/>
        <v>#VALUE!</v>
      </c>
      <c r="Q43" s="100" t="e">
        <f ca="1">(Q27-Q26)</f>
        <v>#VALUE!</v>
      </c>
      <c r="R43" s="140" t="e">
        <f t="shared" ca="1" si="16"/>
        <v>#VALUE!</v>
      </c>
      <c r="S43" s="101"/>
      <c r="T43" s="145">
        <f ca="1">(T27-T26)*100</f>
        <v>0</v>
      </c>
      <c r="U43" s="99" t="e">
        <f t="shared" ca="1" si="19"/>
        <v>#VALUE!</v>
      </c>
      <c r="V43" s="100" t="e">
        <f ca="1">(V27-V26)</f>
        <v>#VALUE!</v>
      </c>
      <c r="W43" s="140" t="e">
        <f t="shared" ca="1" si="20"/>
        <v>#VALUE!</v>
      </c>
      <c r="Y43" s="145">
        <f ca="1">(Y27-Y26)*100</f>
        <v>0</v>
      </c>
      <c r="Z43" s="99" t="e">
        <f t="shared" ca="1" si="17"/>
        <v>#VALUE!</v>
      </c>
      <c r="AA43" s="100">
        <f ca="1">(AA27-AA26)</f>
        <v>0</v>
      </c>
      <c r="AB43" s="140" t="e">
        <f t="shared" ca="1" si="18"/>
        <v>#VALUE!</v>
      </c>
    </row>
    <row r="44" spans="2:28" ht="13.5" thickBot="1" x14ac:dyDescent="0.25">
      <c r="B44" s="163" t="e">
        <f ca="1">B28-B26</f>
        <v>#VALUE!</v>
      </c>
      <c r="D44" s="105" t="s">
        <v>223</v>
      </c>
      <c r="E44" s="130">
        <f ca="1">(E28-E26)*100</f>
        <v>0</v>
      </c>
      <c r="F44" s="99" t="e">
        <f t="shared" ca="1" si="11"/>
        <v>#VALUE!</v>
      </c>
      <c r="G44" s="100" t="e">
        <f ca="1">(G28-G26)</f>
        <v>#VALUE!</v>
      </c>
      <c r="H44" s="140" t="e">
        <f t="shared" ca="1" si="12"/>
        <v>#VALUE!</v>
      </c>
      <c r="I44" s="101"/>
      <c r="J44" s="145">
        <f ca="1">(J28-J26)*100</f>
        <v>0</v>
      </c>
      <c r="K44" s="99" t="e">
        <f t="shared" ca="1" si="13"/>
        <v>#VALUE!</v>
      </c>
      <c r="L44" s="100" t="e">
        <f ca="1">(L28-L26)</f>
        <v>#VALUE!</v>
      </c>
      <c r="M44" s="140" t="e">
        <f t="shared" ca="1" si="14"/>
        <v>#VALUE!</v>
      </c>
      <c r="N44" s="101"/>
      <c r="O44" s="145">
        <f ca="1">(O28-O26)*100</f>
        <v>0</v>
      </c>
      <c r="P44" s="99" t="e">
        <f t="shared" ca="1" si="15"/>
        <v>#VALUE!</v>
      </c>
      <c r="Q44" s="100" t="e">
        <f ca="1">(Q28-Q26)</f>
        <v>#VALUE!</v>
      </c>
      <c r="R44" s="140" t="e">
        <f t="shared" ca="1" si="16"/>
        <v>#VALUE!</v>
      </c>
      <c r="S44" s="101"/>
      <c r="T44" s="145">
        <f ca="1">(T28-T26)*100</f>
        <v>0</v>
      </c>
      <c r="U44" s="99" t="e">
        <f t="shared" ca="1" si="19"/>
        <v>#VALUE!</v>
      </c>
      <c r="V44" s="100" t="e">
        <f ca="1">(V28-V26)</f>
        <v>#VALUE!</v>
      </c>
      <c r="W44" s="140" t="e">
        <f t="shared" ca="1" si="20"/>
        <v>#VALUE!</v>
      </c>
      <c r="Y44" s="145">
        <f ca="1">(Y28-Y26)*100</f>
        <v>0</v>
      </c>
      <c r="Z44" s="99" t="e">
        <f t="shared" ca="1" si="17"/>
        <v>#VALUE!</v>
      </c>
      <c r="AA44" s="100">
        <f ca="1">(AA28-AA26)</f>
        <v>0</v>
      </c>
      <c r="AB44" s="140" t="e">
        <f t="shared" ca="1" si="18"/>
        <v>#VALUE!</v>
      </c>
    </row>
    <row r="45" spans="2:28" x14ac:dyDescent="0.2">
      <c r="B45" s="102"/>
      <c r="D45" s="151"/>
      <c r="E45" s="152"/>
      <c r="F45" s="152"/>
      <c r="G45" s="152"/>
      <c r="H45" s="153"/>
      <c r="I45" s="101"/>
      <c r="J45" s="154"/>
      <c r="K45" s="152"/>
      <c r="L45" s="152"/>
      <c r="M45" s="153"/>
      <c r="N45" s="101"/>
      <c r="O45" s="154"/>
      <c r="P45" s="152"/>
      <c r="Q45" s="152"/>
      <c r="R45" s="153"/>
      <c r="S45" s="101"/>
      <c r="T45" s="154"/>
      <c r="U45" s="152"/>
      <c r="V45" s="152"/>
      <c r="W45" s="153"/>
      <c r="Y45" s="154"/>
      <c r="Z45" s="152"/>
      <c r="AA45" s="152"/>
      <c r="AB45" s="153"/>
    </row>
    <row r="46" spans="2:28" ht="13.5" thickBot="1" x14ac:dyDescent="0.25">
      <c r="B46" s="102"/>
      <c r="D46" s="151"/>
      <c r="E46" s="152"/>
      <c r="F46" s="152"/>
      <c r="G46" s="152"/>
      <c r="H46" s="153"/>
      <c r="I46" s="101"/>
      <c r="J46" s="154"/>
      <c r="K46" s="152"/>
      <c r="L46" s="152"/>
      <c r="M46" s="153"/>
      <c r="N46" s="101"/>
      <c r="O46" s="154"/>
      <c r="P46" s="152"/>
      <c r="Q46" s="152"/>
      <c r="R46" s="153"/>
      <c r="S46" s="101"/>
      <c r="T46" s="154"/>
      <c r="U46" s="152"/>
      <c r="V46" s="152"/>
      <c r="W46" s="153"/>
      <c r="Y46" s="154"/>
      <c r="Z46" s="152"/>
      <c r="AA46" s="152"/>
      <c r="AB46" s="153"/>
    </row>
    <row r="47" spans="2:28" x14ac:dyDescent="0.2">
      <c r="B47" s="161">
        <f ca="1">2*B19-B21-B18</f>
        <v>-0.11470265667766899</v>
      </c>
      <c r="D47" s="103" t="s">
        <v>237</v>
      </c>
      <c r="E47" s="130">
        <f ca="1">(2*E19-E18-E21)*100</f>
        <v>-12.33343221246006</v>
      </c>
      <c r="F47" s="99">
        <f t="shared" ref="F47:F57" ca="1" si="21">E47-$B47*100</f>
        <v>-0.86316654469316134</v>
      </c>
      <c r="G47" s="100">
        <f ca="1">(2*G19-G18-G21)</f>
        <v>1.466090394195696</v>
      </c>
      <c r="H47" s="140">
        <f t="shared" ref="H47:H57" ca="1" si="22">F47+G47</f>
        <v>0.60292384950253464</v>
      </c>
      <c r="I47" s="101"/>
      <c r="J47" s="145">
        <f ca="1">(2*J19-J18-J21)*100</f>
        <v>-14.477629639550038</v>
      </c>
      <c r="K47" s="99">
        <f t="shared" ref="K47:K57" ca="1" si="23">J47-$B47*100</f>
        <v>-3.0073639717831391</v>
      </c>
      <c r="L47" s="100">
        <f ca="1">(2*L19-L18-L21)</f>
        <v>4.6444828180597142</v>
      </c>
      <c r="M47" s="140">
        <f t="shared" ref="M47:M57" ca="1" si="24">K47+L47</f>
        <v>1.6371188462765751</v>
      </c>
      <c r="N47" s="101"/>
      <c r="O47" s="145">
        <f ca="1">(2*O19-O18-O21)*100</f>
        <v>-19.048036629329257</v>
      </c>
      <c r="P47" s="99">
        <f t="shared" ref="P47:P57" ca="1" si="25">O47-$B47*100</f>
        <v>-7.5777709615623579</v>
      </c>
      <c r="Q47" s="100">
        <f ca="1">(2*Q19-Q18-Q21)</f>
        <v>9.284709864340801</v>
      </c>
      <c r="R47" s="140">
        <f t="shared" ref="R47:R57" ca="1" si="26">P47+Q47</f>
        <v>1.7069389027784432</v>
      </c>
      <c r="S47" s="101"/>
      <c r="T47" s="145">
        <f ca="1">(2*T19-T18-T21)*100</f>
        <v>-7.2579817147860659</v>
      </c>
      <c r="U47" s="99">
        <f t="shared" ref="U47:U57" ca="1" si="27">T47-$B47*100</f>
        <v>4.2122839529808331</v>
      </c>
      <c r="V47" s="100">
        <f ca="1">(2*V19-V18-V21)</f>
        <v>18.580531625463781</v>
      </c>
      <c r="W47" s="140">
        <f t="shared" ref="W47:W57" ca="1" si="28">U47+V47</f>
        <v>22.792815578444614</v>
      </c>
      <c r="Y47" s="145" t="e">
        <f ca="1">(2*Y19-Y18-Y21)*100</f>
        <v>#VALUE!</v>
      </c>
      <c r="Z47" s="99" t="e">
        <f t="shared" ref="Z47:Z57" ca="1" si="29">Y47-$B47*100</f>
        <v>#VALUE!</v>
      </c>
      <c r="AA47" s="100" t="e">
        <f ca="1">(2*AA19-AA18-AA21)</f>
        <v>#VALUE!</v>
      </c>
      <c r="AB47" s="140" t="e">
        <f t="shared" ref="AB47:AB57" ca="1" si="30">Z47+AA47</f>
        <v>#VALUE!</v>
      </c>
    </row>
    <row r="48" spans="2:28" x14ac:dyDescent="0.2">
      <c r="B48" s="162">
        <f ca="1">2*B19-B23-B18</f>
        <v>-0.29448983569143028</v>
      </c>
      <c r="D48" s="104" t="s">
        <v>238</v>
      </c>
      <c r="E48" s="130">
        <f ca="1">(2*E19-E18-E23)*100</f>
        <v>-30.460172392050833</v>
      </c>
      <c r="F48" s="99">
        <f t="shared" ca="1" si="21"/>
        <v>-1.0111888229078048</v>
      </c>
      <c r="G48" s="100">
        <f ca="1">(2*G19-G18-G23)</f>
        <v>1.6714539967826347</v>
      </c>
      <c r="H48" s="140">
        <f t="shared" ca="1" si="22"/>
        <v>0.66026517387482997</v>
      </c>
      <c r="I48" s="101"/>
      <c r="J48" s="145">
        <f ca="1">(2*J19-J18-J23)*100</f>
        <v>-32.915823020208279</v>
      </c>
      <c r="K48" s="99">
        <f t="shared" ca="1" si="23"/>
        <v>-3.4668394510652512</v>
      </c>
      <c r="L48" s="100">
        <f ca="1">(2*L19-L18-L23)</f>
        <v>4.9996059195880349</v>
      </c>
      <c r="M48" s="140">
        <f t="shared" ca="1" si="24"/>
        <v>1.5327664685227838</v>
      </c>
      <c r="N48" s="101"/>
      <c r="O48" s="145">
        <f ca="1">(2*O19-O18-O23)*100</f>
        <v>-37.607227740477889</v>
      </c>
      <c r="P48" s="99">
        <f t="shared" ca="1" si="25"/>
        <v>-8.1582441713348608</v>
      </c>
      <c r="Q48" s="100">
        <f ca="1">(2*Q19-Q18-Q23)</f>
        <v>9.9937693726253052</v>
      </c>
      <c r="R48" s="140">
        <f t="shared" ca="1" si="26"/>
        <v>1.8355252012904444</v>
      </c>
      <c r="S48" s="101"/>
      <c r="T48" s="145">
        <f ca="1">(2*T19-T18-T23)*100</f>
        <v>-26.041071534422588</v>
      </c>
      <c r="U48" s="99">
        <f t="shared" ca="1" si="27"/>
        <v>3.4079120347204395</v>
      </c>
      <c r="V48" s="100">
        <f ca="1">(2*V19-V18-V23)</f>
        <v>20.05927705215127</v>
      </c>
      <c r="W48" s="140">
        <f t="shared" ca="1" si="28"/>
        <v>23.467189086871709</v>
      </c>
      <c r="Y48" s="145" t="e">
        <f ca="1">(2*Y19-Y18-Y23)*100</f>
        <v>#VALUE!</v>
      </c>
      <c r="Z48" s="99" t="e">
        <f t="shared" ca="1" si="29"/>
        <v>#VALUE!</v>
      </c>
      <c r="AA48" s="100" t="e">
        <f ca="1">(2*AA19-AA18-AA23)</f>
        <v>#VALUE!</v>
      </c>
      <c r="AB48" s="140" t="e">
        <f t="shared" ca="1" si="30"/>
        <v>#VALUE!</v>
      </c>
    </row>
    <row r="49" spans="2:28" x14ac:dyDescent="0.2">
      <c r="B49" s="162" t="e">
        <f ca="1">2*B19-B26-B18</f>
        <v>#VALUE!</v>
      </c>
      <c r="D49" s="104" t="s">
        <v>239</v>
      </c>
      <c r="E49" s="130">
        <f ca="1">(2*E19-E18-E26)*100</f>
        <v>489.43024575425022</v>
      </c>
      <c r="F49" s="99" t="e">
        <f t="shared" ca="1" si="21"/>
        <v>#VALUE!</v>
      </c>
      <c r="G49" s="100" t="e">
        <f ca="1">(2*G19-G18-G26)</f>
        <v>#VALUE!</v>
      </c>
      <c r="H49" s="140" t="e">
        <f t="shared" ca="1" si="22"/>
        <v>#VALUE!</v>
      </c>
      <c r="I49" s="101"/>
      <c r="J49" s="145">
        <f ca="1">(2*J19-J18-J26)*100</f>
        <v>487.6422693985395</v>
      </c>
      <c r="K49" s="99" t="e">
        <f t="shared" ca="1" si="23"/>
        <v>#VALUE!</v>
      </c>
      <c r="L49" s="100" t="e">
        <f ca="1">(2*L19-L18-L26)</f>
        <v>#VALUE!</v>
      </c>
      <c r="M49" s="140" t="e">
        <f t="shared" ca="1" si="24"/>
        <v>#VALUE!</v>
      </c>
      <c r="N49" s="101"/>
      <c r="O49" s="145">
        <f ca="1">(2*O19-O18-O26)*100</f>
        <v>485.43219408347824</v>
      </c>
      <c r="P49" s="99" t="e">
        <f t="shared" ca="1" si="25"/>
        <v>#VALUE!</v>
      </c>
      <c r="Q49" s="100" t="e">
        <f ca="1">(2*Q19-Q18-Q26)</f>
        <v>#VALUE!</v>
      </c>
      <c r="R49" s="140" t="e">
        <f t="shared" ca="1" si="26"/>
        <v>#VALUE!</v>
      </c>
      <c r="S49" s="101"/>
      <c r="T49" s="145">
        <f ca="1">(2*T19-T18-T26)*100</f>
        <v>503.67669517151421</v>
      </c>
      <c r="U49" s="99" t="e">
        <f t="shared" ca="1" si="27"/>
        <v>#VALUE!</v>
      </c>
      <c r="V49" s="100" t="e">
        <f ca="1">(2*V19-V18-V26)</f>
        <v>#VALUE!</v>
      </c>
      <c r="W49" s="140" t="e">
        <f t="shared" ca="1" si="28"/>
        <v>#VALUE!</v>
      </c>
      <c r="Y49" s="145" t="e">
        <f ca="1">(2*Y19-Y18-Y26)*100</f>
        <v>#VALUE!</v>
      </c>
      <c r="Z49" s="99" t="e">
        <f t="shared" ca="1" si="29"/>
        <v>#VALUE!</v>
      </c>
      <c r="AA49" s="100" t="e">
        <f ca="1">(2*AA19-AA18-AA26)</f>
        <v>#VALUE!</v>
      </c>
      <c r="AB49" s="140" t="e">
        <f t="shared" ca="1" si="30"/>
        <v>#VALUE!</v>
      </c>
    </row>
    <row r="50" spans="2:28" x14ac:dyDescent="0.2">
      <c r="B50" s="162">
        <f ca="1">2*B21-B23-B18</f>
        <v>0.18583362440292372</v>
      </c>
      <c r="D50" s="104" t="s">
        <v>240</v>
      </c>
      <c r="E50" s="130">
        <f ca="1">(2*E21-E18-E23)*100</f>
        <v>18.566294045439502</v>
      </c>
      <c r="F50" s="99">
        <f t="shared" ca="1" si="21"/>
        <v>-1.7068394852870483E-2</v>
      </c>
      <c r="G50" s="100">
        <f ca="1">(2*G21-G18-G23)</f>
        <v>1.3415432808485228</v>
      </c>
      <c r="H50" s="140">
        <f t="shared" ca="1" si="22"/>
        <v>1.3244748859956523</v>
      </c>
      <c r="I50" s="101"/>
      <c r="J50" s="145">
        <f ca="1">(2*J21-J18-J23)*100</f>
        <v>18.329981300544773</v>
      </c>
      <c r="K50" s="99">
        <f t="shared" ca="1" si="23"/>
        <v>-0.25338113974759935</v>
      </c>
      <c r="L50" s="100">
        <f ca="1">(2*L21-L18-L23)</f>
        <v>3.8893212978971192</v>
      </c>
      <c r="M50" s="140">
        <f t="shared" ca="1" si="24"/>
        <v>3.6359401581495199</v>
      </c>
      <c r="N50" s="101"/>
      <c r="O50" s="145">
        <f ca="1">(2*O21-O18-O23)*100</f>
        <v>15.564536563581655</v>
      </c>
      <c r="P50" s="99">
        <f t="shared" ca="1" si="25"/>
        <v>-3.0188258767107179</v>
      </c>
      <c r="Q50" s="100">
        <f ca="1">(2*Q21-Q18-Q23)</f>
        <v>7.8335903616927105</v>
      </c>
      <c r="R50" s="140">
        <f t="shared" ca="1" si="26"/>
        <v>4.8147644849819926</v>
      </c>
      <c r="S50" s="101"/>
      <c r="T50" s="145">
        <f ca="1">(2*T21-T18-T23)*100</f>
        <v>31.231188467294491</v>
      </c>
      <c r="U50" s="99">
        <f t="shared" ca="1" si="27"/>
        <v>12.647826027002118</v>
      </c>
      <c r="V50" s="100">
        <f ca="1">(2*V21-V18-V23)</f>
        <v>15.903619349408959</v>
      </c>
      <c r="W50" s="140">
        <f t="shared" ca="1" si="28"/>
        <v>28.551445376411078</v>
      </c>
      <c r="Y50" s="145" t="e">
        <f ca="1">(2*Y21-Y18-Y23)*100</f>
        <v>#VALUE!</v>
      </c>
      <c r="Z50" s="99" t="e">
        <f t="shared" ca="1" si="29"/>
        <v>#VALUE!</v>
      </c>
      <c r="AA50" s="100" t="e">
        <f ca="1">(2*AA21-AA18-AA23)</f>
        <v>#VALUE!</v>
      </c>
      <c r="AB50" s="140" t="e">
        <f t="shared" ca="1" si="30"/>
        <v>#VALUE!</v>
      </c>
    </row>
    <row r="51" spans="2:28" x14ac:dyDescent="0.2">
      <c r="B51" s="162" t="e">
        <f ca="1">2*B21-B26-B18</f>
        <v>#VALUE!</v>
      </c>
      <c r="D51" s="104" t="s">
        <v>241</v>
      </c>
      <c r="E51" s="130">
        <f ca="1">(2*E21-E18-E26)*100</f>
        <v>538.45671219174051</v>
      </c>
      <c r="F51" s="99" t="e">
        <f t="shared" ca="1" si="21"/>
        <v>#VALUE!</v>
      </c>
      <c r="G51" s="100" t="e">
        <f ca="1">(2*G21-G18-G26)</f>
        <v>#VALUE!</v>
      </c>
      <c r="H51" s="140" t="e">
        <f t="shared" ca="1" si="22"/>
        <v>#VALUE!</v>
      </c>
      <c r="I51" s="101"/>
      <c r="J51" s="145">
        <f ca="1">(2*J21-J18-J26)*100</f>
        <v>538.88807371929261</v>
      </c>
      <c r="K51" s="99" t="e">
        <f t="shared" ca="1" si="23"/>
        <v>#VALUE!</v>
      </c>
      <c r="L51" s="100" t="e">
        <f ca="1">(2*L21-L18-L26)</f>
        <v>#VALUE!</v>
      </c>
      <c r="M51" s="140" t="e">
        <f t="shared" ca="1" si="24"/>
        <v>#VALUE!</v>
      </c>
      <c r="N51" s="101"/>
      <c r="O51" s="145">
        <f ca="1">(2*O21-O18-O26)*100</f>
        <v>538.60395838753777</v>
      </c>
      <c r="P51" s="99" t="e">
        <f t="shared" ca="1" si="25"/>
        <v>#VALUE!</v>
      </c>
      <c r="Q51" s="100" t="e">
        <f ca="1">(2*Q21-Q18-Q26)</f>
        <v>#VALUE!</v>
      </c>
      <c r="R51" s="140" t="e">
        <f t="shared" ca="1" si="26"/>
        <v>#VALUE!</v>
      </c>
      <c r="S51" s="101"/>
      <c r="T51" s="145">
        <f ca="1">(2*T21-T18-T26)*100</f>
        <v>560.9489551732313</v>
      </c>
      <c r="U51" s="99" t="e">
        <f t="shared" ca="1" si="27"/>
        <v>#VALUE!</v>
      </c>
      <c r="V51" s="100" t="e">
        <f ca="1">(2*V21-V18-V26)</f>
        <v>#VALUE!</v>
      </c>
      <c r="W51" s="140" t="e">
        <f t="shared" ca="1" si="28"/>
        <v>#VALUE!</v>
      </c>
      <c r="Y51" s="145" t="e">
        <f ca="1">(2*Y21-Y18-Y26)*100</f>
        <v>#VALUE!</v>
      </c>
      <c r="Z51" s="99" t="e">
        <f t="shared" ca="1" si="29"/>
        <v>#VALUE!</v>
      </c>
      <c r="AA51" s="100" t="e">
        <f ca="1">(2*AA21-AA18-AA26)</f>
        <v>#VALUE!</v>
      </c>
      <c r="AB51" s="140" t="e">
        <f t="shared" ca="1" si="30"/>
        <v>#VALUE!</v>
      </c>
    </row>
    <row r="52" spans="2:28" x14ac:dyDescent="0.2">
      <c r="B52" s="162">
        <f ca="1">2*B21-B23-B19</f>
        <v>6.0374551033415713E-2</v>
      </c>
      <c r="D52" s="104" t="s">
        <v>242</v>
      </c>
      <c r="E52" s="130">
        <f ca="1">(2*E21-E19-E23)*100</f>
        <v>6.386493039154395</v>
      </c>
      <c r="F52" s="99">
        <f t="shared" ca="1" si="21"/>
        <v>0.34903793581282372</v>
      </c>
      <c r="G52" s="100">
        <f ca="1">(2*G21-G19-G23)</f>
        <v>4.0408244619882794E-2</v>
      </c>
      <c r="H52" s="140">
        <f t="shared" ca="1" si="22"/>
        <v>0.38944618043270651</v>
      </c>
      <c r="I52" s="101"/>
      <c r="J52" s="145">
        <f ca="1">(2*J21-J19-J23)*100</f>
        <v>7.1847087797182851</v>
      </c>
      <c r="K52" s="99">
        <f t="shared" ca="1" si="23"/>
        <v>1.1472536763767138</v>
      </c>
      <c r="L52" s="100">
        <f ca="1">(2*L21-L19-L23)</f>
        <v>-0.20001920931713713</v>
      </c>
      <c r="M52" s="140">
        <f t="shared" ca="1" si="24"/>
        <v>0.9472344670595767</v>
      </c>
      <c r="N52" s="101"/>
      <c r="O52" s="145">
        <f ca="1">(2*O21-O19-O23)*100</f>
        <v>8.0266910408811398</v>
      </c>
      <c r="P52" s="99">
        <f t="shared" ca="1" si="25"/>
        <v>1.9892359375395685</v>
      </c>
      <c r="Q52" s="100">
        <f ca="1">(2*Q21-Q19-Q23)</f>
        <v>-0.37102999718179319</v>
      </c>
      <c r="R52" s="140">
        <f t="shared" ca="1" si="26"/>
        <v>1.6182059403577753</v>
      </c>
      <c r="S52" s="101"/>
      <c r="T52" s="145">
        <f ca="1">(2*T21-T19-T23)*100</f>
        <v>9.853040181222017</v>
      </c>
      <c r="U52" s="99">
        <f t="shared" ca="1" si="27"/>
        <v>3.8155850778804457</v>
      </c>
      <c r="V52" s="100">
        <f ca="1">(2*V21-V19-V23)</f>
        <v>-0.59908342468366627</v>
      </c>
      <c r="W52" s="140">
        <f t="shared" ca="1" si="28"/>
        <v>3.2165016531967794</v>
      </c>
      <c r="Y52" s="145" t="e">
        <f ca="1">(2*Y21-Y19-Y23)*100</f>
        <v>#VALUE!</v>
      </c>
      <c r="Z52" s="99" t="e">
        <f t="shared" ca="1" si="29"/>
        <v>#VALUE!</v>
      </c>
      <c r="AA52" s="100" t="e">
        <f ca="1">(2*AA21-AA19-AA23)</f>
        <v>#VALUE!</v>
      </c>
      <c r="AB52" s="140" t="e">
        <f t="shared" ca="1" si="30"/>
        <v>#VALUE!</v>
      </c>
    </row>
    <row r="53" spans="2:28" x14ac:dyDescent="0.2">
      <c r="B53" s="162" t="e">
        <f ca="1">2*B21-B26-B19</f>
        <v>#VALUE!</v>
      </c>
      <c r="D53" s="104" t="s">
        <v>243</v>
      </c>
      <c r="E53" s="130">
        <f ca="1">(2*E21-E19-E26)*100</f>
        <v>526.27691118545545</v>
      </c>
      <c r="F53" s="99" t="e">
        <f t="shared" ca="1" si="21"/>
        <v>#VALUE!</v>
      </c>
      <c r="G53" s="100" t="e">
        <f ca="1">(2*G21-G19-G26)</f>
        <v>#VALUE!</v>
      </c>
      <c r="H53" s="140" t="e">
        <f t="shared" ca="1" si="22"/>
        <v>#VALUE!</v>
      </c>
      <c r="I53" s="101"/>
      <c r="J53" s="145">
        <f ca="1">(2*J21-J19-J26)*100</f>
        <v>527.74280119846605</v>
      </c>
      <c r="K53" s="99" t="e">
        <f t="shared" ca="1" si="23"/>
        <v>#VALUE!</v>
      </c>
      <c r="L53" s="100" t="e">
        <f ca="1">(2*L21-L19-L26)</f>
        <v>#VALUE!</v>
      </c>
      <c r="M53" s="140" t="e">
        <f t="shared" ca="1" si="24"/>
        <v>#VALUE!</v>
      </c>
      <c r="N53" s="101"/>
      <c r="O53" s="145">
        <f ca="1">(2*O21-O19-O26)*100</f>
        <v>531.06611286483724</v>
      </c>
      <c r="P53" s="99" t="e">
        <f t="shared" ca="1" si="25"/>
        <v>#VALUE!</v>
      </c>
      <c r="Q53" s="100" t="e">
        <f ca="1">(2*Q21-Q19-Q26)</f>
        <v>#VALUE!</v>
      </c>
      <c r="R53" s="140" t="e">
        <f t="shared" ca="1" si="26"/>
        <v>#VALUE!</v>
      </c>
      <c r="S53" s="101"/>
      <c r="T53" s="145">
        <f ca="1">(2*T21-T19-T26)*100</f>
        <v>539.57080688715882</v>
      </c>
      <c r="U53" s="99" t="e">
        <f t="shared" ca="1" si="27"/>
        <v>#VALUE!</v>
      </c>
      <c r="V53" s="100" t="e">
        <f ca="1">(2*V21-V19-V26)</f>
        <v>#VALUE!</v>
      </c>
      <c r="W53" s="140" t="e">
        <f t="shared" ca="1" si="28"/>
        <v>#VALUE!</v>
      </c>
      <c r="Y53" s="145" t="e">
        <f ca="1">(2*Y21-Y19-Y26)*100</f>
        <v>#VALUE!</v>
      </c>
      <c r="Z53" s="99" t="e">
        <f t="shared" ca="1" si="29"/>
        <v>#VALUE!</v>
      </c>
      <c r="AA53" s="100" t="e">
        <f ca="1">(2*AA21-AA19-AA26)</f>
        <v>#VALUE!</v>
      </c>
      <c r="AB53" s="140" t="e">
        <f t="shared" ca="1" si="30"/>
        <v>#VALUE!</v>
      </c>
    </row>
    <row r="54" spans="2:28" x14ac:dyDescent="0.2">
      <c r="B54" s="162" t="e">
        <f ca="1">2*B23-B26-B19</f>
        <v>#VALUE!</v>
      </c>
      <c r="D54" s="104" t="s">
        <v>244</v>
      </c>
      <c r="E54" s="130">
        <f ca="1">(2*E23-E19-E26)*100</f>
        <v>562.53039154463704</v>
      </c>
      <c r="F54" s="99" t="e">
        <f t="shared" ca="1" si="21"/>
        <v>#VALUE!</v>
      </c>
      <c r="G54" s="100" t="e">
        <f ca="1">(2*G23-G19-G26)</f>
        <v>#VALUE!</v>
      </c>
      <c r="H54" s="140" t="e">
        <f t="shared" ca="1" si="22"/>
        <v>#VALUE!</v>
      </c>
      <c r="I54" s="101"/>
      <c r="J54" s="145">
        <f ca="1">(2*J23-J19-J26)*100</f>
        <v>564.61918795978261</v>
      </c>
      <c r="K54" s="99" t="e">
        <f t="shared" ca="1" si="23"/>
        <v>#VALUE!</v>
      </c>
      <c r="L54" s="100" t="e">
        <f ca="1">(2*L23-L19-L26)</f>
        <v>#VALUE!</v>
      </c>
      <c r="M54" s="140" t="e">
        <f t="shared" ca="1" si="24"/>
        <v>#VALUE!</v>
      </c>
      <c r="N54" s="101"/>
      <c r="O54" s="145">
        <f ca="1">(2*O23-O19-O26)*100</f>
        <v>568.18449508713456</v>
      </c>
      <c r="P54" s="99" t="e">
        <f t="shared" ca="1" si="25"/>
        <v>#VALUE!</v>
      </c>
      <c r="Q54" s="100" t="e">
        <f ca="1">(2*Q23-Q19-Q26)</f>
        <v>#VALUE!</v>
      </c>
      <c r="R54" s="140" t="e">
        <f t="shared" ca="1" si="26"/>
        <v>#VALUE!</v>
      </c>
      <c r="S54" s="101"/>
      <c r="T54" s="145">
        <f ca="1">(2*T23-T19-T26)*100</f>
        <v>577.13698652643188</v>
      </c>
      <c r="U54" s="99" t="e">
        <f t="shared" ca="1" si="27"/>
        <v>#VALUE!</v>
      </c>
      <c r="V54" s="100" t="e">
        <f ca="1">(2*V23-V19-V26)</f>
        <v>#VALUE!</v>
      </c>
      <c r="W54" s="140" t="e">
        <f t="shared" ca="1" si="28"/>
        <v>#VALUE!</v>
      </c>
      <c r="Y54" s="145" t="e">
        <f ca="1">(2*Y23-Y19-Y26)*100</f>
        <v>#VALUE!</v>
      </c>
      <c r="Z54" s="99" t="e">
        <f t="shared" ca="1" si="29"/>
        <v>#VALUE!</v>
      </c>
      <c r="AA54" s="100" t="e">
        <f ca="1">(2*AA23-AA19-AA26)</f>
        <v>#VALUE!</v>
      </c>
      <c r="AB54" s="140" t="e">
        <f t="shared" ca="1" si="30"/>
        <v>#VALUE!</v>
      </c>
    </row>
    <row r="55" spans="2:28" x14ac:dyDescent="0.2">
      <c r="B55" s="162" t="e">
        <f ca="1">2*B23-B26-B21</f>
        <v>#VALUE!</v>
      </c>
      <c r="D55" s="104" t="s">
        <v>245</v>
      </c>
      <c r="E55" s="130">
        <f ca="1">(2*E23-E21-E26)*100</f>
        <v>538.01715832589184</v>
      </c>
      <c r="F55" s="99" t="e">
        <f t="shared" ca="1" si="21"/>
        <v>#VALUE!</v>
      </c>
      <c r="G55" s="100" t="e">
        <f ca="1">(2*G23-G21-G26)</f>
        <v>#VALUE!</v>
      </c>
      <c r="H55" s="140" t="e">
        <f t="shared" ca="1" si="22"/>
        <v>#VALUE!</v>
      </c>
      <c r="I55" s="101"/>
      <c r="J55" s="145">
        <f ca="1">(2*J23-J21-J26)*100</f>
        <v>538.996285799406</v>
      </c>
      <c r="K55" s="99" t="e">
        <f t="shared" ca="1" si="23"/>
        <v>#VALUE!</v>
      </c>
      <c r="L55" s="100" t="e">
        <f ca="1">(2*L23-L21-L26)</f>
        <v>#VALUE!</v>
      </c>
      <c r="M55" s="140" t="e">
        <f t="shared" ca="1" si="24"/>
        <v>#VALUE!</v>
      </c>
      <c r="N55" s="101"/>
      <c r="O55" s="145">
        <f ca="1">(2*O23-O21-O26)*100</f>
        <v>541.59861293510471</v>
      </c>
      <c r="P55" s="99" t="e">
        <f t="shared" ca="1" si="25"/>
        <v>#VALUE!</v>
      </c>
      <c r="Q55" s="100" t="e">
        <f ca="1">(2*Q23-Q21-Q26)</f>
        <v>#VALUE!</v>
      </c>
      <c r="R55" s="140" t="e">
        <f t="shared" ca="1" si="26"/>
        <v>#VALUE!</v>
      </c>
      <c r="S55" s="101"/>
      <c r="T55" s="145">
        <f ca="1">(2*T23-T21-T26)*100</f>
        <v>548.50085652557334</v>
      </c>
      <c r="U55" s="99" t="e">
        <f t="shared" ca="1" si="27"/>
        <v>#VALUE!</v>
      </c>
      <c r="V55" s="100" t="e">
        <f ca="1">(2*V23-V21-V26)</f>
        <v>#VALUE!</v>
      </c>
      <c r="W55" s="140" t="e">
        <f t="shared" ca="1" si="28"/>
        <v>#VALUE!</v>
      </c>
      <c r="Y55" s="145">
        <f ca="1">(2*Y23-Y21-Y26)*100</f>
        <v>581.29321855284559</v>
      </c>
      <c r="Z55" s="99" t="e">
        <f t="shared" ca="1" si="29"/>
        <v>#VALUE!</v>
      </c>
      <c r="AA55" s="100">
        <f ca="1">(2*AA23-AA21-AA26)</f>
        <v>51.384496907660981</v>
      </c>
      <c r="AB55" s="140" t="e">
        <f t="shared" ca="1" si="30"/>
        <v>#VALUE!</v>
      </c>
    </row>
    <row r="56" spans="2:28" x14ac:dyDescent="0.2">
      <c r="B56" s="162" t="e">
        <f ca="1">2*B26-B27-B21</f>
        <v>#VALUE!</v>
      </c>
      <c r="D56" s="104" t="s">
        <v>246</v>
      </c>
      <c r="E56" s="130">
        <f ca="1">(2*E26-E21-E27)*100</f>
        <v>-501.7636779667103</v>
      </c>
      <c r="F56" s="99" t="e">
        <f t="shared" ca="1" si="21"/>
        <v>#VALUE!</v>
      </c>
      <c r="G56" s="100" t="e">
        <f ca="1">(2*G26-G21-G27)</f>
        <v>#VALUE!</v>
      </c>
      <c r="H56" s="140" t="e">
        <f t="shared" ca="1" si="22"/>
        <v>#VALUE!</v>
      </c>
      <c r="I56" s="101"/>
      <c r="J56" s="145">
        <f ca="1">(2*J26-J21-J27)*100</f>
        <v>-502.11989903808956</v>
      </c>
      <c r="K56" s="99" t="e">
        <f t="shared" ca="1" si="23"/>
        <v>#VALUE!</v>
      </c>
      <c r="L56" s="100" t="e">
        <f ca="1">(2*L26-L21-L27)</f>
        <v>#VALUE!</v>
      </c>
      <c r="M56" s="140" t="e">
        <f t="shared" ca="1" si="24"/>
        <v>#VALUE!</v>
      </c>
      <c r="N56" s="101"/>
      <c r="O56" s="145">
        <f ca="1">(2*O26-O21-O27)*100</f>
        <v>-504.4802307128075</v>
      </c>
      <c r="P56" s="99" t="e">
        <f t="shared" ca="1" si="25"/>
        <v>#VALUE!</v>
      </c>
      <c r="Q56" s="100" t="e">
        <f ca="1">(2*Q26-Q21-Q27)</f>
        <v>#VALUE!</v>
      </c>
      <c r="R56" s="140" t="e">
        <f t="shared" ca="1" si="26"/>
        <v>#VALUE!</v>
      </c>
      <c r="S56" s="101"/>
      <c r="T56" s="145">
        <f ca="1">(2*T26-T21-T27)*100</f>
        <v>-510.93467688630028</v>
      </c>
      <c r="U56" s="99" t="e">
        <f t="shared" ca="1" si="27"/>
        <v>#VALUE!</v>
      </c>
      <c r="V56" s="100" t="e">
        <f ca="1">(2*V26-V21-V27)</f>
        <v>#VALUE!</v>
      </c>
      <c r="W56" s="140" t="e">
        <f t="shared" ca="1" si="28"/>
        <v>#VALUE!</v>
      </c>
      <c r="Y56" s="145">
        <f ca="1">(2*Y26-Y21-Y27)*100</f>
        <v>-549.70036031592565</v>
      </c>
      <c r="Z56" s="99" t="e">
        <f t="shared" ca="1" si="29"/>
        <v>#VALUE!</v>
      </c>
      <c r="AA56" s="100">
        <f ca="1">(2*AA26-AA21-AA27)</f>
        <v>-32.605284904526677</v>
      </c>
      <c r="AB56" s="140" t="e">
        <f t="shared" ca="1" si="30"/>
        <v>#VALUE!</v>
      </c>
    </row>
    <row r="57" spans="2:28" ht="13.5" thickBot="1" x14ac:dyDescent="0.25">
      <c r="B57" s="163" t="e">
        <f ca="1">2*B26-B27-B23</f>
        <v>#VALUE!</v>
      </c>
      <c r="D57" s="105" t="s">
        <v>247</v>
      </c>
      <c r="E57" s="141">
        <f ca="1">(2*E26-E23-E27)*100</f>
        <v>-519.89041814630104</v>
      </c>
      <c r="F57" s="142" t="e">
        <f t="shared" ca="1" si="21"/>
        <v>#VALUE!</v>
      </c>
      <c r="G57" s="143" t="e">
        <f ca="1">(2*G26-G23-G27)</f>
        <v>#VALUE!</v>
      </c>
      <c r="H57" s="144" t="e">
        <f t="shared" ca="1" si="22"/>
        <v>#VALUE!</v>
      </c>
      <c r="I57" s="101"/>
      <c r="J57" s="147">
        <f ca="1">(2*J26-J23-J27)*100</f>
        <v>-520.55809241874783</v>
      </c>
      <c r="K57" s="142" t="e">
        <f t="shared" ca="1" si="23"/>
        <v>#VALUE!</v>
      </c>
      <c r="L57" s="143" t="e">
        <f ca="1">(2*L26-L23-L27)</f>
        <v>#VALUE!</v>
      </c>
      <c r="M57" s="144" t="e">
        <f t="shared" ca="1" si="24"/>
        <v>#VALUE!</v>
      </c>
      <c r="N57" s="101"/>
      <c r="O57" s="147">
        <f ca="1">(2*O26-O23-O27)*100</f>
        <v>-523.0394218239561</v>
      </c>
      <c r="P57" s="142" t="e">
        <f t="shared" ca="1" si="25"/>
        <v>#VALUE!</v>
      </c>
      <c r="Q57" s="143" t="e">
        <f ca="1">(2*Q26-Q23-Q27)</f>
        <v>#VALUE!</v>
      </c>
      <c r="R57" s="144" t="e">
        <f t="shared" ca="1" si="26"/>
        <v>#VALUE!</v>
      </c>
      <c r="S57" s="101"/>
      <c r="T57" s="147">
        <f ca="1">(2*T26-T23-T27)*100</f>
        <v>-529.71776670593681</v>
      </c>
      <c r="U57" s="142" t="e">
        <f t="shared" ca="1" si="27"/>
        <v>#VALUE!</v>
      </c>
      <c r="V57" s="143" t="e">
        <f ca="1">(2*V26-V23-V27)</f>
        <v>#VALUE!</v>
      </c>
      <c r="W57" s="144" t="e">
        <f t="shared" ca="1" si="28"/>
        <v>#VALUE!</v>
      </c>
      <c r="Y57" s="147">
        <f ca="1">(2*Y26-Y23-Y27)*100</f>
        <v>-565.49678943438562</v>
      </c>
      <c r="Z57" s="142" t="e">
        <f t="shared" ca="1" si="29"/>
        <v>#VALUE!</v>
      </c>
      <c r="AA57" s="143">
        <f ca="1">(2*AA26-AA23-AA27)</f>
        <v>-41.994890906093829</v>
      </c>
      <c r="AB57" s="144" t="e">
        <f t="shared" ca="1" si="30"/>
        <v>#VALUE!</v>
      </c>
    </row>
  </sheetData>
  <mergeCells count="6">
    <mergeCell ref="E12:H12"/>
    <mergeCell ref="J12:M12"/>
    <mergeCell ref="O12:R12"/>
    <mergeCell ref="T12:W12"/>
    <mergeCell ref="G9:H9"/>
    <mergeCell ref="G10:H10"/>
  </mergeCells>
  <dataValidations count="3">
    <dataValidation type="custom" allowBlank="1" showInputMessage="1" showErrorMessage="1" sqref="G10:H10">
      <formula1>""</formula1>
    </dataValidation>
    <dataValidation type="list" allowBlank="1" showInputMessage="1" showErrorMessage="1" sqref="C8">
      <formula1>"Standard,ICVS"</formula1>
    </dataValidation>
    <dataValidation type="list" allowBlank="1" showInputMessage="1" showErrorMessage="1" sqref="C7">
      <formula1>CrncyList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6381" r:id="rId4" name="CommandButton2">
          <controlPr defaultSize="0" print="0" autoFill="0" autoLine="0" r:id="rId5">
            <anchor moveWithCells="1" sizeWithCells="1">
              <from>
                <xdr:col>1</xdr:col>
                <xdr:colOff>57150</xdr:colOff>
                <xdr:row>0</xdr:row>
                <xdr:rowOff>66675</xdr:rowOff>
              </from>
              <to>
                <xdr:col>2</xdr:col>
                <xdr:colOff>752475</xdr:colOff>
                <xdr:row>2</xdr:row>
                <xdr:rowOff>47625</xdr:rowOff>
              </to>
            </anchor>
          </controlPr>
        </control>
      </mc:Choice>
      <mc:Fallback>
        <control shapeId="56381" r:id="rId4" name="CommandButton2"/>
      </mc:Fallback>
    </mc:AlternateContent>
    <mc:AlternateContent xmlns:mc="http://schemas.openxmlformats.org/markup-compatibility/2006">
      <mc:Choice Requires="x14">
        <control shapeId="56450" r:id="rId6" name="CommandButton1">
          <controlPr defaultSize="0" autoLine="0" r:id="rId7">
            <anchor moveWithCells="1">
              <from>
                <xdr:col>3</xdr:col>
                <xdr:colOff>400050</xdr:colOff>
                <xdr:row>6</xdr:row>
                <xdr:rowOff>38100</xdr:rowOff>
              </from>
              <to>
                <xdr:col>5</xdr:col>
                <xdr:colOff>133350</xdr:colOff>
                <xdr:row>7</xdr:row>
                <xdr:rowOff>133350</xdr:rowOff>
              </to>
            </anchor>
          </controlPr>
        </control>
      </mc:Choice>
      <mc:Fallback>
        <control shapeId="56450" r:id="rId6" name="CommandButton1"/>
      </mc:Fallback>
    </mc:AlternateContent>
    <mc:AlternateContent xmlns:mc="http://schemas.openxmlformats.org/markup-compatibility/2006">
      <mc:Choice Requires="x14">
        <control shapeId="56665" r:id="rId8" name="CommandButton3">
          <controlPr defaultSize="0" autoLine="0" r:id="rId9">
            <anchor moveWithCells="1">
              <from>
                <xdr:col>3</xdr:col>
                <xdr:colOff>400050</xdr:colOff>
                <xdr:row>8</xdr:row>
                <xdr:rowOff>0</xdr:rowOff>
              </from>
              <to>
                <xdr:col>5</xdr:col>
                <xdr:colOff>133350</xdr:colOff>
                <xdr:row>9</xdr:row>
                <xdr:rowOff>95250</xdr:rowOff>
              </to>
            </anchor>
          </controlPr>
        </control>
      </mc:Choice>
      <mc:Fallback>
        <control shapeId="56665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8:S71"/>
  <sheetViews>
    <sheetView showGridLines="0" topLeftCell="A31" workbookViewId="0">
      <selection activeCell="N60" sqref="N60"/>
    </sheetView>
  </sheetViews>
  <sheetFormatPr defaultRowHeight="12.75" x14ac:dyDescent="0.2"/>
  <cols>
    <col min="1" max="1" width="2.7109375" style="178" customWidth="1"/>
    <col min="2" max="2" width="11.28515625" style="178" customWidth="1"/>
    <col min="3" max="16384" width="9.140625" style="178"/>
  </cols>
  <sheetData>
    <row r="8" spans="2:3" ht="15.75" x14ac:dyDescent="0.25">
      <c r="B8" s="177" t="s">
        <v>253</v>
      </c>
      <c r="C8" s="193" t="s">
        <v>280</v>
      </c>
    </row>
    <row r="9" spans="2:3" ht="15" x14ac:dyDescent="0.25">
      <c r="C9" s="191" t="s">
        <v>281</v>
      </c>
    </row>
    <row r="10" spans="2:3" ht="15" x14ac:dyDescent="0.25">
      <c r="C10" s="191" t="s">
        <v>282</v>
      </c>
    </row>
    <row r="11" spans="2:3" ht="15" x14ac:dyDescent="0.25">
      <c r="C11" s="191" t="s">
        <v>283</v>
      </c>
    </row>
    <row r="13" spans="2:3" x14ac:dyDescent="0.2">
      <c r="B13" s="180" t="s">
        <v>284</v>
      </c>
    </row>
    <row r="14" spans="2:3" x14ac:dyDescent="0.2">
      <c r="B14" s="180"/>
    </row>
    <row r="15" spans="2:3" x14ac:dyDescent="0.2">
      <c r="B15" s="180"/>
    </row>
    <row r="16" spans="2:3" x14ac:dyDescent="0.2">
      <c r="B16" s="180"/>
    </row>
    <row r="17" spans="2:9" x14ac:dyDescent="0.2">
      <c r="B17" s="180"/>
    </row>
    <row r="18" spans="2:9" x14ac:dyDescent="0.2">
      <c r="B18" s="180"/>
    </row>
    <row r="19" spans="2:9" x14ac:dyDescent="0.2">
      <c r="B19" s="180"/>
    </row>
    <row r="20" spans="2:9" ht="15" x14ac:dyDescent="0.25">
      <c r="B20" s="191" t="s">
        <v>285</v>
      </c>
    </row>
    <row r="21" spans="2:9" ht="15" x14ac:dyDescent="0.25">
      <c r="B21" s="191" t="s">
        <v>286</v>
      </c>
    </row>
    <row r="22" spans="2:9" ht="15" x14ac:dyDescent="0.25">
      <c r="B22" s="191" t="s">
        <v>287</v>
      </c>
    </row>
    <row r="23" spans="2:9" x14ac:dyDescent="0.2">
      <c r="B23" s="181"/>
    </row>
    <row r="24" spans="2:9" ht="15" x14ac:dyDescent="0.2">
      <c r="B24" s="180" t="s">
        <v>255</v>
      </c>
      <c r="E24" s="182"/>
      <c r="F24" s="182"/>
      <c r="G24" s="182"/>
      <c r="H24" s="182"/>
      <c r="I24" s="182"/>
    </row>
    <row r="25" spans="2:9" ht="15" x14ac:dyDescent="0.25">
      <c r="B25" s="183" t="s">
        <v>288</v>
      </c>
    </row>
    <row r="32" spans="2:9" ht="15" x14ac:dyDescent="0.25">
      <c r="B32" s="184" t="s">
        <v>289</v>
      </c>
    </row>
    <row r="33" spans="2:17" ht="15" x14ac:dyDescent="0.25">
      <c r="B33" s="183" t="s">
        <v>290</v>
      </c>
    </row>
    <row r="34" spans="2:17" ht="15" x14ac:dyDescent="0.25">
      <c r="B34" s="183" t="s">
        <v>291</v>
      </c>
    </row>
    <row r="35" spans="2:17" ht="15" x14ac:dyDescent="0.25">
      <c r="B35" s="185" t="s">
        <v>292</v>
      </c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</row>
    <row r="36" spans="2:17" ht="15" x14ac:dyDescent="0.25">
      <c r="B36" s="183" t="s">
        <v>293</v>
      </c>
    </row>
    <row r="37" spans="2:17" x14ac:dyDescent="0.2">
      <c r="B37" s="178" t="s">
        <v>294</v>
      </c>
    </row>
    <row r="39" spans="2:17" ht="15" x14ac:dyDescent="0.25">
      <c r="B39" s="184" t="s">
        <v>295</v>
      </c>
    </row>
    <row r="40" spans="2:17" ht="15" x14ac:dyDescent="0.25">
      <c r="B40" s="183" t="s">
        <v>296</v>
      </c>
    </row>
    <row r="41" spans="2:17" ht="15" x14ac:dyDescent="0.25">
      <c r="B41" s="183" t="s">
        <v>297</v>
      </c>
    </row>
    <row r="42" spans="2:17" ht="15" x14ac:dyDescent="0.25">
      <c r="B42" s="185" t="s">
        <v>298</v>
      </c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</row>
    <row r="44" spans="2:17" ht="15" x14ac:dyDescent="0.25">
      <c r="B44" s="188" t="s">
        <v>299</v>
      </c>
    </row>
    <row r="51" spans="2:19" ht="15" x14ac:dyDescent="0.25">
      <c r="B51" s="183" t="s">
        <v>300</v>
      </c>
    </row>
    <row r="53" spans="2:19" ht="15" x14ac:dyDescent="0.25">
      <c r="B53" s="188" t="s">
        <v>301</v>
      </c>
    </row>
    <row r="60" spans="2:19" ht="15" x14ac:dyDescent="0.25">
      <c r="B60" s="183" t="s">
        <v>302</v>
      </c>
    </row>
    <row r="62" spans="2:19" x14ac:dyDescent="0.2">
      <c r="B62" s="189" t="s">
        <v>256</v>
      </c>
    </row>
    <row r="63" spans="2:19" ht="15" x14ac:dyDescent="0.25">
      <c r="B63" s="190" t="s">
        <v>257</v>
      </c>
      <c r="C63" s="190"/>
      <c r="D63" s="190"/>
      <c r="E63" s="191"/>
      <c r="F63" s="191"/>
      <c r="G63" s="191"/>
      <c r="H63" s="191"/>
      <c r="I63" s="191"/>
      <c r="J63" s="179"/>
      <c r="K63" s="179"/>
      <c r="L63" s="179"/>
      <c r="M63" s="179"/>
      <c r="N63" s="179"/>
      <c r="O63" s="179"/>
      <c r="P63" s="179"/>
      <c r="Q63" s="179"/>
      <c r="R63" s="179"/>
      <c r="S63" s="179"/>
    </row>
    <row r="64" spans="2:19" ht="15" x14ac:dyDescent="0.25">
      <c r="B64" s="190" t="s">
        <v>258</v>
      </c>
      <c r="C64" s="190"/>
      <c r="D64" s="190"/>
      <c r="E64" s="191"/>
      <c r="F64" s="191"/>
      <c r="G64" s="191"/>
      <c r="H64" s="191"/>
      <c r="I64" s="191"/>
      <c r="J64" s="179"/>
      <c r="K64" s="179"/>
      <c r="L64" s="179"/>
      <c r="M64" s="179"/>
      <c r="N64" s="179"/>
      <c r="O64" s="179"/>
      <c r="P64" s="179"/>
      <c r="Q64" s="179"/>
      <c r="R64" s="179"/>
      <c r="S64" s="179"/>
    </row>
    <row r="65" spans="2:19" ht="15" x14ac:dyDescent="0.25">
      <c r="B65" s="190"/>
      <c r="C65" s="190" t="str">
        <f>" - Standard -&gt; Cash Rates on the short end, Swap rates on the long end"</f>
        <v xml:space="preserve"> - Standard -&gt; Cash Rates on the short end, Swap rates on the long end</v>
      </c>
      <c r="D65" s="190"/>
      <c r="E65" s="191"/>
      <c r="F65" s="191"/>
      <c r="G65" s="191"/>
      <c r="H65" s="191"/>
      <c r="I65" s="191"/>
      <c r="J65" s="179"/>
      <c r="K65" s="179"/>
      <c r="L65" s="179"/>
      <c r="M65" s="179"/>
      <c r="N65" s="179"/>
      <c r="O65" s="179"/>
      <c r="P65" s="179"/>
      <c r="Q65" s="179"/>
      <c r="R65" s="179"/>
      <c r="S65" s="179"/>
    </row>
    <row r="66" spans="2:19" ht="15" x14ac:dyDescent="0.25">
      <c r="B66" s="190"/>
      <c r="C66" s="190" t="str">
        <f>" - ICVS -&gt; Combination of instruments as shown on ICVS &lt;GO&gt;"</f>
        <v xml:space="preserve"> - ICVS -&gt; Combination of instruments as shown on ICVS &lt;GO&gt;</v>
      </c>
      <c r="D66" s="190"/>
      <c r="E66" s="190"/>
      <c r="F66" s="190"/>
      <c r="G66" s="190"/>
      <c r="H66" s="190"/>
      <c r="I66" s="190"/>
      <c r="J66" s="179"/>
      <c r="K66" s="179"/>
      <c r="L66" s="179"/>
      <c r="M66" s="179"/>
      <c r="N66" s="179"/>
      <c r="O66" s="179"/>
      <c r="P66" s="179"/>
      <c r="Q66" s="179"/>
      <c r="R66" s="179"/>
      <c r="S66" s="179"/>
    </row>
    <row r="67" spans="2:19" ht="15" x14ac:dyDescent="0.25">
      <c r="B67" s="190"/>
      <c r="C67" s="192" t="s">
        <v>254</v>
      </c>
      <c r="D67" s="190"/>
      <c r="E67" s="190"/>
      <c r="F67" s="190"/>
      <c r="G67" s="190"/>
      <c r="H67" s="190"/>
      <c r="I67" s="190"/>
      <c r="J67" s="179"/>
      <c r="K67" s="179"/>
      <c r="L67" s="179"/>
      <c r="M67" s="179"/>
      <c r="N67" s="179"/>
      <c r="O67" s="179"/>
      <c r="P67" s="179"/>
      <c r="Q67" s="179"/>
      <c r="R67" s="179"/>
      <c r="S67" s="179"/>
    </row>
    <row r="68" spans="2:19" ht="14.25" x14ac:dyDescent="0.2"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</row>
    <row r="69" spans="2:19" ht="14.25" x14ac:dyDescent="0.2"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</row>
    <row r="70" spans="2:19" ht="14.25" x14ac:dyDescent="0.2"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</row>
    <row r="71" spans="2:19" ht="14.25" x14ac:dyDescent="0.2"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8593" r:id="rId4" name="btnBAcktoApp">
          <controlPr defaultSize="0" print="0" autoFill="0" autoLine="0" r:id="rId5">
            <anchor moveWithCells="1" sizeWithCells="1">
              <from>
                <xdr:col>0</xdr:col>
                <xdr:colOff>590550</xdr:colOff>
                <xdr:row>0</xdr:row>
                <xdr:rowOff>38100</xdr:rowOff>
              </from>
              <to>
                <xdr:col>3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238593" r:id="rId4" name="btnBAcktoAp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6:G52"/>
  <sheetViews>
    <sheetView workbookViewId="0">
      <selection activeCell="C22" sqref="C22:C52"/>
    </sheetView>
  </sheetViews>
  <sheetFormatPr defaultRowHeight="12.75" x14ac:dyDescent="0.2"/>
  <sheetData>
    <row r="6" spans="3:7" ht="13.5" thickBot="1" x14ac:dyDescent="0.25"/>
    <row r="7" spans="3:7" ht="15.75" x14ac:dyDescent="0.25">
      <c r="C7" s="132" t="e">
        <f>#REF!</f>
        <v>#REF!</v>
      </c>
    </row>
    <row r="8" spans="3:7" ht="15.75" x14ac:dyDescent="0.25">
      <c r="C8" s="134" t="e">
        <f>#REF!</f>
        <v>#REF!</v>
      </c>
    </row>
    <row r="9" spans="3:7" ht="15.75" x14ac:dyDescent="0.25">
      <c r="C9" s="135" t="e">
        <f>#REF!</f>
        <v>#REF!</v>
      </c>
    </row>
    <row r="10" spans="3:7" ht="16.5" thickBot="1" x14ac:dyDescent="0.3">
      <c r="C10" s="137" t="e">
        <f>#REF!</f>
        <v>#REF!</v>
      </c>
    </row>
    <row r="16" spans="3:7" x14ac:dyDescent="0.2">
      <c r="C16" s="166" t="e">
        <f>#REF!</f>
        <v>#REF!</v>
      </c>
      <c r="D16" s="164" t="e">
        <f>#REF!</f>
        <v>#REF!</v>
      </c>
      <c r="E16" s="164" t="e">
        <f>#REF!</f>
        <v>#REF!</v>
      </c>
      <c r="F16" s="165" t="e">
        <f>#REF!</f>
        <v>#REF!</v>
      </c>
      <c r="G16" s="165" t="e">
        <f>#REF!</f>
        <v>#REF!</v>
      </c>
    </row>
    <row r="17" spans="3:7" x14ac:dyDescent="0.2">
      <c r="C17" s="166" t="e">
        <f>#REF!</f>
        <v>#REF!</v>
      </c>
      <c r="D17" s="164" t="e">
        <f>#REF!</f>
        <v>#REF!</v>
      </c>
      <c r="E17" s="164" t="e">
        <f>#REF!</f>
        <v>#REF!</v>
      </c>
      <c r="F17" s="165" t="e">
        <f>#REF!</f>
        <v>#REF!</v>
      </c>
      <c r="G17" s="165" t="e">
        <f>#REF!</f>
        <v>#REF!</v>
      </c>
    </row>
    <row r="18" spans="3:7" x14ac:dyDescent="0.2">
      <c r="C18" s="166" t="e">
        <f>#REF!</f>
        <v>#REF!</v>
      </c>
      <c r="D18" s="164" t="e">
        <f>#REF!</f>
        <v>#REF!</v>
      </c>
      <c r="E18" s="164" t="e">
        <f>#REF!</f>
        <v>#REF!</v>
      </c>
      <c r="F18" s="165" t="e">
        <f>#REF!</f>
        <v>#REF!</v>
      </c>
      <c r="G18" s="165" t="e">
        <f>#REF!</f>
        <v>#REF!</v>
      </c>
    </row>
    <row r="19" spans="3:7" x14ac:dyDescent="0.2">
      <c r="C19" s="166" t="e">
        <f>#REF!</f>
        <v>#REF!</v>
      </c>
      <c r="D19" s="164" t="e">
        <f>#REF!</f>
        <v>#REF!</v>
      </c>
      <c r="E19" s="164" t="e">
        <f>#REF!</f>
        <v>#REF!</v>
      </c>
      <c r="F19" s="165" t="e">
        <f>#REF!</f>
        <v>#REF!</v>
      </c>
      <c r="G19" s="165" t="e">
        <f>#REF!</f>
        <v>#REF!</v>
      </c>
    </row>
    <row r="22" spans="3:7" x14ac:dyDescent="0.2">
      <c r="C22" s="166" t="e">
        <f>#REF!</f>
        <v>#REF!</v>
      </c>
    </row>
    <row r="23" spans="3:7" x14ac:dyDescent="0.2">
      <c r="C23" s="166" t="e">
        <f>#REF!</f>
        <v>#REF!</v>
      </c>
    </row>
    <row r="24" spans="3:7" x14ac:dyDescent="0.2">
      <c r="C24" s="166" t="e">
        <f>#REF!</f>
        <v>#REF!</v>
      </c>
    </row>
    <row r="25" spans="3:7" x14ac:dyDescent="0.2">
      <c r="C25" s="166" t="e">
        <f>#REF!</f>
        <v>#REF!</v>
      </c>
    </row>
    <row r="26" spans="3:7" x14ac:dyDescent="0.2">
      <c r="C26" s="166" t="e">
        <f>#REF!</f>
        <v>#REF!</v>
      </c>
    </row>
    <row r="27" spans="3:7" x14ac:dyDescent="0.2">
      <c r="C27" s="166" t="e">
        <f>#REF!</f>
        <v>#REF!</v>
      </c>
    </row>
    <row r="28" spans="3:7" x14ac:dyDescent="0.2">
      <c r="C28" s="166" t="e">
        <f>#REF!</f>
        <v>#REF!</v>
      </c>
    </row>
    <row r="29" spans="3:7" x14ac:dyDescent="0.2">
      <c r="C29" s="166" t="e">
        <f>#REF!</f>
        <v>#REF!</v>
      </c>
    </row>
    <row r="30" spans="3:7" x14ac:dyDescent="0.2">
      <c r="C30" s="166" t="e">
        <f>#REF!</f>
        <v>#REF!</v>
      </c>
    </row>
    <row r="31" spans="3:7" x14ac:dyDescent="0.2">
      <c r="C31" s="166" t="e">
        <f>#REF!</f>
        <v>#REF!</v>
      </c>
    </row>
    <row r="32" spans="3:7" x14ac:dyDescent="0.2">
      <c r="C32" s="166" t="e">
        <f>#REF!</f>
        <v>#REF!</v>
      </c>
    </row>
    <row r="33" spans="3:3" x14ac:dyDescent="0.2">
      <c r="C33" s="166" t="e">
        <f>#REF!</f>
        <v>#REF!</v>
      </c>
    </row>
    <row r="34" spans="3:3" x14ac:dyDescent="0.2">
      <c r="C34" s="166" t="e">
        <f>#REF!</f>
        <v>#REF!</v>
      </c>
    </row>
    <row r="35" spans="3:3" x14ac:dyDescent="0.2">
      <c r="C35" s="166" t="e">
        <f>#REF!</f>
        <v>#REF!</v>
      </c>
    </row>
    <row r="36" spans="3:3" x14ac:dyDescent="0.2">
      <c r="C36" s="166" t="e">
        <f>#REF!</f>
        <v>#REF!</v>
      </c>
    </row>
    <row r="37" spans="3:3" x14ac:dyDescent="0.2">
      <c r="C37" s="166" t="e">
        <f>#REF!</f>
        <v>#REF!</v>
      </c>
    </row>
    <row r="38" spans="3:3" x14ac:dyDescent="0.2">
      <c r="C38" s="166" t="e">
        <f>#REF!</f>
        <v>#REF!</v>
      </c>
    </row>
    <row r="39" spans="3:3" x14ac:dyDescent="0.2">
      <c r="C39" s="166" t="e">
        <f>#REF!</f>
        <v>#REF!</v>
      </c>
    </row>
    <row r="40" spans="3:3" x14ac:dyDescent="0.2">
      <c r="C40" s="166" t="e">
        <f>#REF!</f>
        <v>#REF!</v>
      </c>
    </row>
    <row r="41" spans="3:3" x14ac:dyDescent="0.2">
      <c r="C41" s="166" t="e">
        <f>#REF!</f>
        <v>#REF!</v>
      </c>
    </row>
    <row r="42" spans="3:3" x14ac:dyDescent="0.2">
      <c r="C42" s="166" t="e">
        <f>#REF!</f>
        <v>#REF!</v>
      </c>
    </row>
    <row r="43" spans="3:3" x14ac:dyDescent="0.2">
      <c r="C43" s="166" t="e">
        <f>#REF!</f>
        <v>#REF!</v>
      </c>
    </row>
    <row r="44" spans="3:3" x14ac:dyDescent="0.2">
      <c r="C44" s="166" t="e">
        <f>#REF!</f>
        <v>#REF!</v>
      </c>
    </row>
    <row r="45" spans="3:3" x14ac:dyDescent="0.2">
      <c r="C45" s="166" t="e">
        <f>#REF!</f>
        <v>#REF!</v>
      </c>
    </row>
    <row r="46" spans="3:3" x14ac:dyDescent="0.2">
      <c r="C46" s="166" t="e">
        <f>#REF!</f>
        <v>#REF!</v>
      </c>
    </row>
    <row r="47" spans="3:3" x14ac:dyDescent="0.2">
      <c r="C47" s="166" t="e">
        <f>#REF!</f>
        <v>#REF!</v>
      </c>
    </row>
    <row r="48" spans="3:3" x14ac:dyDescent="0.2">
      <c r="C48" s="166" t="e">
        <f>#REF!</f>
        <v>#REF!</v>
      </c>
    </row>
    <row r="49" spans="3:3" x14ac:dyDescent="0.2">
      <c r="C49" s="166" t="e">
        <f>#REF!</f>
        <v>#REF!</v>
      </c>
    </row>
    <row r="50" spans="3:3" x14ac:dyDescent="0.2">
      <c r="C50" s="166" t="e">
        <f>#REF!</f>
        <v>#REF!</v>
      </c>
    </row>
    <row r="51" spans="3:3" x14ac:dyDescent="0.2">
      <c r="C51" s="166" t="e">
        <f>#REF!</f>
        <v>#REF!</v>
      </c>
    </row>
    <row r="52" spans="3:3" x14ac:dyDescent="0.2">
      <c r="C52" s="16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MAIN</vt:lpstr>
      <vt:lpstr>BROKEN DATES</vt:lpstr>
      <vt:lpstr>SETTINGS</vt:lpstr>
      <vt:lpstr>Rolldown</vt:lpstr>
      <vt:lpstr>Help</vt:lpstr>
      <vt:lpstr>btnRolldown</vt:lpstr>
      <vt:lpstr>CrncyListStart</vt:lpstr>
      <vt:lpstr>CrvData</vt:lpstr>
      <vt:lpstr>CrvDate</vt:lpstr>
      <vt:lpstr>MCrvCrncy</vt:lpstr>
      <vt:lpstr>MCrvSett</vt:lpstr>
      <vt:lpstr>MCrvType</vt:lpstr>
      <vt:lpstr>MCurveID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jsantos8</dc:creator>
  <cp:lastModifiedBy>Windows User</cp:lastModifiedBy>
  <cp:lastPrinted>2009-07-01T18:38:55Z</cp:lastPrinted>
  <dcterms:created xsi:type="dcterms:W3CDTF">2008-12-16T08:49:01Z</dcterms:created>
  <dcterms:modified xsi:type="dcterms:W3CDTF">2013-06-20T15:37:04Z</dcterms:modified>
</cp:coreProperties>
</file>